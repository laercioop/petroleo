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emp\Laercio\Dados L\petroleo estudos\"/>
    </mc:Choice>
  </mc:AlternateContent>
  <xr:revisionPtr revIDLastSave="0" documentId="13_ncr:1_{173FA5A5-9FB5-4A62-8160-AB6D3B3F788F}" xr6:coauthVersionLast="47" xr6:coauthVersionMax="47" xr10:uidLastSave="{00000000-0000-0000-0000-000000000000}"/>
  <bookViews>
    <workbookView xWindow="375" yWindow="1470" windowWidth="21600" windowHeight="11385" xr2:uid="{2260EFE2-399D-425C-A998-7435B2C01FB6}"/>
  </bookViews>
  <sheets>
    <sheet name="Petróleo" sheetId="1" r:id="rId1"/>
    <sheet name="Estoque_US" sheetId="3" r:id="rId2"/>
    <sheet name="Eview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9" i="2" l="1"/>
  <c r="A409" i="2"/>
  <c r="B408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409" i="3"/>
  <c r="AR885" i="1"/>
  <c r="C885" i="1"/>
  <c r="AR884" i="1"/>
  <c r="C884" i="1"/>
  <c r="AR883" i="1"/>
  <c r="C883" i="1"/>
  <c r="AR882" i="1"/>
  <c r="C882" i="1"/>
  <c r="AR881" i="1"/>
  <c r="C881" i="1"/>
  <c r="AR880" i="1"/>
  <c r="C880" i="1"/>
  <c r="AR879" i="1"/>
  <c r="C879" i="1"/>
  <c r="AR878" i="1"/>
  <c r="C878" i="1"/>
  <c r="AR877" i="1"/>
  <c r="C877" i="1"/>
  <c r="AR876" i="1"/>
  <c r="C876" i="1"/>
  <c r="AR875" i="1"/>
  <c r="C875" i="1"/>
  <c r="AR874" i="1"/>
  <c r="C874" i="1"/>
  <c r="AR873" i="1"/>
  <c r="C873" i="1"/>
  <c r="AR872" i="1"/>
  <c r="C872" i="1"/>
  <c r="AR871" i="1"/>
  <c r="C871" i="1"/>
  <c r="AR870" i="1"/>
  <c r="C870" i="1"/>
  <c r="AR869" i="1"/>
  <c r="C869" i="1"/>
  <c r="AR868" i="1"/>
  <c r="C868" i="1"/>
  <c r="AR867" i="1"/>
  <c r="C867" i="1"/>
  <c r="AR866" i="1"/>
  <c r="C866" i="1"/>
  <c r="AR865" i="1"/>
  <c r="C865" i="1"/>
  <c r="AR864" i="1"/>
  <c r="C864" i="1"/>
  <c r="AR863" i="1"/>
  <c r="C863" i="1"/>
  <c r="AR862" i="1"/>
  <c r="C862" i="1"/>
  <c r="AR861" i="1"/>
  <c r="C861" i="1"/>
  <c r="AR860" i="1"/>
  <c r="C860" i="1"/>
  <c r="AR859" i="1"/>
  <c r="C859" i="1"/>
  <c r="AR858" i="1"/>
  <c r="C858" i="1"/>
  <c r="AR857" i="1"/>
  <c r="C857" i="1"/>
  <c r="AR856" i="1"/>
  <c r="C856" i="1"/>
  <c r="AR855" i="1"/>
  <c r="C855" i="1"/>
  <c r="AR854" i="1"/>
  <c r="C854" i="1"/>
  <c r="AR853" i="1"/>
  <c r="C853" i="1"/>
  <c r="AR852" i="1"/>
  <c r="C852" i="1"/>
  <c r="AR851" i="1"/>
  <c r="C851" i="1"/>
  <c r="AR850" i="1"/>
  <c r="C850" i="1"/>
  <c r="AR849" i="1"/>
  <c r="C849" i="1"/>
  <c r="AR848" i="1"/>
  <c r="C848" i="1"/>
  <c r="AR847" i="1"/>
  <c r="C847" i="1"/>
  <c r="AR846" i="1"/>
  <c r="C846" i="1"/>
  <c r="AR845" i="1"/>
  <c r="C845" i="1"/>
  <c r="AR844" i="1"/>
  <c r="C844" i="1"/>
  <c r="AR843" i="1"/>
  <c r="C843" i="1"/>
  <c r="AR842" i="1"/>
  <c r="C842" i="1"/>
  <c r="AR841" i="1"/>
  <c r="C841" i="1"/>
  <c r="AR840" i="1"/>
  <c r="C840" i="1"/>
  <c r="AR839" i="1"/>
  <c r="C839" i="1"/>
  <c r="AR838" i="1"/>
  <c r="C838" i="1"/>
  <c r="AR837" i="1"/>
  <c r="C837" i="1"/>
  <c r="AR836" i="1"/>
  <c r="C836" i="1"/>
  <c r="AR835" i="1"/>
  <c r="C835" i="1"/>
  <c r="AR834" i="1"/>
  <c r="C834" i="1"/>
  <c r="AR833" i="1"/>
  <c r="C833" i="1"/>
  <c r="AR832" i="1"/>
  <c r="C832" i="1"/>
  <c r="AR831" i="1"/>
  <c r="C831" i="1"/>
  <c r="AR830" i="1"/>
  <c r="C830" i="1"/>
  <c r="AR829" i="1"/>
  <c r="C829" i="1"/>
  <c r="AR828" i="1"/>
  <c r="C828" i="1"/>
  <c r="AR827" i="1"/>
  <c r="C827" i="1"/>
  <c r="AR826" i="1"/>
  <c r="C826" i="1"/>
  <c r="AR825" i="1"/>
  <c r="C825" i="1"/>
  <c r="AR824" i="1"/>
  <c r="C824" i="1"/>
  <c r="AR823" i="1"/>
  <c r="C823" i="1"/>
  <c r="AR822" i="1"/>
  <c r="C822" i="1"/>
  <c r="AR821" i="1"/>
  <c r="C821" i="1"/>
  <c r="AR820" i="1"/>
  <c r="C820" i="1"/>
  <c r="AR819" i="1"/>
  <c r="C819" i="1"/>
  <c r="AR818" i="1"/>
  <c r="C818" i="1"/>
  <c r="AR817" i="1"/>
  <c r="C817" i="1"/>
  <c r="AR816" i="1"/>
  <c r="C816" i="1"/>
  <c r="AR815" i="1"/>
  <c r="C815" i="1"/>
  <c r="AR814" i="1"/>
  <c r="C814" i="1"/>
  <c r="AR813" i="1"/>
  <c r="C813" i="1"/>
  <c r="AR812" i="1"/>
  <c r="C812" i="1"/>
  <c r="AR811" i="1"/>
  <c r="C811" i="1"/>
  <c r="AR810" i="1"/>
  <c r="C810" i="1"/>
  <c r="AR809" i="1"/>
  <c r="C809" i="1"/>
  <c r="AR808" i="1"/>
  <c r="C808" i="1"/>
  <c r="AR807" i="1"/>
  <c r="C807" i="1"/>
  <c r="AR806" i="1"/>
  <c r="C806" i="1"/>
  <c r="AR805" i="1"/>
  <c r="C805" i="1"/>
  <c r="AR804" i="1"/>
  <c r="C804" i="1"/>
  <c r="AR803" i="1"/>
  <c r="C803" i="1"/>
  <c r="AR802" i="1"/>
  <c r="C802" i="1"/>
  <c r="AR801" i="1"/>
  <c r="C801" i="1"/>
  <c r="AR800" i="1"/>
  <c r="C800" i="1"/>
  <c r="AR799" i="1"/>
  <c r="C799" i="1"/>
  <c r="AR798" i="1"/>
  <c r="C798" i="1"/>
  <c r="AR797" i="1"/>
  <c r="C797" i="1"/>
  <c r="AR796" i="1"/>
  <c r="C796" i="1"/>
  <c r="AR795" i="1"/>
  <c r="C795" i="1"/>
  <c r="AR794" i="1"/>
  <c r="C794" i="1"/>
  <c r="AR793" i="1"/>
  <c r="C793" i="1"/>
  <c r="AR792" i="1"/>
  <c r="C792" i="1"/>
  <c r="AR791" i="1"/>
  <c r="C791" i="1"/>
  <c r="AR790" i="1"/>
  <c r="C790" i="1"/>
  <c r="AR789" i="1"/>
  <c r="C789" i="1"/>
  <c r="AR788" i="1"/>
  <c r="C788" i="1"/>
  <c r="AR787" i="1"/>
  <c r="C787" i="1"/>
  <c r="AR786" i="1"/>
  <c r="C786" i="1"/>
  <c r="AR785" i="1"/>
  <c r="C785" i="1"/>
  <c r="AR784" i="1"/>
  <c r="C784" i="1"/>
  <c r="AR783" i="1"/>
  <c r="C783" i="1"/>
  <c r="AR782" i="1"/>
  <c r="C782" i="1"/>
  <c r="AR781" i="1"/>
  <c r="C781" i="1"/>
  <c r="AR780" i="1"/>
  <c r="C780" i="1"/>
  <c r="AR779" i="1"/>
  <c r="C779" i="1"/>
  <c r="AR778" i="1"/>
  <c r="C778" i="1"/>
  <c r="AR777" i="1"/>
  <c r="C777" i="1"/>
  <c r="AR776" i="1"/>
  <c r="C776" i="1"/>
  <c r="AR775" i="1"/>
  <c r="C775" i="1"/>
  <c r="AR774" i="1"/>
  <c r="C774" i="1"/>
  <c r="AR773" i="1"/>
  <c r="C773" i="1"/>
  <c r="AR772" i="1"/>
  <c r="C772" i="1"/>
  <c r="AR771" i="1"/>
  <c r="C771" i="1"/>
  <c r="AR770" i="1"/>
  <c r="C770" i="1"/>
  <c r="AR769" i="1"/>
  <c r="C769" i="1"/>
  <c r="AR768" i="1"/>
  <c r="C768" i="1"/>
  <c r="AR767" i="1"/>
  <c r="C767" i="1"/>
  <c r="AR766" i="1"/>
  <c r="C766" i="1"/>
  <c r="AR765" i="1"/>
  <c r="C765" i="1"/>
  <c r="AR764" i="1"/>
  <c r="C764" i="1"/>
  <c r="AR763" i="1"/>
  <c r="C763" i="1"/>
  <c r="AR762" i="1"/>
  <c r="C762" i="1"/>
  <c r="AR761" i="1"/>
  <c r="C761" i="1"/>
  <c r="AR760" i="1"/>
  <c r="C760" i="1"/>
  <c r="AR759" i="1"/>
  <c r="C759" i="1"/>
  <c r="AR758" i="1"/>
  <c r="C758" i="1"/>
  <c r="AR757" i="1"/>
  <c r="C757" i="1"/>
  <c r="AR756" i="1"/>
  <c r="C756" i="1"/>
  <c r="AR755" i="1"/>
  <c r="C755" i="1"/>
  <c r="AR754" i="1"/>
  <c r="C754" i="1"/>
  <c r="AR753" i="1"/>
  <c r="C753" i="1"/>
  <c r="AR752" i="1"/>
  <c r="C752" i="1"/>
  <c r="AR751" i="1"/>
  <c r="C751" i="1"/>
  <c r="AR750" i="1"/>
  <c r="C750" i="1"/>
  <c r="AR749" i="1"/>
  <c r="C749" i="1"/>
  <c r="AR748" i="1"/>
  <c r="C748" i="1"/>
  <c r="AR747" i="1"/>
  <c r="C747" i="1"/>
  <c r="AR746" i="1"/>
  <c r="C746" i="1"/>
  <c r="AR745" i="1"/>
  <c r="C745" i="1"/>
  <c r="AR744" i="1"/>
  <c r="C744" i="1"/>
  <c r="AR743" i="1"/>
  <c r="C743" i="1"/>
  <c r="AR742" i="1"/>
  <c r="C742" i="1"/>
  <c r="AR741" i="1"/>
  <c r="C741" i="1"/>
  <c r="AR740" i="1"/>
  <c r="C740" i="1"/>
  <c r="AR739" i="1"/>
  <c r="C739" i="1"/>
  <c r="AR738" i="1"/>
  <c r="C738" i="1"/>
  <c r="AR737" i="1"/>
  <c r="C737" i="1"/>
  <c r="AR736" i="1"/>
  <c r="C736" i="1"/>
  <c r="AR735" i="1"/>
  <c r="C735" i="1"/>
  <c r="AR734" i="1"/>
  <c r="C734" i="1"/>
  <c r="AR733" i="1"/>
  <c r="C733" i="1"/>
  <c r="AR732" i="1"/>
  <c r="C732" i="1"/>
  <c r="AR731" i="1"/>
  <c r="C731" i="1"/>
  <c r="AR730" i="1"/>
  <c r="C730" i="1"/>
  <c r="AR729" i="1"/>
  <c r="C729" i="1"/>
  <c r="AR728" i="1"/>
  <c r="C728" i="1"/>
  <c r="AR727" i="1"/>
  <c r="C727" i="1"/>
  <c r="AR726" i="1"/>
  <c r="C726" i="1"/>
  <c r="AR725" i="1"/>
  <c r="C725" i="1"/>
  <c r="AR724" i="1"/>
  <c r="C724" i="1"/>
  <c r="AR723" i="1"/>
  <c r="C723" i="1"/>
  <c r="AR722" i="1"/>
  <c r="C722" i="1"/>
  <c r="AR721" i="1"/>
  <c r="C721" i="1"/>
  <c r="AR720" i="1"/>
  <c r="C720" i="1"/>
  <c r="AR719" i="1"/>
  <c r="C719" i="1"/>
  <c r="AR718" i="1"/>
  <c r="C718" i="1"/>
  <c r="AR717" i="1"/>
  <c r="C717" i="1"/>
  <c r="AR716" i="1"/>
  <c r="C716" i="1"/>
  <c r="AR715" i="1"/>
  <c r="C715" i="1"/>
  <c r="AR714" i="1"/>
  <c r="C714" i="1"/>
  <c r="AR713" i="1"/>
  <c r="C713" i="1"/>
  <c r="AR712" i="1"/>
  <c r="C712" i="1"/>
  <c r="AR711" i="1"/>
  <c r="C711" i="1"/>
  <c r="AR710" i="1"/>
  <c r="C710" i="1"/>
  <c r="AR709" i="1"/>
  <c r="C709" i="1"/>
  <c r="AR708" i="1"/>
  <c r="C708" i="1"/>
  <c r="AR707" i="1"/>
  <c r="C707" i="1"/>
  <c r="AR706" i="1"/>
  <c r="C706" i="1"/>
  <c r="AR705" i="1"/>
  <c r="C705" i="1"/>
  <c r="AR704" i="1"/>
  <c r="C704" i="1"/>
  <c r="AR703" i="1"/>
  <c r="C703" i="1"/>
  <c r="AR702" i="1"/>
  <c r="C702" i="1"/>
  <c r="AR701" i="1"/>
  <c r="C701" i="1"/>
  <c r="AR700" i="1"/>
  <c r="C700" i="1"/>
  <c r="AR699" i="1"/>
  <c r="C699" i="1"/>
  <c r="AR698" i="1"/>
  <c r="C698" i="1"/>
  <c r="AR697" i="1"/>
  <c r="C697" i="1"/>
  <c r="AR696" i="1"/>
  <c r="C696" i="1"/>
  <c r="AR695" i="1"/>
  <c r="C695" i="1"/>
  <c r="AR694" i="1"/>
  <c r="C694" i="1"/>
  <c r="AR693" i="1"/>
  <c r="C693" i="1"/>
  <c r="AR692" i="1"/>
  <c r="C692" i="1"/>
  <c r="AR691" i="1"/>
  <c r="C691" i="1"/>
  <c r="AR690" i="1"/>
  <c r="C690" i="1"/>
  <c r="AR689" i="1"/>
  <c r="C689" i="1"/>
  <c r="AR688" i="1"/>
  <c r="C688" i="1"/>
  <c r="AR687" i="1"/>
  <c r="C687" i="1"/>
  <c r="AR686" i="1"/>
  <c r="C686" i="1"/>
  <c r="AR685" i="1"/>
  <c r="C685" i="1"/>
  <c r="AR684" i="1"/>
  <c r="C684" i="1"/>
  <c r="AR683" i="1"/>
  <c r="C683" i="1"/>
  <c r="AR682" i="1"/>
  <c r="C682" i="1"/>
  <c r="AR681" i="1"/>
  <c r="C681" i="1"/>
  <c r="AR680" i="1"/>
  <c r="C680" i="1"/>
  <c r="AR679" i="1"/>
  <c r="C679" i="1"/>
  <c r="AR678" i="1"/>
  <c r="C678" i="1"/>
  <c r="AR677" i="1"/>
  <c r="C677" i="1"/>
  <c r="AR676" i="1"/>
  <c r="C676" i="1"/>
  <c r="AR675" i="1"/>
  <c r="C675" i="1"/>
  <c r="AR674" i="1"/>
  <c r="C674" i="1"/>
  <c r="AR673" i="1"/>
  <c r="C673" i="1"/>
  <c r="AR672" i="1"/>
  <c r="C672" i="1"/>
  <c r="AR671" i="1"/>
  <c r="C671" i="1"/>
  <c r="AR670" i="1"/>
  <c r="C670" i="1"/>
  <c r="AR669" i="1"/>
  <c r="C669" i="1"/>
  <c r="AR668" i="1"/>
  <c r="C668" i="1"/>
  <c r="AR667" i="1"/>
  <c r="C667" i="1"/>
  <c r="AR666" i="1"/>
  <c r="C666" i="1"/>
  <c r="AR665" i="1"/>
  <c r="C665" i="1"/>
  <c r="AR664" i="1"/>
  <c r="C664" i="1"/>
  <c r="AR663" i="1"/>
  <c r="C663" i="1"/>
  <c r="AR662" i="1"/>
  <c r="C662" i="1"/>
  <c r="AR661" i="1"/>
  <c r="C661" i="1"/>
  <c r="AR660" i="1"/>
  <c r="C660" i="1"/>
  <c r="AR659" i="1"/>
  <c r="C659" i="1"/>
  <c r="AR658" i="1"/>
  <c r="C658" i="1"/>
  <c r="AR657" i="1"/>
  <c r="C657" i="1"/>
  <c r="AR656" i="1"/>
  <c r="C656" i="1"/>
  <c r="AR655" i="1"/>
  <c r="C655" i="1"/>
  <c r="AR654" i="1"/>
  <c r="C654" i="1"/>
  <c r="AR653" i="1"/>
  <c r="C653" i="1"/>
  <c r="AR652" i="1"/>
  <c r="C652" i="1"/>
  <c r="AR651" i="1"/>
  <c r="C651" i="1"/>
  <c r="AR650" i="1"/>
  <c r="C650" i="1"/>
  <c r="AR649" i="1"/>
  <c r="C649" i="1"/>
  <c r="AR648" i="1"/>
  <c r="C648" i="1"/>
  <c r="AR647" i="1"/>
  <c r="C647" i="1"/>
  <c r="AR646" i="1"/>
  <c r="C646" i="1"/>
  <c r="AR645" i="1"/>
  <c r="C645" i="1"/>
  <c r="AR644" i="1"/>
  <c r="C644" i="1"/>
  <c r="AR643" i="1"/>
  <c r="C643" i="1"/>
  <c r="AR642" i="1"/>
  <c r="C642" i="1"/>
  <c r="AR641" i="1"/>
  <c r="C641" i="1"/>
  <c r="AR640" i="1"/>
  <c r="C640" i="1"/>
  <c r="AR639" i="1"/>
  <c r="C639" i="1"/>
  <c r="AR638" i="1"/>
  <c r="C638" i="1"/>
  <c r="AR637" i="1"/>
  <c r="C637" i="1"/>
  <c r="AR636" i="1"/>
  <c r="C636" i="1"/>
  <c r="AR635" i="1"/>
  <c r="C635" i="1"/>
  <c r="AR634" i="1"/>
  <c r="C634" i="1"/>
  <c r="AR633" i="1"/>
  <c r="C633" i="1"/>
  <c r="AR632" i="1"/>
  <c r="C632" i="1"/>
  <c r="AR631" i="1"/>
  <c r="C631" i="1"/>
  <c r="AR630" i="1"/>
  <c r="C630" i="1"/>
  <c r="AR629" i="1"/>
  <c r="C629" i="1"/>
  <c r="AR628" i="1"/>
  <c r="C628" i="1"/>
  <c r="AR627" i="1"/>
  <c r="C627" i="1"/>
  <c r="AR626" i="1"/>
  <c r="C626" i="1"/>
  <c r="AR625" i="1"/>
  <c r="C625" i="1"/>
  <c r="AR624" i="1"/>
  <c r="C624" i="1"/>
  <c r="AR623" i="1"/>
  <c r="C623" i="1"/>
  <c r="AR622" i="1"/>
  <c r="C622" i="1"/>
  <c r="AR621" i="1"/>
  <c r="C621" i="1"/>
  <c r="AR620" i="1"/>
  <c r="C620" i="1"/>
  <c r="AR619" i="1"/>
  <c r="C619" i="1"/>
  <c r="AR618" i="1"/>
  <c r="C618" i="1"/>
  <c r="AR617" i="1"/>
  <c r="C617" i="1"/>
  <c r="AR616" i="1"/>
  <c r="C616" i="1"/>
  <c r="AR615" i="1"/>
  <c r="C615" i="1"/>
  <c r="AR614" i="1"/>
  <c r="C614" i="1"/>
  <c r="AR613" i="1"/>
  <c r="C613" i="1"/>
  <c r="AR612" i="1"/>
  <c r="C612" i="1"/>
  <c r="AR611" i="1"/>
  <c r="C611" i="1"/>
  <c r="AR610" i="1"/>
  <c r="C610" i="1"/>
  <c r="AR609" i="1"/>
  <c r="C609" i="1"/>
  <c r="AR608" i="1"/>
  <c r="C608" i="1"/>
  <c r="AR607" i="1"/>
  <c r="C607" i="1"/>
  <c r="AR606" i="1"/>
  <c r="C606" i="1"/>
  <c r="AR605" i="1"/>
  <c r="C605" i="1"/>
  <c r="AR604" i="1"/>
  <c r="C604" i="1"/>
  <c r="AR603" i="1"/>
  <c r="C603" i="1"/>
  <c r="AR602" i="1"/>
  <c r="C602" i="1"/>
  <c r="AR601" i="1"/>
  <c r="C601" i="1"/>
  <c r="AR600" i="1"/>
  <c r="C600" i="1"/>
  <c r="AR599" i="1"/>
  <c r="C599" i="1"/>
  <c r="AR598" i="1"/>
  <c r="C598" i="1"/>
  <c r="AR597" i="1"/>
  <c r="C597" i="1"/>
  <c r="AR596" i="1"/>
  <c r="C596" i="1"/>
  <c r="AR595" i="1"/>
  <c r="C595" i="1"/>
  <c r="AR594" i="1"/>
  <c r="C594" i="1"/>
  <c r="AR593" i="1"/>
  <c r="C593" i="1"/>
  <c r="AR592" i="1"/>
  <c r="C592" i="1"/>
  <c r="AR591" i="1"/>
  <c r="C591" i="1"/>
  <c r="AR590" i="1"/>
  <c r="C590" i="1"/>
  <c r="AR589" i="1"/>
  <c r="C589" i="1"/>
  <c r="AR588" i="1"/>
  <c r="C588" i="1"/>
  <c r="AR587" i="1"/>
  <c r="C587" i="1"/>
  <c r="AR586" i="1"/>
  <c r="C586" i="1"/>
  <c r="AR585" i="1"/>
  <c r="C585" i="1"/>
  <c r="AR584" i="1"/>
  <c r="C584" i="1"/>
  <c r="AR583" i="1"/>
  <c r="C583" i="1"/>
  <c r="AR582" i="1"/>
  <c r="C582" i="1"/>
  <c r="AR581" i="1"/>
  <c r="C581" i="1"/>
  <c r="AR580" i="1"/>
  <c r="C580" i="1"/>
  <c r="AR579" i="1"/>
  <c r="C579" i="1"/>
  <c r="AR578" i="1"/>
  <c r="C578" i="1"/>
  <c r="AR577" i="1"/>
  <c r="C577" i="1"/>
  <c r="AR576" i="1"/>
  <c r="C576" i="1"/>
  <c r="AR575" i="1"/>
  <c r="C575" i="1"/>
  <c r="AR574" i="1"/>
  <c r="C574" i="1"/>
  <c r="AR573" i="1"/>
  <c r="C573" i="1"/>
  <c r="AR572" i="1"/>
  <c r="C572" i="1"/>
  <c r="AR571" i="1"/>
  <c r="C571" i="1"/>
  <c r="AR570" i="1"/>
  <c r="C570" i="1"/>
  <c r="AR569" i="1"/>
  <c r="C569" i="1"/>
  <c r="AR568" i="1"/>
  <c r="C568" i="1"/>
  <c r="AR567" i="1"/>
  <c r="C567" i="1"/>
  <c r="AR566" i="1"/>
  <c r="C566" i="1"/>
  <c r="AR565" i="1"/>
  <c r="C565" i="1"/>
  <c r="AR564" i="1"/>
  <c r="C564" i="1"/>
  <c r="AR563" i="1"/>
  <c r="C563" i="1"/>
  <c r="AR562" i="1"/>
  <c r="C562" i="1"/>
  <c r="AR561" i="1"/>
  <c r="C561" i="1"/>
  <c r="AR560" i="1"/>
  <c r="C560" i="1"/>
  <c r="AR559" i="1"/>
  <c r="C559" i="1"/>
  <c r="AR558" i="1"/>
  <c r="C558" i="1"/>
  <c r="AR557" i="1"/>
  <c r="C557" i="1"/>
  <c r="AR556" i="1"/>
  <c r="C556" i="1"/>
  <c r="AR555" i="1"/>
  <c r="C555" i="1"/>
  <c r="AR554" i="1"/>
  <c r="C554" i="1"/>
  <c r="AR553" i="1"/>
  <c r="C553" i="1"/>
  <c r="AR552" i="1"/>
  <c r="C552" i="1"/>
  <c r="AR551" i="1"/>
  <c r="C551" i="1"/>
  <c r="AR550" i="1"/>
  <c r="C550" i="1"/>
  <c r="AR549" i="1"/>
  <c r="C549" i="1"/>
  <c r="AR548" i="1"/>
  <c r="C548" i="1"/>
  <c r="AR547" i="1"/>
  <c r="C547" i="1"/>
  <c r="AR546" i="1"/>
  <c r="C546" i="1"/>
  <c r="AR545" i="1"/>
  <c r="C545" i="1"/>
  <c r="AR544" i="1"/>
  <c r="C544" i="1"/>
  <c r="AR543" i="1"/>
  <c r="C543" i="1"/>
  <c r="AR542" i="1"/>
  <c r="C542" i="1"/>
  <c r="AR541" i="1"/>
  <c r="C541" i="1"/>
  <c r="AR540" i="1"/>
  <c r="C540" i="1"/>
  <c r="AR539" i="1"/>
  <c r="C539" i="1"/>
  <c r="AR538" i="1"/>
  <c r="C538" i="1"/>
  <c r="AR537" i="1"/>
  <c r="C537" i="1"/>
  <c r="AR536" i="1"/>
  <c r="C536" i="1"/>
  <c r="AR535" i="1"/>
  <c r="C535" i="1"/>
  <c r="AR534" i="1"/>
  <c r="C534" i="1"/>
  <c r="AR533" i="1"/>
  <c r="C533" i="1"/>
  <c r="AR532" i="1"/>
  <c r="C532" i="1"/>
  <c r="AR531" i="1"/>
  <c r="C531" i="1"/>
  <c r="AR530" i="1"/>
  <c r="C530" i="1"/>
  <c r="AR529" i="1"/>
  <c r="C529" i="1"/>
  <c r="AR528" i="1"/>
  <c r="C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R3" i="1" a="1"/>
  <c r="AS3" i="1" a="1"/>
  <c r="A3" i="1" a="1"/>
  <c r="D3" i="1" a="1"/>
  <c r="AJ3" i="1" a="1"/>
  <c r="L3" i="1" a="1"/>
  <c r="AL3" i="1" a="1"/>
  <c r="AF3" i="1" a="1"/>
  <c r="P3" i="1" a="1"/>
  <c r="AB3" i="1" a="1"/>
  <c r="F3" i="1" a="1"/>
  <c r="AD3" i="1" a="1"/>
  <c r="AH3" i="1" a="1"/>
  <c r="V3" i="1" a="1"/>
  <c r="N3" i="1" a="1"/>
  <c r="H3" i="1" a="1"/>
  <c r="T3" i="1" a="1"/>
  <c r="AN3" i="1" a="1"/>
  <c r="AP3" i="1" a="1"/>
  <c r="J3" i="1" a="1"/>
  <c r="Z3" i="1" a="1"/>
  <c r="X3" i="1" a="1"/>
  <c r="B3" i="3" a="1"/>
  <c r="AR3" i="1" a="1"/>
  <c r="AF3" i="1" l="1"/>
  <c r="AL3" i="1"/>
  <c r="L3" i="1"/>
  <c r="AJ3" i="1"/>
  <c r="C527" i="1"/>
  <c r="C525" i="1"/>
  <c r="C523" i="1"/>
  <c r="C521" i="1"/>
  <c r="C519" i="1"/>
  <c r="C517" i="1"/>
  <c r="C515" i="1"/>
  <c r="C513" i="1"/>
  <c r="C511" i="1"/>
  <c r="C509" i="1"/>
  <c r="C507" i="1"/>
  <c r="C505" i="1"/>
  <c r="C503" i="1"/>
  <c r="C501" i="1"/>
  <c r="C499" i="1"/>
  <c r="C497" i="1"/>
  <c r="C495" i="1"/>
  <c r="C493" i="1"/>
  <c r="C491" i="1"/>
  <c r="C489" i="1"/>
  <c r="C487" i="1"/>
  <c r="C485" i="1"/>
  <c r="C483" i="1"/>
  <c r="C481" i="1"/>
  <c r="C479" i="1"/>
  <c r="C477" i="1"/>
  <c r="C475" i="1"/>
  <c r="C473" i="1"/>
  <c r="C471" i="1"/>
  <c r="C469" i="1"/>
  <c r="C467" i="1"/>
  <c r="C465" i="1"/>
  <c r="C463" i="1"/>
  <c r="C461" i="1"/>
  <c r="C459" i="1"/>
  <c r="C457" i="1"/>
  <c r="C455" i="1"/>
  <c r="C453" i="1"/>
  <c r="C451" i="1"/>
  <c r="C449" i="1"/>
  <c r="C447" i="1"/>
  <c r="C445" i="1"/>
  <c r="C443" i="1"/>
  <c r="C441" i="1"/>
  <c r="C439" i="1"/>
  <c r="C437" i="1"/>
  <c r="C435" i="1"/>
  <c r="C431" i="1"/>
  <c r="C427" i="1"/>
  <c r="D3" i="1"/>
  <c r="C434" i="1"/>
  <c r="C430" i="1"/>
  <c r="C426" i="1"/>
  <c r="C422" i="1"/>
  <c r="C418" i="1"/>
  <c r="C414" i="1"/>
  <c r="C410" i="1"/>
  <c r="C406" i="1"/>
  <c r="C402" i="1"/>
  <c r="C398" i="1"/>
  <c r="C394" i="1"/>
  <c r="C390" i="1"/>
  <c r="C386" i="1"/>
  <c r="C382" i="1"/>
  <c r="C378" i="1"/>
  <c r="C374" i="1"/>
  <c r="C370" i="1"/>
  <c r="C366" i="1"/>
  <c r="C362" i="1"/>
  <c r="C358" i="1"/>
  <c r="C354" i="1"/>
  <c r="C350" i="1"/>
  <c r="C346" i="1"/>
  <c r="C342" i="1"/>
  <c r="C338" i="1"/>
  <c r="C334" i="1"/>
  <c r="C330" i="1"/>
  <c r="C326" i="1"/>
  <c r="C322" i="1"/>
  <c r="C318" i="1"/>
  <c r="C314" i="1"/>
  <c r="C310" i="1"/>
  <c r="C306" i="1"/>
  <c r="C302" i="1"/>
  <c r="C298" i="1"/>
  <c r="C294" i="1"/>
  <c r="C290" i="1"/>
  <c r="C526" i="1"/>
  <c r="C524" i="1"/>
  <c r="C522" i="1"/>
  <c r="C520" i="1"/>
  <c r="C518" i="1"/>
  <c r="C516" i="1"/>
  <c r="C514" i="1"/>
  <c r="C512" i="1"/>
  <c r="C510" i="1"/>
  <c r="C508" i="1"/>
  <c r="C506" i="1"/>
  <c r="C504" i="1"/>
  <c r="C502" i="1"/>
  <c r="C500" i="1"/>
  <c r="C498" i="1"/>
  <c r="C496" i="1"/>
  <c r="C494" i="1"/>
  <c r="C492" i="1"/>
  <c r="C490" i="1"/>
  <c r="C488" i="1"/>
  <c r="C486" i="1"/>
  <c r="C484" i="1"/>
  <c r="C482" i="1"/>
  <c r="C480" i="1"/>
  <c r="C478" i="1"/>
  <c r="C476" i="1"/>
  <c r="C474" i="1"/>
  <c r="C472" i="1"/>
  <c r="C470" i="1"/>
  <c r="C468" i="1"/>
  <c r="C466" i="1"/>
  <c r="C464" i="1"/>
  <c r="C462" i="1"/>
  <c r="C460" i="1"/>
  <c r="C458" i="1"/>
  <c r="C456" i="1"/>
  <c r="C454" i="1"/>
  <c r="C452" i="1"/>
  <c r="C450" i="1"/>
  <c r="C448" i="1"/>
  <c r="C446" i="1"/>
  <c r="C444" i="1"/>
  <c r="C442" i="1"/>
  <c r="C440" i="1"/>
  <c r="C438" i="1"/>
  <c r="C436" i="1"/>
  <c r="C433" i="1"/>
  <c r="C429" i="1"/>
  <c r="C425" i="1"/>
  <c r="C421" i="1"/>
  <c r="C417" i="1"/>
  <c r="C413" i="1"/>
  <c r="C409" i="1"/>
  <c r="C405" i="1"/>
  <c r="C401" i="1"/>
  <c r="C397" i="1"/>
  <c r="C393" i="1"/>
  <c r="C389" i="1"/>
  <c r="C385" i="1"/>
  <c r="C381" i="1"/>
  <c r="C377" i="1"/>
  <c r="C373" i="1"/>
  <c r="C369" i="1"/>
  <c r="C365" i="1"/>
  <c r="C361" i="1"/>
  <c r="C357" i="1"/>
  <c r="C353" i="1"/>
  <c r="C349" i="1"/>
  <c r="C345" i="1"/>
  <c r="C341" i="1"/>
  <c r="C337" i="1"/>
  <c r="C333" i="1"/>
  <c r="C329" i="1"/>
  <c r="C325" i="1"/>
  <c r="C321" i="1"/>
  <c r="C317" i="1"/>
  <c r="C313" i="1"/>
  <c r="C309" i="1"/>
  <c r="C305" i="1"/>
  <c r="C301" i="1"/>
  <c r="C297" i="1"/>
  <c r="C293" i="1"/>
  <c r="C423" i="1"/>
  <c r="C415" i="1"/>
  <c r="C407" i="1"/>
  <c r="C399" i="1"/>
  <c r="C391" i="1"/>
  <c r="C383" i="1"/>
  <c r="C375" i="1"/>
  <c r="C367" i="1"/>
  <c r="C359" i="1"/>
  <c r="C351" i="1"/>
  <c r="C343" i="1"/>
  <c r="C335" i="1"/>
  <c r="C327" i="1"/>
  <c r="C319" i="1"/>
  <c r="C311" i="1"/>
  <c r="C303" i="1"/>
  <c r="C295" i="1"/>
  <c r="C288" i="1"/>
  <c r="C284" i="1"/>
  <c r="C280" i="1"/>
  <c r="C276" i="1"/>
  <c r="C272" i="1"/>
  <c r="C268" i="1"/>
  <c r="C264" i="1"/>
  <c r="C260" i="1"/>
  <c r="C256" i="1"/>
  <c r="C252" i="1"/>
  <c r="C248" i="1"/>
  <c r="C244" i="1"/>
  <c r="C240" i="1"/>
  <c r="C236" i="1"/>
  <c r="C232" i="1"/>
  <c r="C228" i="1"/>
  <c r="C224" i="1"/>
  <c r="C220" i="1"/>
  <c r="C216" i="1"/>
  <c r="C212" i="1"/>
  <c r="C208" i="1"/>
  <c r="C204" i="1"/>
  <c r="C200" i="1"/>
  <c r="C196" i="1"/>
  <c r="C192" i="1"/>
  <c r="C188" i="1"/>
  <c r="C184" i="1"/>
  <c r="C180" i="1"/>
  <c r="C176" i="1"/>
  <c r="C172" i="1"/>
  <c r="C168" i="1"/>
  <c r="C164" i="1"/>
  <c r="C160" i="1"/>
  <c r="C156" i="1"/>
  <c r="C152" i="1"/>
  <c r="C148" i="1"/>
  <c r="C144" i="1"/>
  <c r="C140" i="1"/>
  <c r="C136" i="1"/>
  <c r="C132" i="1"/>
  <c r="C128" i="1"/>
  <c r="C124" i="1"/>
  <c r="C120" i="1"/>
  <c r="C116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432" i="1"/>
  <c r="C420" i="1"/>
  <c r="C412" i="1"/>
  <c r="C404" i="1"/>
  <c r="C396" i="1"/>
  <c r="C388" i="1"/>
  <c r="C380" i="1"/>
  <c r="C372" i="1"/>
  <c r="C364" i="1"/>
  <c r="C356" i="1"/>
  <c r="C348" i="1"/>
  <c r="C340" i="1"/>
  <c r="C332" i="1"/>
  <c r="C324" i="1"/>
  <c r="C316" i="1"/>
  <c r="C308" i="1"/>
  <c r="C300" i="1"/>
  <c r="C292" i="1"/>
  <c r="C287" i="1"/>
  <c r="C283" i="1"/>
  <c r="C279" i="1"/>
  <c r="C275" i="1"/>
  <c r="C271" i="1"/>
  <c r="C267" i="1"/>
  <c r="C263" i="1"/>
  <c r="C259" i="1"/>
  <c r="C255" i="1"/>
  <c r="C251" i="1"/>
  <c r="C247" i="1"/>
  <c r="C243" i="1"/>
  <c r="C239" i="1"/>
  <c r="C235" i="1"/>
  <c r="C231" i="1"/>
  <c r="C227" i="1"/>
  <c r="C223" i="1"/>
  <c r="C219" i="1"/>
  <c r="C215" i="1"/>
  <c r="C211" i="1"/>
  <c r="C207" i="1"/>
  <c r="C203" i="1"/>
  <c r="C199" i="1"/>
  <c r="C195" i="1"/>
  <c r="C191" i="1"/>
  <c r="C187" i="1"/>
  <c r="C183" i="1"/>
  <c r="C179" i="1"/>
  <c r="C175" i="1"/>
  <c r="C171" i="1"/>
  <c r="C167" i="1"/>
  <c r="C163" i="1"/>
  <c r="C159" i="1"/>
  <c r="C155" i="1"/>
  <c r="C151" i="1"/>
  <c r="C147" i="1"/>
  <c r="C143" i="1"/>
  <c r="C139" i="1"/>
  <c r="C135" i="1"/>
  <c r="C131" i="1"/>
  <c r="C127" i="1"/>
  <c r="C123" i="1"/>
  <c r="C119" i="1"/>
  <c r="C115" i="1"/>
  <c r="C111" i="1"/>
  <c r="C107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47" i="1"/>
  <c r="C43" i="1"/>
  <c r="C39" i="1"/>
  <c r="C428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6" i="1"/>
  <c r="C282" i="1"/>
  <c r="C278" i="1"/>
  <c r="C274" i="1"/>
  <c r="C270" i="1"/>
  <c r="C266" i="1"/>
  <c r="C262" i="1"/>
  <c r="C258" i="1"/>
  <c r="C254" i="1"/>
  <c r="C250" i="1"/>
  <c r="C246" i="1"/>
  <c r="C242" i="1"/>
  <c r="C238" i="1"/>
  <c r="C234" i="1"/>
  <c r="C230" i="1"/>
  <c r="C226" i="1"/>
  <c r="C222" i="1"/>
  <c r="C218" i="1"/>
  <c r="C214" i="1"/>
  <c r="C210" i="1"/>
  <c r="C206" i="1"/>
  <c r="C202" i="1"/>
  <c r="C198" i="1"/>
  <c r="C194" i="1"/>
  <c r="C190" i="1"/>
  <c r="C186" i="1"/>
  <c r="C182" i="1"/>
  <c r="C178" i="1"/>
  <c r="C174" i="1"/>
  <c r="C170" i="1"/>
  <c r="C166" i="1"/>
  <c r="C162" i="1"/>
  <c r="C158" i="1"/>
  <c r="C154" i="1"/>
  <c r="C150" i="1"/>
  <c r="C146" i="1"/>
  <c r="C142" i="1"/>
  <c r="C138" i="1"/>
  <c r="C134" i="1"/>
  <c r="C130" i="1"/>
  <c r="C126" i="1"/>
  <c r="C122" i="1"/>
  <c r="C118" i="1"/>
  <c r="C114" i="1"/>
  <c r="C110" i="1"/>
  <c r="C106" i="1"/>
  <c r="C102" i="1"/>
  <c r="C98" i="1"/>
  <c r="C94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8" i="1"/>
  <c r="C34" i="1"/>
  <c r="C400" i="1"/>
  <c r="C368" i="1"/>
  <c r="C336" i="1"/>
  <c r="C304" i="1"/>
  <c r="C281" i="1"/>
  <c r="C265" i="1"/>
  <c r="C249" i="1"/>
  <c r="C233" i="1"/>
  <c r="C217" i="1"/>
  <c r="C201" i="1"/>
  <c r="C185" i="1"/>
  <c r="C169" i="1"/>
  <c r="C153" i="1"/>
  <c r="C137" i="1"/>
  <c r="C121" i="1"/>
  <c r="C105" i="1"/>
  <c r="C89" i="1"/>
  <c r="C73" i="1"/>
  <c r="C57" i="1"/>
  <c r="C41" i="1"/>
  <c r="C32" i="1"/>
  <c r="C28" i="1"/>
  <c r="C24" i="1"/>
  <c r="C20" i="1"/>
  <c r="C16" i="1"/>
  <c r="C12" i="1"/>
  <c r="C8" i="1"/>
  <c r="C4" i="1"/>
  <c r="C14" i="1"/>
  <c r="C408" i="1"/>
  <c r="C312" i="1"/>
  <c r="C253" i="1"/>
  <c r="C205" i="1"/>
  <c r="C157" i="1"/>
  <c r="C109" i="1"/>
  <c r="C61" i="1"/>
  <c r="C33" i="1"/>
  <c r="C21" i="1"/>
  <c r="C5" i="1"/>
  <c r="C424" i="1"/>
  <c r="C392" i="1"/>
  <c r="C360" i="1"/>
  <c r="C328" i="1"/>
  <c r="C296" i="1"/>
  <c r="C277" i="1"/>
  <c r="C261" i="1"/>
  <c r="C245" i="1"/>
  <c r="C229" i="1"/>
  <c r="C213" i="1"/>
  <c r="C197" i="1"/>
  <c r="C181" i="1"/>
  <c r="C165" i="1"/>
  <c r="C149" i="1"/>
  <c r="C133" i="1"/>
  <c r="C117" i="1"/>
  <c r="C101" i="1"/>
  <c r="C85" i="1"/>
  <c r="C69" i="1"/>
  <c r="C53" i="1"/>
  <c r="C37" i="1"/>
  <c r="C31" i="1"/>
  <c r="C27" i="1"/>
  <c r="C23" i="1"/>
  <c r="C19" i="1"/>
  <c r="C15" i="1"/>
  <c r="C11" i="1"/>
  <c r="C7" i="1"/>
  <c r="C22" i="1"/>
  <c r="C10" i="1"/>
  <c r="C376" i="1"/>
  <c r="C285" i="1"/>
  <c r="C237" i="1"/>
  <c r="C189" i="1"/>
  <c r="C141" i="1"/>
  <c r="C93" i="1"/>
  <c r="C45" i="1"/>
  <c r="C25" i="1"/>
  <c r="C17" i="1"/>
  <c r="C9" i="1"/>
  <c r="C416" i="1"/>
  <c r="C384" i="1"/>
  <c r="C352" i="1"/>
  <c r="C320" i="1"/>
  <c r="C289" i="1"/>
  <c r="C273" i="1"/>
  <c r="C257" i="1"/>
  <c r="C241" i="1"/>
  <c r="C225" i="1"/>
  <c r="C209" i="1"/>
  <c r="C193" i="1"/>
  <c r="C177" i="1"/>
  <c r="C161" i="1"/>
  <c r="C145" i="1"/>
  <c r="C129" i="1"/>
  <c r="C113" i="1"/>
  <c r="C97" i="1"/>
  <c r="C81" i="1"/>
  <c r="C65" i="1"/>
  <c r="C49" i="1"/>
  <c r="C35" i="1"/>
  <c r="C30" i="1"/>
  <c r="C26" i="1"/>
  <c r="C18" i="1"/>
  <c r="C6" i="1"/>
  <c r="C344" i="1"/>
  <c r="C269" i="1"/>
  <c r="C221" i="1"/>
  <c r="C173" i="1"/>
  <c r="C125" i="1"/>
  <c r="C77" i="1"/>
  <c r="C29" i="1"/>
  <c r="C13" i="1"/>
  <c r="A3" i="1"/>
  <c r="AS3" i="1"/>
  <c r="AR456" i="1"/>
  <c r="AR454" i="1"/>
  <c r="AR452" i="1"/>
  <c r="AR450" i="1"/>
  <c r="AR448" i="1"/>
  <c r="AR446" i="1"/>
  <c r="AR444" i="1"/>
  <c r="AR442" i="1"/>
  <c r="AR440" i="1"/>
  <c r="AR438" i="1"/>
  <c r="AR436" i="1"/>
  <c r="AR451" i="1"/>
  <c r="AR443" i="1"/>
  <c r="AR435" i="1"/>
  <c r="AR457" i="1"/>
  <c r="AR449" i="1"/>
  <c r="AR441" i="1"/>
  <c r="AR455" i="1"/>
  <c r="AR447" i="1"/>
  <c r="AR439" i="1"/>
  <c r="AR437" i="1"/>
  <c r="AR453" i="1"/>
  <c r="AR445" i="1"/>
  <c r="R3" i="1"/>
  <c r="F3" i="1"/>
  <c r="AB3" i="1"/>
  <c r="P3" i="1"/>
  <c r="J391" i="2" s="1"/>
  <c r="H3" i="1"/>
  <c r="N3" i="1"/>
  <c r="V3" i="1"/>
  <c r="AH3" i="1"/>
  <c r="AD3" i="1"/>
  <c r="AP3" i="1"/>
  <c r="AN3" i="1"/>
  <c r="T3" i="1"/>
  <c r="X3" i="1"/>
  <c r="Z3" i="1"/>
  <c r="J3" i="1"/>
  <c r="A1855" i="3"/>
  <c r="A1851" i="3"/>
  <c r="A1847" i="3"/>
  <c r="A1843" i="3"/>
  <c r="A1839" i="3"/>
  <c r="A1835" i="3"/>
  <c r="A1831" i="3"/>
  <c r="A1827" i="3"/>
  <c r="A1823" i="3"/>
  <c r="A1819" i="3"/>
  <c r="A1815" i="3"/>
  <c r="A1811" i="3"/>
  <c r="A1807" i="3"/>
  <c r="A1803" i="3"/>
  <c r="A1799" i="3"/>
  <c r="A1795" i="3"/>
  <c r="A1791" i="3"/>
  <c r="A1787" i="3"/>
  <c r="A1783" i="3"/>
  <c r="A1779" i="3"/>
  <c r="A1775" i="3"/>
  <c r="A1771" i="3"/>
  <c r="A1767" i="3"/>
  <c r="A1763" i="3"/>
  <c r="A1759" i="3"/>
  <c r="A1755" i="3"/>
  <c r="A1751" i="3"/>
  <c r="A1747" i="3"/>
  <c r="A1743" i="3"/>
  <c r="A1739" i="3"/>
  <c r="A1735" i="3"/>
  <c r="A1731" i="3"/>
  <c r="A1727" i="3"/>
  <c r="A1723" i="3"/>
  <c r="A1719" i="3"/>
  <c r="A1715" i="3"/>
  <c r="A1711" i="3"/>
  <c r="A1707" i="3"/>
  <c r="A1703" i="3"/>
  <c r="A1699" i="3"/>
  <c r="A1695" i="3"/>
  <c r="A1691" i="3"/>
  <c r="A1687" i="3"/>
  <c r="A1683" i="3"/>
  <c r="A1679" i="3"/>
  <c r="A1675" i="3"/>
  <c r="A1671" i="3"/>
  <c r="A1667" i="3"/>
  <c r="A1663" i="3"/>
  <c r="A1659" i="3"/>
  <c r="A1655" i="3"/>
  <c r="A1651" i="3"/>
  <c r="A1647" i="3"/>
  <c r="A1643" i="3"/>
  <c r="A1639" i="3"/>
  <c r="A1635" i="3"/>
  <c r="A1631" i="3"/>
  <c r="A1627" i="3"/>
  <c r="A1623" i="3"/>
  <c r="A1619" i="3"/>
  <c r="A1615" i="3"/>
  <c r="A1611" i="3"/>
  <c r="A1607" i="3"/>
  <c r="A1603" i="3"/>
  <c r="A1599" i="3"/>
  <c r="A1595" i="3"/>
  <c r="A1591" i="3"/>
  <c r="A1587" i="3"/>
  <c r="A1583" i="3"/>
  <c r="A1579" i="3"/>
  <c r="A1575" i="3"/>
  <c r="A1571" i="3"/>
  <c r="A1567" i="3"/>
  <c r="A1563" i="3"/>
  <c r="A1559" i="3"/>
  <c r="A1555" i="3"/>
  <c r="A1551" i="3"/>
  <c r="A1547" i="3"/>
  <c r="A1543" i="3"/>
  <c r="A1539" i="3"/>
  <c r="A1535" i="3"/>
  <c r="A1531" i="3"/>
  <c r="A1527" i="3"/>
  <c r="A1523" i="3"/>
  <c r="B3" i="3"/>
  <c r="A1853" i="3"/>
  <c r="A1848" i="3"/>
  <c r="A1842" i="3"/>
  <c r="A1837" i="3"/>
  <c r="A1832" i="3"/>
  <c r="A1826" i="3"/>
  <c r="A1821" i="3"/>
  <c r="A1816" i="3"/>
  <c r="A1810" i="3"/>
  <c r="A1805" i="3"/>
  <c r="A1800" i="3"/>
  <c r="A1794" i="3"/>
  <c r="A1789" i="3"/>
  <c r="A1784" i="3"/>
  <c r="A1778" i="3"/>
  <c r="A1773" i="3"/>
  <c r="A1768" i="3"/>
  <c r="A1762" i="3"/>
  <c r="A1757" i="3"/>
  <c r="A1752" i="3"/>
  <c r="A1746" i="3"/>
  <c r="A1741" i="3"/>
  <c r="A1736" i="3"/>
  <c r="A1730" i="3"/>
  <c r="A1725" i="3"/>
  <c r="A1720" i="3"/>
  <c r="A1714" i="3"/>
  <c r="A1709" i="3"/>
  <c r="A1704" i="3"/>
  <c r="A1698" i="3"/>
  <c r="A1693" i="3"/>
  <c r="A1688" i="3"/>
  <c r="A1682" i="3"/>
  <c r="A1677" i="3"/>
  <c r="A1672" i="3"/>
  <c r="A1666" i="3"/>
  <c r="A1661" i="3"/>
  <c r="A1656" i="3"/>
  <c r="A1650" i="3"/>
  <c r="A1645" i="3"/>
  <c r="A1640" i="3"/>
  <c r="A1634" i="3"/>
  <c r="A1629" i="3"/>
  <c r="A1624" i="3"/>
  <c r="A1618" i="3"/>
  <c r="A1613" i="3"/>
  <c r="A1608" i="3"/>
  <c r="A1602" i="3"/>
  <c r="A1597" i="3"/>
  <c r="A1592" i="3"/>
  <c r="A1586" i="3"/>
  <c r="A1581" i="3"/>
  <c r="A1576" i="3"/>
  <c r="A1570" i="3"/>
  <c r="A1565" i="3"/>
  <c r="A1560" i="3"/>
  <c r="A1554" i="3"/>
  <c r="A1549" i="3"/>
  <c r="A1544" i="3"/>
  <c r="A1538" i="3"/>
  <c r="A1533" i="3"/>
  <c r="A1528" i="3"/>
  <c r="A1522" i="3"/>
  <c r="A1518" i="3"/>
  <c r="A1514" i="3"/>
  <c r="A1510" i="3"/>
  <c r="A1506" i="3"/>
  <c r="A1502" i="3"/>
  <c r="A1498" i="3"/>
  <c r="A1494" i="3"/>
  <c r="A1490" i="3"/>
  <c r="A1486" i="3"/>
  <c r="A1482" i="3"/>
  <c r="A1478" i="3"/>
  <c r="A1474" i="3"/>
  <c r="A1470" i="3"/>
  <c r="A1466" i="3"/>
  <c r="A1462" i="3"/>
  <c r="A1458" i="3"/>
  <c r="A1454" i="3"/>
  <c r="A1450" i="3"/>
  <c r="A1446" i="3"/>
  <c r="A1442" i="3"/>
  <c r="A1438" i="3"/>
  <c r="A1434" i="3"/>
  <c r="A1430" i="3"/>
  <c r="A1426" i="3"/>
  <c r="A1422" i="3"/>
  <c r="A1418" i="3"/>
  <c r="A1414" i="3"/>
  <c r="A1410" i="3"/>
  <c r="A1406" i="3"/>
  <c r="A1402" i="3"/>
  <c r="A1398" i="3"/>
  <c r="A1394" i="3"/>
  <c r="A1390" i="3"/>
  <c r="A1386" i="3"/>
  <c r="A1382" i="3"/>
  <c r="A1378" i="3"/>
  <c r="A1374" i="3"/>
  <c r="A1370" i="3"/>
  <c r="A1366" i="3"/>
  <c r="A1362" i="3"/>
  <c r="A1358" i="3"/>
  <c r="A1354" i="3"/>
  <c r="A1350" i="3"/>
  <c r="A1346" i="3"/>
  <c r="A1342" i="3"/>
  <c r="A1338" i="3"/>
  <c r="A1334" i="3"/>
  <c r="A1330" i="3"/>
  <c r="A1326" i="3"/>
  <c r="A1322" i="3"/>
  <c r="A1318" i="3"/>
  <c r="A1314" i="3"/>
  <c r="A1310" i="3"/>
  <c r="A1306" i="3"/>
  <c r="A1302" i="3"/>
  <c r="A1298" i="3"/>
  <c r="A1294" i="3"/>
  <c r="A1290" i="3"/>
  <c r="A1286" i="3"/>
  <c r="A1282" i="3"/>
  <c r="A1278" i="3"/>
  <c r="A1274" i="3"/>
  <c r="A1270" i="3"/>
  <c r="A1266" i="3"/>
  <c r="A1262" i="3"/>
  <c r="A1258" i="3"/>
  <c r="A1254" i="3"/>
  <c r="A1250" i="3"/>
  <c r="A1246" i="3"/>
  <c r="A1242" i="3"/>
  <c r="A1238" i="3"/>
  <c r="A1234" i="3"/>
  <c r="A1230" i="3"/>
  <c r="A1226" i="3"/>
  <c r="A1222" i="3"/>
  <c r="A1218" i="3"/>
  <c r="A1214" i="3"/>
  <c r="A1210" i="3"/>
  <c r="A1206" i="3"/>
  <c r="A1202" i="3"/>
  <c r="A1198" i="3"/>
  <c r="A1194" i="3"/>
  <c r="A1190" i="3"/>
  <c r="A1186" i="3"/>
  <c r="A1182" i="3"/>
  <c r="A1178" i="3"/>
  <c r="A1174" i="3"/>
  <c r="A1170" i="3"/>
  <c r="A1166" i="3"/>
  <c r="A1162" i="3"/>
  <c r="A1158" i="3"/>
  <c r="A1154" i="3"/>
  <c r="A1150" i="3"/>
  <c r="A1146" i="3"/>
  <c r="A1142" i="3"/>
  <c r="A1138" i="3"/>
  <c r="A1134" i="3"/>
  <c r="A1130" i="3"/>
  <c r="A1126" i="3"/>
  <c r="A1122" i="3"/>
  <c r="A1118" i="3"/>
  <c r="A1114" i="3"/>
  <c r="A1110" i="3"/>
  <c r="A1106" i="3"/>
  <c r="A1102" i="3"/>
  <c r="A1098" i="3"/>
  <c r="A1850" i="3"/>
  <c r="A1844" i="3"/>
  <c r="A1836" i="3"/>
  <c r="A1829" i="3"/>
  <c r="A1822" i="3"/>
  <c r="A1814" i="3"/>
  <c r="A1808" i="3"/>
  <c r="A1801" i="3"/>
  <c r="A1793" i="3"/>
  <c r="A1786" i="3"/>
  <c r="A1780" i="3"/>
  <c r="A1772" i="3"/>
  <c r="A1765" i="3"/>
  <c r="A1758" i="3"/>
  <c r="A1750" i="3"/>
  <c r="A1744" i="3"/>
  <c r="A1737" i="3"/>
  <c r="A1729" i="3"/>
  <c r="A1722" i="3"/>
  <c r="A1716" i="3"/>
  <c r="A1708" i="3"/>
  <c r="A1701" i="3"/>
  <c r="A1694" i="3"/>
  <c r="A1686" i="3"/>
  <c r="A1680" i="3"/>
  <c r="A1673" i="3"/>
  <c r="A1665" i="3"/>
  <c r="A1658" i="3"/>
  <c r="A1652" i="3"/>
  <c r="A1644" i="3"/>
  <c r="A1637" i="3"/>
  <c r="A1630" i="3"/>
  <c r="A1622" i="3"/>
  <c r="A1616" i="3"/>
  <c r="A1609" i="3"/>
  <c r="A1601" i="3"/>
  <c r="A1594" i="3"/>
  <c r="A1588" i="3"/>
  <c r="A1580" i="3"/>
  <c r="A1573" i="3"/>
  <c r="A1566" i="3"/>
  <c r="A1558" i="3"/>
  <c r="A1552" i="3"/>
  <c r="A1545" i="3"/>
  <c r="A1537" i="3"/>
  <c r="A1530" i="3"/>
  <c r="A1524" i="3"/>
  <c r="A1517" i="3"/>
  <c r="A1512" i="3"/>
  <c r="A1507" i="3"/>
  <c r="A1501" i="3"/>
  <c r="A1496" i="3"/>
  <c r="A1491" i="3"/>
  <c r="A1485" i="3"/>
  <c r="A1480" i="3"/>
  <c r="A1475" i="3"/>
  <c r="A1469" i="3"/>
  <c r="A1464" i="3"/>
  <c r="A1459" i="3"/>
  <c r="A1453" i="3"/>
  <c r="A1448" i="3"/>
  <c r="A1443" i="3"/>
  <c r="A1437" i="3"/>
  <c r="A1432" i="3"/>
  <c r="A1427" i="3"/>
  <c r="A1421" i="3"/>
  <c r="A1416" i="3"/>
  <c r="A1411" i="3"/>
  <c r="A1405" i="3"/>
  <c r="A1400" i="3"/>
  <c r="A1395" i="3"/>
  <c r="A1389" i="3"/>
  <c r="A1384" i="3"/>
  <c r="A1379" i="3"/>
  <c r="A1373" i="3"/>
  <c r="A1368" i="3"/>
  <c r="A1363" i="3"/>
  <c r="A1357" i="3"/>
  <c r="A1352" i="3"/>
  <c r="A1347" i="3"/>
  <c r="A1341" i="3"/>
  <c r="A1336" i="3"/>
  <c r="A1331" i="3"/>
  <c r="A1325" i="3"/>
  <c r="A1320" i="3"/>
  <c r="A1315" i="3"/>
  <c r="A1309" i="3"/>
  <c r="A1304" i="3"/>
  <c r="A1299" i="3"/>
  <c r="A1293" i="3"/>
  <c r="A1288" i="3"/>
  <c r="A1283" i="3"/>
  <c r="A1277" i="3"/>
  <c r="A1272" i="3"/>
  <c r="A1267" i="3"/>
  <c r="A1261" i="3"/>
  <c r="A1256" i="3"/>
  <c r="A1251" i="3"/>
  <c r="A1245" i="3"/>
  <c r="A1240" i="3"/>
  <c r="A1235" i="3"/>
  <c r="A1229" i="3"/>
  <c r="A1224" i="3"/>
  <c r="A1219" i="3"/>
  <c r="A1213" i="3"/>
  <c r="A1208" i="3"/>
  <c r="A1203" i="3"/>
  <c r="A1197" i="3"/>
  <c r="A1192" i="3"/>
  <c r="A1187" i="3"/>
  <c r="A1181" i="3"/>
  <c r="A1176" i="3"/>
  <c r="A1171" i="3"/>
  <c r="A1165" i="3"/>
  <c r="A1160" i="3"/>
  <c r="A1155" i="3"/>
  <c r="A1149" i="3"/>
  <c r="A1144" i="3"/>
  <c r="A1139" i="3"/>
  <c r="A1133" i="3"/>
  <c r="A1128" i="3"/>
  <c r="A1123" i="3"/>
  <c r="A1117" i="3"/>
  <c r="A1112" i="3"/>
  <c r="A1107" i="3"/>
  <c r="A1101" i="3"/>
  <c r="A1096" i="3"/>
  <c r="A1092" i="3"/>
  <c r="A1088" i="3"/>
  <c r="A1084" i="3"/>
  <c r="A1080" i="3"/>
  <c r="A1076" i="3"/>
  <c r="A1072" i="3"/>
  <c r="A1068" i="3"/>
  <c r="A1064" i="3"/>
  <c r="A1060" i="3"/>
  <c r="A1056" i="3"/>
  <c r="A1052" i="3"/>
  <c r="A1048" i="3"/>
  <c r="A1044" i="3"/>
  <c r="A1040" i="3"/>
  <c r="A1036" i="3"/>
  <c r="A1032" i="3"/>
  <c r="A1028" i="3"/>
  <c r="A1024" i="3"/>
  <c r="A1020" i="3"/>
  <c r="A1016" i="3"/>
  <c r="A1012" i="3"/>
  <c r="A1008" i="3"/>
  <c r="A1004" i="3"/>
  <c r="A1000" i="3"/>
  <c r="A996" i="3"/>
  <c r="A992" i="3"/>
  <c r="A988" i="3"/>
  <c r="A984" i="3"/>
  <c r="A980" i="3"/>
  <c r="A976" i="3"/>
  <c r="A972" i="3"/>
  <c r="A968" i="3"/>
  <c r="A964" i="3"/>
  <c r="A960" i="3"/>
  <c r="A956" i="3"/>
  <c r="A952" i="3"/>
  <c r="A948" i="3"/>
  <c r="A944" i="3"/>
  <c r="A940" i="3"/>
  <c r="A936" i="3"/>
  <c r="A932" i="3"/>
  <c r="A928" i="3"/>
  <c r="A924" i="3"/>
  <c r="A920" i="3"/>
  <c r="A916" i="3"/>
  <c r="A912" i="3"/>
  <c r="A908" i="3"/>
  <c r="A904" i="3"/>
  <c r="A900" i="3"/>
  <c r="A896" i="3"/>
  <c r="A892" i="3"/>
  <c r="A888" i="3"/>
  <c r="A884" i="3"/>
  <c r="A880" i="3"/>
  <c r="A876" i="3"/>
  <c r="A872" i="3"/>
  <c r="A868" i="3"/>
  <c r="A864" i="3"/>
  <c r="A860" i="3"/>
  <c r="A856" i="3"/>
  <c r="A852" i="3"/>
  <c r="A848" i="3"/>
  <c r="A844" i="3"/>
  <c r="A840" i="3"/>
  <c r="A836" i="3"/>
  <c r="A832" i="3"/>
  <c r="A828" i="3"/>
  <c r="A824" i="3"/>
  <c r="A820" i="3"/>
  <c r="A816" i="3"/>
  <c r="A812" i="3"/>
  <c r="A808" i="3"/>
  <c r="A804" i="3"/>
  <c r="A800" i="3"/>
  <c r="A796" i="3"/>
  <c r="A792" i="3"/>
  <c r="A788" i="3"/>
  <c r="A784" i="3"/>
  <c r="A780" i="3"/>
  <c r="A776" i="3"/>
  <c r="A772" i="3"/>
  <c r="A768" i="3"/>
  <c r="A764" i="3"/>
  <c r="A760" i="3"/>
  <c r="A756" i="3"/>
  <c r="A752" i="3"/>
  <c r="A748" i="3"/>
  <c r="A744" i="3"/>
  <c r="A740" i="3"/>
  <c r="A736" i="3"/>
  <c r="A732" i="3"/>
  <c r="A728" i="3"/>
  <c r="A724" i="3"/>
  <c r="A720" i="3"/>
  <c r="A716" i="3"/>
  <c r="A712" i="3"/>
  <c r="A708" i="3"/>
  <c r="A704" i="3"/>
  <c r="A700" i="3"/>
  <c r="A696" i="3"/>
  <c r="A692" i="3"/>
  <c r="A688" i="3"/>
  <c r="A684" i="3"/>
  <c r="A680" i="3"/>
  <c r="A676" i="3"/>
  <c r="A672" i="3"/>
  <c r="A668" i="3"/>
  <c r="A664" i="3"/>
  <c r="A660" i="3"/>
  <c r="A656" i="3"/>
  <c r="A652" i="3"/>
  <c r="A648" i="3"/>
  <c r="A644" i="3"/>
  <c r="A640" i="3"/>
  <c r="A636" i="3"/>
  <c r="A632" i="3"/>
  <c r="A628" i="3"/>
  <c r="A624" i="3"/>
  <c r="A620" i="3"/>
  <c r="A616" i="3"/>
  <c r="A612" i="3"/>
  <c r="A608" i="3"/>
  <c r="A604" i="3"/>
  <c r="A600" i="3"/>
  <c r="A596" i="3"/>
  <c r="A592" i="3"/>
  <c r="A588" i="3"/>
  <c r="A584" i="3"/>
  <c r="A580" i="3"/>
  <c r="A576" i="3"/>
  <c r="A572" i="3"/>
  <c r="A568" i="3"/>
  <c r="A564" i="3"/>
  <c r="A560" i="3"/>
  <c r="A556" i="3"/>
  <c r="A552" i="3"/>
  <c r="A548" i="3"/>
  <c r="A544" i="3"/>
  <c r="A540" i="3"/>
  <c r="A536" i="3"/>
  <c r="A532" i="3"/>
  <c r="A528" i="3"/>
  <c r="A524" i="3"/>
  <c r="A520" i="3"/>
  <c r="A516" i="3"/>
  <c r="A512" i="3"/>
  <c r="A508" i="3"/>
  <c r="A504" i="3"/>
  <c r="A500" i="3"/>
  <c r="A496" i="3"/>
  <c r="A492" i="3"/>
  <c r="A488" i="3"/>
  <c r="A484" i="3"/>
  <c r="A480" i="3"/>
  <c r="A476" i="3"/>
  <c r="A472" i="3"/>
  <c r="A468" i="3"/>
  <c r="A464" i="3"/>
  <c r="A460" i="3"/>
  <c r="A456" i="3"/>
  <c r="A452" i="3"/>
  <c r="A448" i="3"/>
  <c r="A444" i="3"/>
  <c r="A440" i="3"/>
  <c r="A436" i="3"/>
  <c r="A432" i="3"/>
  <c r="A428" i="3"/>
  <c r="A424" i="3"/>
  <c r="A420" i="3"/>
  <c r="A416" i="3"/>
  <c r="A412" i="3"/>
  <c r="A409" i="3"/>
  <c r="A405" i="3"/>
  <c r="A401" i="3"/>
  <c r="A397" i="3"/>
  <c r="A393" i="3"/>
  <c r="A389" i="3"/>
  <c r="A385" i="3"/>
  <c r="A381" i="3"/>
  <c r="A377" i="3"/>
  <c r="A373" i="3"/>
  <c r="A369" i="3"/>
  <c r="A365" i="3"/>
  <c r="A361" i="3"/>
  <c r="A357" i="3"/>
  <c r="A353" i="3"/>
  <c r="A349" i="3"/>
  <c r="A345" i="3"/>
  <c r="A341" i="3"/>
  <c r="A337" i="3"/>
  <c r="A333" i="3"/>
  <c r="A329" i="3"/>
  <c r="A325" i="3"/>
  <c r="A321" i="3"/>
  <c r="A317" i="3"/>
  <c r="A313" i="3"/>
  <c r="A309" i="3"/>
  <c r="A305" i="3"/>
  <c r="A301" i="3"/>
  <c r="A297" i="3"/>
  <c r="A293" i="3"/>
  <c r="A289" i="3"/>
  <c r="A285" i="3"/>
  <c r="A281" i="3"/>
  <c r="A277" i="3"/>
  <c r="A273" i="3"/>
  <c r="A269" i="3"/>
  <c r="A265" i="3"/>
  <c r="A261" i="3"/>
  <c r="A257" i="3"/>
  <c r="A253" i="3"/>
  <c r="A249" i="3"/>
  <c r="A245" i="3"/>
  <c r="A241" i="3"/>
  <c r="A1852" i="3"/>
  <c r="A1841" i="3"/>
  <c r="A1833" i="3"/>
  <c r="A1824" i="3"/>
  <c r="A1813" i="3"/>
  <c r="A1804" i="3"/>
  <c r="A1796" i="3"/>
  <c r="A1785" i="3"/>
  <c r="A1776" i="3"/>
  <c r="A1766" i="3"/>
  <c r="A1756" i="3"/>
  <c r="A1748" i="3"/>
  <c r="A1738" i="3"/>
  <c r="A1728" i="3"/>
  <c r="A1718" i="3"/>
  <c r="A1710" i="3"/>
  <c r="A1700" i="3"/>
  <c r="A1690" i="3"/>
  <c r="A1681" i="3"/>
  <c r="A1670" i="3"/>
  <c r="A1662" i="3"/>
  <c r="A1653" i="3"/>
  <c r="A1642" i="3"/>
  <c r="A1633" i="3"/>
  <c r="A1625" i="3"/>
  <c r="A1614" i="3"/>
  <c r="A1605" i="3"/>
  <c r="A1596" i="3"/>
  <c r="A1585" i="3"/>
  <c r="A1577" i="3"/>
  <c r="A1568" i="3"/>
  <c r="A1557" i="3"/>
  <c r="A1548" i="3"/>
  <c r="A1540" i="3"/>
  <c r="A1529" i="3"/>
  <c r="A1520" i="3"/>
  <c r="A1513" i="3"/>
  <c r="A1505" i="3"/>
  <c r="A1499" i="3"/>
  <c r="A1492" i="3"/>
  <c r="A1484" i="3"/>
  <c r="A1477" i="3"/>
  <c r="A1471" i="3"/>
  <c r="A1463" i="3"/>
  <c r="A1456" i="3"/>
  <c r="A1449" i="3"/>
  <c r="A1441" i="3"/>
  <c r="A1435" i="3"/>
  <c r="A1428" i="3"/>
  <c r="A1420" i="3"/>
  <c r="A1413" i="3"/>
  <c r="A1407" i="3"/>
  <c r="A1399" i="3"/>
  <c r="A1392" i="3"/>
  <c r="A1385" i="3"/>
  <c r="A1377" i="3"/>
  <c r="A1371" i="3"/>
  <c r="A1364" i="3"/>
  <c r="A1356" i="3"/>
  <c r="A1349" i="3"/>
  <c r="A1343" i="3"/>
  <c r="A1335" i="3"/>
  <c r="A1328" i="3"/>
  <c r="A1321" i="3"/>
  <c r="A1313" i="3"/>
  <c r="A1307" i="3"/>
  <c r="A1300" i="3"/>
  <c r="A1292" i="3"/>
  <c r="A1285" i="3"/>
  <c r="A1279" i="3"/>
  <c r="A1271" i="3"/>
  <c r="A1264" i="3"/>
  <c r="A1257" i="3"/>
  <c r="A1249" i="3"/>
  <c r="A1243" i="3"/>
  <c r="A1236" i="3"/>
  <c r="A1228" i="3"/>
  <c r="A1221" i="3"/>
  <c r="A1215" i="3"/>
  <c r="A1207" i="3"/>
  <c r="A1200" i="3"/>
  <c r="A1193" i="3"/>
  <c r="A1185" i="3"/>
  <c r="A1179" i="3"/>
  <c r="A1172" i="3"/>
  <c r="A1854" i="3"/>
  <c r="A1840" i="3"/>
  <c r="A1828" i="3"/>
  <c r="A1817" i="3"/>
  <c r="A1802" i="3"/>
  <c r="A1790" i="3"/>
  <c r="A1777" i="3"/>
  <c r="A1764" i="3"/>
  <c r="A1753" i="3"/>
  <c r="A1740" i="3"/>
  <c r="A1726" i="3"/>
  <c r="A1713" i="3"/>
  <c r="A1702" i="3"/>
  <c r="A1689" i="3"/>
  <c r="A1676" i="3"/>
  <c r="A1664" i="3"/>
  <c r="A1649" i="3"/>
  <c r="A1638" i="3"/>
  <c r="A1626" i="3"/>
  <c r="A1612" i="3"/>
  <c r="A1600" i="3"/>
  <c r="A1589" i="3"/>
  <c r="A1574" i="3"/>
  <c r="A1562" i="3"/>
  <c r="A1550" i="3"/>
  <c r="A1536" i="3"/>
  <c r="A1525" i="3"/>
  <c r="A1515" i="3"/>
  <c r="A1504" i="3"/>
  <c r="A1495" i="3"/>
  <c r="A1487" i="3"/>
  <c r="A1476" i="3"/>
  <c r="A1467" i="3"/>
  <c r="A1457" i="3"/>
  <c r="A1447" i="3"/>
  <c r="A1439" i="3"/>
  <c r="A1429" i="3"/>
  <c r="A1419" i="3"/>
  <c r="A1409" i="3"/>
  <c r="A1401" i="3"/>
  <c r="A1391" i="3"/>
  <c r="A1381" i="3"/>
  <c r="A1372" i="3"/>
  <c r="A1361" i="3"/>
  <c r="A1353" i="3"/>
  <c r="A1344" i="3"/>
  <c r="A1333" i="3"/>
  <c r="A1324" i="3"/>
  <c r="A1316" i="3"/>
  <c r="A1305" i="3"/>
  <c r="A1296" i="3"/>
  <c r="A1287" i="3"/>
  <c r="A1276" i="3"/>
  <c r="A1268" i="3"/>
  <c r="A1259" i="3"/>
  <c r="A1248" i="3"/>
  <c r="A1239" i="3"/>
  <c r="A1231" i="3"/>
  <c r="A1220" i="3"/>
  <c r="A1211" i="3"/>
  <c r="A1201" i="3"/>
  <c r="A1191" i="3"/>
  <c r="A1183" i="3"/>
  <c r="A1173" i="3"/>
  <c r="A1164" i="3"/>
  <c r="A1157" i="3"/>
  <c r="A1151" i="3"/>
  <c r="A1143" i="3"/>
  <c r="A1136" i="3"/>
  <c r="A1129" i="3"/>
  <c r="A1121" i="3"/>
  <c r="A1115" i="3"/>
  <c r="A1108" i="3"/>
  <c r="A1100" i="3"/>
  <c r="A1094" i="3"/>
  <c r="A1089" i="3"/>
  <c r="A1083" i="3"/>
  <c r="A1078" i="3"/>
  <c r="A1073" i="3"/>
  <c r="A1067" i="3"/>
  <c r="A1062" i="3"/>
  <c r="A1057" i="3"/>
  <c r="A1051" i="3"/>
  <c r="A1046" i="3"/>
  <c r="A1041" i="3"/>
  <c r="A1846" i="3"/>
  <c r="A1830" i="3"/>
  <c r="A1812" i="3"/>
  <c r="A1797" i="3"/>
  <c r="A1781" i="3"/>
  <c r="A1761" i="3"/>
  <c r="A1745" i="3"/>
  <c r="A1732" i="3"/>
  <c r="A1712" i="3"/>
  <c r="A1696" i="3"/>
  <c r="A1678" i="3"/>
  <c r="A1660" i="3"/>
  <c r="A1646" i="3"/>
  <c r="A1628" i="3"/>
  <c r="A1610" i="3"/>
  <c r="A1593" i="3"/>
  <c r="A1578" i="3"/>
  <c r="A1561" i="3"/>
  <c r="A1542" i="3"/>
  <c r="A1526" i="3"/>
  <c r="A1511" i="3"/>
  <c r="A1500" i="3"/>
  <c r="A1488" i="3"/>
  <c r="A1473" i="3"/>
  <c r="A1461" i="3"/>
  <c r="A1451" i="3"/>
  <c r="A1436" i="3"/>
  <c r="A1424" i="3"/>
  <c r="A1412" i="3"/>
  <c r="A1397" i="3"/>
  <c r="A1387" i="3"/>
  <c r="A1375" i="3"/>
  <c r="A1360" i="3"/>
  <c r="A1348" i="3"/>
  <c r="A1337" i="3"/>
  <c r="A1323" i="3"/>
  <c r="A1311" i="3"/>
  <c r="A1297" i="3"/>
  <c r="A1284" i="3"/>
  <c r="A1273" i="3"/>
  <c r="A1260" i="3"/>
  <c r="A1247" i="3"/>
  <c r="A1233" i="3"/>
  <c r="A1223" i="3"/>
  <c r="A1209" i="3"/>
  <c r="A1196" i="3"/>
  <c r="A1184" i="3"/>
  <c r="A1169" i="3"/>
  <c r="A1161" i="3"/>
  <c r="A1152" i="3"/>
  <c r="A1141" i="3"/>
  <c r="A1132" i="3"/>
  <c r="A1124" i="3"/>
  <c r="A1113" i="3"/>
  <c r="A1104" i="3"/>
  <c r="A1095" i="3"/>
  <c r="A1087" i="3"/>
  <c r="A1081" i="3"/>
  <c r="A1074" i="3"/>
  <c r="A1066" i="3"/>
  <c r="A1059" i="3"/>
  <c r="A1053" i="3"/>
  <c r="A1045" i="3"/>
  <c r="A1038" i="3"/>
  <c r="A1033" i="3"/>
  <c r="A1027" i="3"/>
  <c r="A1022" i="3"/>
  <c r="A1017" i="3"/>
  <c r="A1011" i="3"/>
  <c r="A1006" i="3"/>
  <c r="A1001" i="3"/>
  <c r="A995" i="3"/>
  <c r="A990" i="3"/>
  <c r="A985" i="3"/>
  <c r="A979" i="3"/>
  <c r="A974" i="3"/>
  <c r="A969" i="3"/>
  <c r="A963" i="3"/>
  <c r="A958" i="3"/>
  <c r="A953" i="3"/>
  <c r="A947" i="3"/>
  <c r="A942" i="3"/>
  <c r="A937" i="3"/>
  <c r="A931" i="3"/>
  <c r="A926" i="3"/>
  <c r="A921" i="3"/>
  <c r="A915" i="3"/>
  <c r="A910" i="3"/>
  <c r="A905" i="3"/>
  <c r="A899" i="3"/>
  <c r="A894" i="3"/>
  <c r="A889" i="3"/>
  <c r="A883" i="3"/>
  <c r="A878" i="3"/>
  <c r="A873" i="3"/>
  <c r="A867" i="3"/>
  <c r="A862" i="3"/>
  <c r="A857" i="3"/>
  <c r="A851" i="3"/>
  <c r="A846" i="3"/>
  <c r="A841" i="3"/>
  <c r="A835" i="3"/>
  <c r="A830" i="3"/>
  <c r="A825" i="3"/>
  <c r="A819" i="3"/>
  <c r="A814" i="3"/>
  <c r="A809" i="3"/>
  <c r="A803" i="3"/>
  <c r="A798" i="3"/>
  <c r="A793" i="3"/>
  <c r="A787" i="3"/>
  <c r="A782" i="3"/>
  <c r="A777" i="3"/>
  <c r="A771" i="3"/>
  <c r="A766" i="3"/>
  <c r="A761" i="3"/>
  <c r="A755" i="3"/>
  <c r="A750" i="3"/>
  <c r="A745" i="3"/>
  <c r="A739" i="3"/>
  <c r="A734" i="3"/>
  <c r="A729" i="3"/>
  <c r="A723" i="3"/>
  <c r="A718" i="3"/>
  <c r="A713" i="3"/>
  <c r="A707" i="3"/>
  <c r="A702" i="3"/>
  <c r="A697" i="3"/>
  <c r="A691" i="3"/>
  <c r="A686" i="3"/>
  <c r="A681" i="3"/>
  <c r="A675" i="3"/>
  <c r="A670" i="3"/>
  <c r="A665" i="3"/>
  <c r="A659" i="3"/>
  <c r="A654" i="3"/>
  <c r="A649" i="3"/>
  <c r="A643" i="3"/>
  <c r="A638" i="3"/>
  <c r="A633" i="3"/>
  <c r="A627" i="3"/>
  <c r="A622" i="3"/>
  <c r="A617" i="3"/>
  <c r="A611" i="3"/>
  <c r="A606" i="3"/>
  <c r="A601" i="3"/>
  <c r="A595" i="3"/>
  <c r="A590" i="3"/>
  <c r="A585" i="3"/>
  <c r="A579" i="3"/>
  <c r="A574" i="3"/>
  <c r="A569" i="3"/>
  <c r="A563" i="3"/>
  <c r="A558" i="3"/>
  <c r="A553" i="3"/>
  <c r="A547" i="3"/>
  <c r="A542" i="3"/>
  <c r="A537" i="3"/>
  <c r="A531" i="3"/>
  <c r="A526" i="3"/>
  <c r="A521" i="3"/>
  <c r="A515" i="3"/>
  <c r="A510" i="3"/>
  <c r="A505" i="3"/>
  <c r="A499" i="3"/>
  <c r="A494" i="3"/>
  <c r="A489" i="3"/>
  <c r="A483" i="3"/>
  <c r="A478" i="3"/>
  <c r="A473" i="3"/>
  <c r="A1849" i="3"/>
  <c r="A1825" i="3"/>
  <c r="A1806" i="3"/>
  <c r="A1782" i="3"/>
  <c r="A1760" i="3"/>
  <c r="A1734" i="3"/>
  <c r="A1717" i="3"/>
  <c r="A1692" i="3"/>
  <c r="A1669" i="3"/>
  <c r="A1648" i="3"/>
  <c r="A1621" i="3"/>
  <c r="A1604" i="3"/>
  <c r="A1582" i="3"/>
  <c r="A1556" i="3"/>
  <c r="A1534" i="3"/>
  <c r="A1516" i="3"/>
  <c r="A1497" i="3"/>
  <c r="A1481" i="3"/>
  <c r="A1465" i="3"/>
  <c r="A1445" i="3"/>
  <c r="A1431" i="3"/>
  <c r="A1415" i="3"/>
  <c r="A1396" i="3"/>
  <c r="A1380" i="3"/>
  <c r="A1365" i="3"/>
  <c r="A1345" i="3"/>
  <c r="A1329" i="3"/>
  <c r="A1312" i="3"/>
  <c r="A1295" i="3"/>
  <c r="A1280" i="3"/>
  <c r="A1263" i="3"/>
  <c r="A1244" i="3"/>
  <c r="A1227" i="3"/>
  <c r="A1212" i="3"/>
  <c r="A1195" i="3"/>
  <c r="A1177" i="3"/>
  <c r="A1163" i="3"/>
  <c r="A1148" i="3"/>
  <c r="A1137" i="3"/>
  <c r="A1125" i="3"/>
  <c r="A1111" i="3"/>
  <c r="A1099" i="3"/>
  <c r="A1090" i="3"/>
  <c r="A1079" i="3"/>
  <c r="A1070" i="3"/>
  <c r="A1061" i="3"/>
  <c r="A1050" i="3"/>
  <c r="A1042" i="3"/>
  <c r="A1034" i="3"/>
  <c r="A1026" i="3"/>
  <c r="A1019" i="3"/>
  <c r="A1013" i="3"/>
  <c r="A1005" i="3"/>
  <c r="A998" i="3"/>
  <c r="A991" i="3"/>
  <c r="A983" i="3"/>
  <c r="A977" i="3"/>
  <c r="A970" i="3"/>
  <c r="A962" i="3"/>
  <c r="A955" i="3"/>
  <c r="A949" i="3"/>
  <c r="A941" i="3"/>
  <c r="A934" i="3"/>
  <c r="A927" i="3"/>
  <c r="A919" i="3"/>
  <c r="A913" i="3"/>
  <c r="A906" i="3"/>
  <c r="A898" i="3"/>
  <c r="A891" i="3"/>
  <c r="A885" i="3"/>
  <c r="A877" i="3"/>
  <c r="A870" i="3"/>
  <c r="A863" i="3"/>
  <c r="A855" i="3"/>
  <c r="A849" i="3"/>
  <c r="A842" i="3"/>
  <c r="A834" i="3"/>
  <c r="A827" i="3"/>
  <c r="A821" i="3"/>
  <c r="A813" i="3"/>
  <c r="A806" i="3"/>
  <c r="A799" i="3"/>
  <c r="A791" i="3"/>
  <c r="A785" i="3"/>
  <c r="A778" i="3"/>
  <c r="A770" i="3"/>
  <c r="A763" i="3"/>
  <c r="A757" i="3"/>
  <c r="A749" i="3"/>
  <c r="A742" i="3"/>
  <c r="A735" i="3"/>
  <c r="A727" i="3"/>
  <c r="A721" i="3"/>
  <c r="A714" i="3"/>
  <c r="A706" i="3"/>
  <c r="A699" i="3"/>
  <c r="A693" i="3"/>
  <c r="A685" i="3"/>
  <c r="A678" i="3"/>
  <c r="A671" i="3"/>
  <c r="A663" i="3"/>
  <c r="A657" i="3"/>
  <c r="A650" i="3"/>
  <c r="A642" i="3"/>
  <c r="A635" i="3"/>
  <c r="A629" i="3"/>
  <c r="A621" i="3"/>
  <c r="A614" i="3"/>
  <c r="A607" i="3"/>
  <c r="A599" i="3"/>
  <c r="A593" i="3"/>
  <c r="A586" i="3"/>
  <c r="A578" i="3"/>
  <c r="A571" i="3"/>
  <c r="A565" i="3"/>
  <c r="A557" i="3"/>
  <c r="A550" i="3"/>
  <c r="A543" i="3"/>
  <c r="A535" i="3"/>
  <c r="A529" i="3"/>
  <c r="A522" i="3"/>
  <c r="A514" i="3"/>
  <c r="A507" i="3"/>
  <c r="A501" i="3"/>
  <c r="A493" i="3"/>
  <c r="A486" i="3"/>
  <c r="A479" i="3"/>
  <c r="A471" i="3"/>
  <c r="A466" i="3"/>
  <c r="A461" i="3"/>
  <c r="A455" i="3"/>
  <c r="A450" i="3"/>
  <c r="A445" i="3"/>
  <c r="A439" i="3"/>
  <c r="A434" i="3"/>
  <c r="A429" i="3"/>
  <c r="A423" i="3"/>
  <c r="A418" i="3"/>
  <c r="A413" i="3"/>
  <c r="A408" i="3"/>
  <c r="A403" i="3"/>
  <c r="A398" i="3"/>
  <c r="A392" i="3"/>
  <c r="A387" i="3"/>
  <c r="A382" i="3"/>
  <c r="A376" i="3"/>
  <c r="A371" i="3"/>
  <c r="A366" i="3"/>
  <c r="A360" i="3"/>
  <c r="A355" i="3"/>
  <c r="A350" i="3"/>
  <c r="A344" i="3"/>
  <c r="A339" i="3"/>
  <c r="A334" i="3"/>
  <c r="A328" i="3"/>
  <c r="A323" i="3"/>
  <c r="A318" i="3"/>
  <c r="A312" i="3"/>
  <c r="A307" i="3"/>
  <c r="A302" i="3"/>
  <c r="A296" i="3"/>
  <c r="A291" i="3"/>
  <c r="A286" i="3"/>
  <c r="A280" i="3"/>
  <c r="A275" i="3"/>
  <c r="A270" i="3"/>
  <c r="A264" i="3"/>
  <c r="A259" i="3"/>
  <c r="A254" i="3"/>
  <c r="A248" i="3"/>
  <c r="A1838" i="3"/>
  <c r="A1809" i="3"/>
  <c r="A1774" i="3"/>
  <c r="A1749" i="3"/>
  <c r="A1721" i="3"/>
  <c r="A1685" i="3"/>
  <c r="A1657" i="3"/>
  <c r="A1632" i="3"/>
  <c r="A1598" i="3"/>
  <c r="A1569" i="3"/>
  <c r="A1541" i="3"/>
  <c r="A1509" i="3"/>
  <c r="A1489" i="3"/>
  <c r="A1468" i="3"/>
  <c r="A1444" i="3"/>
  <c r="A1423" i="3"/>
  <c r="A1403" i="3"/>
  <c r="A1376" i="3"/>
  <c r="A1355" i="3"/>
  <c r="A1332" i="3"/>
  <c r="A1308" i="3"/>
  <c r="A1289" i="3"/>
  <c r="A1265" i="3"/>
  <c r="A1241" i="3"/>
  <c r="A1217" i="3"/>
  <c r="A1199" i="3"/>
  <c r="A1175" i="3"/>
  <c r="A1156" i="3"/>
  <c r="A1140" i="3"/>
  <c r="A1120" i="3"/>
  <c r="A1105" i="3"/>
  <c r="A1091" i="3"/>
  <c r="A1077" i="3"/>
  <c r="A1065" i="3"/>
  <c r="A1054" i="3"/>
  <c r="A1039" i="3"/>
  <c r="A1030" i="3"/>
  <c r="A1021" i="3"/>
  <c r="A1010" i="3"/>
  <c r="A1002" i="3"/>
  <c r="A993" i="3"/>
  <c r="A982" i="3"/>
  <c r="A973" i="3"/>
  <c r="A965" i="3"/>
  <c r="A954" i="3"/>
  <c r="A945" i="3"/>
  <c r="A935" i="3"/>
  <c r="A925" i="3"/>
  <c r="A917" i="3"/>
  <c r="A907" i="3"/>
  <c r="A897" i="3"/>
  <c r="A887" i="3"/>
  <c r="A879" i="3"/>
  <c r="A869" i="3"/>
  <c r="A859" i="3"/>
  <c r="A850" i="3"/>
  <c r="A839" i="3"/>
  <c r="A831" i="3"/>
  <c r="A822" i="3"/>
  <c r="A811" i="3"/>
  <c r="A802" i="3"/>
  <c r="A794" i="3"/>
  <c r="A783" i="3"/>
  <c r="A774" i="3"/>
  <c r="A765" i="3"/>
  <c r="A754" i="3"/>
  <c r="A746" i="3"/>
  <c r="A737" i="3"/>
  <c r="A726" i="3"/>
  <c r="A717" i="3"/>
  <c r="A709" i="3"/>
  <c r="A698" i="3"/>
  <c r="A689" i="3"/>
  <c r="A679" i="3"/>
  <c r="A669" i="3"/>
  <c r="A661" i="3"/>
  <c r="A651" i="3"/>
  <c r="A641" i="3"/>
  <c r="A631" i="3"/>
  <c r="A623" i="3"/>
  <c r="A613" i="3"/>
  <c r="A603" i="3"/>
  <c r="A594" i="3"/>
  <c r="A583" i="3"/>
  <c r="A575" i="3"/>
  <c r="A566" i="3"/>
  <c r="A555" i="3"/>
  <c r="A546" i="3"/>
  <c r="A538" i="3"/>
  <c r="A527" i="3"/>
  <c r="A518" i="3"/>
  <c r="A509" i="3"/>
  <c r="A498" i="3"/>
  <c r="A490" i="3"/>
  <c r="A481" i="3"/>
  <c r="A470" i="3"/>
  <c r="A463" i="3"/>
  <c r="A457" i="3"/>
  <c r="A449" i="3"/>
  <c r="A442" i="3"/>
  <c r="A435" i="3"/>
  <c r="A427" i="3"/>
  <c r="A421" i="3"/>
  <c r="A414" i="3"/>
  <c r="A407" i="3"/>
  <c r="A400" i="3"/>
  <c r="A394" i="3"/>
  <c r="A386" i="3"/>
  <c r="A379" i="3"/>
  <c r="A372" i="3"/>
  <c r="A364" i="3"/>
  <c r="A358" i="3"/>
  <c r="A351" i="3"/>
  <c r="A343" i="3"/>
  <c r="A336" i="3"/>
  <c r="A330" i="3"/>
  <c r="A322" i="3"/>
  <c r="A315" i="3"/>
  <c r="A308" i="3"/>
  <c r="A300" i="3"/>
  <c r="A294" i="3"/>
  <c r="A287" i="3"/>
  <c r="A279" i="3"/>
  <c r="A272" i="3"/>
  <c r="A266" i="3"/>
  <c r="A258" i="3"/>
  <c r="A251" i="3"/>
  <c r="A244" i="3"/>
  <c r="A239" i="3"/>
  <c r="A235" i="3"/>
  <c r="A231" i="3"/>
  <c r="A227" i="3"/>
  <c r="A223" i="3"/>
  <c r="A219" i="3"/>
  <c r="A215" i="3"/>
  <c r="A211" i="3"/>
  <c r="A207" i="3"/>
  <c r="A203" i="3"/>
  <c r="A199" i="3"/>
  <c r="A195" i="3"/>
  <c r="A191" i="3"/>
  <c r="A187" i="3"/>
  <c r="A183" i="3"/>
  <c r="A179" i="3"/>
  <c r="A175" i="3"/>
  <c r="A171" i="3"/>
  <c r="A167" i="3"/>
  <c r="A163" i="3"/>
  <c r="A159" i="3"/>
  <c r="A155" i="3"/>
  <c r="A151" i="3"/>
  <c r="A147" i="3"/>
  <c r="A143" i="3"/>
  <c r="A139" i="3"/>
  <c r="A135" i="3"/>
  <c r="A131" i="3"/>
  <c r="A127" i="3"/>
  <c r="A123" i="3"/>
  <c r="A119" i="3"/>
  <c r="A115" i="3"/>
  <c r="A111" i="3"/>
  <c r="A107" i="3"/>
  <c r="A103" i="3"/>
  <c r="A99" i="3"/>
  <c r="A95" i="3"/>
  <c r="A91" i="3"/>
  <c r="A87" i="3"/>
  <c r="A83" i="3"/>
  <c r="A79" i="3"/>
  <c r="A75" i="3"/>
  <c r="A71" i="3"/>
  <c r="A67" i="3"/>
  <c r="A63" i="3"/>
  <c r="A59" i="3"/>
  <c r="A55" i="3"/>
  <c r="A51" i="3"/>
  <c r="A47" i="3"/>
  <c r="A43" i="3"/>
  <c r="A39" i="3"/>
  <c r="A35" i="3"/>
  <c r="A31" i="3"/>
  <c r="A27" i="3"/>
  <c r="A23" i="3"/>
  <c r="A19" i="3"/>
  <c r="A15" i="3"/>
  <c r="A11" i="3"/>
  <c r="A7" i="3"/>
  <c r="A1834" i="3"/>
  <c r="A1798" i="3"/>
  <c r="A1770" i="3"/>
  <c r="A1742" i="3"/>
  <c r="A1706" i="3"/>
  <c r="A1684" i="3"/>
  <c r="A1654" i="3"/>
  <c r="A1620" i="3"/>
  <c r="A1590" i="3"/>
  <c r="A1564" i="3"/>
  <c r="A1532" i="3"/>
  <c r="A1508" i="3"/>
  <c r="A1483" i="3"/>
  <c r="A1460" i="3"/>
  <c r="A1440" i="3"/>
  <c r="A1417" i="3"/>
  <c r="A1393" i="3"/>
  <c r="A1369" i="3"/>
  <c r="A1351" i="3"/>
  <c r="A1327" i="3"/>
  <c r="A1303" i="3"/>
  <c r="A1281" i="3"/>
  <c r="A1255" i="3"/>
  <c r="A1237" i="3"/>
  <c r="A1216" i="3"/>
  <c r="A1189" i="3"/>
  <c r="A1168" i="3"/>
  <c r="A1153" i="3"/>
  <c r="A1135" i="3"/>
  <c r="A1119" i="3"/>
  <c r="A1103" i="3"/>
  <c r="A1086" i="3"/>
  <c r="A1075" i="3"/>
  <c r="A1063" i="3"/>
  <c r="A1049" i="3"/>
  <c r="A1037" i="3"/>
  <c r="A1029" i="3"/>
  <c r="A1018" i="3"/>
  <c r="A1009" i="3"/>
  <c r="A999" i="3"/>
  <c r="A989" i="3"/>
  <c r="A981" i="3"/>
  <c r="A971" i="3"/>
  <c r="A961" i="3"/>
  <c r="A951" i="3"/>
  <c r="A943" i="3"/>
  <c r="A933" i="3"/>
  <c r="A923" i="3"/>
  <c r="A914" i="3"/>
  <c r="A903" i="3"/>
  <c r="A895" i="3"/>
  <c r="A886" i="3"/>
  <c r="A875" i="3"/>
  <c r="A866" i="3"/>
  <c r="A858" i="3"/>
  <c r="A847" i="3"/>
  <c r="A838" i="3"/>
  <c r="A829" i="3"/>
  <c r="A818" i="3"/>
  <c r="A810" i="3"/>
  <c r="A801" i="3"/>
  <c r="A790" i="3"/>
  <c r="A781" i="3"/>
  <c r="A773" i="3"/>
  <c r="A762" i="3"/>
  <c r="A753" i="3"/>
  <c r="A743" i="3"/>
  <c r="A733" i="3"/>
  <c r="A725" i="3"/>
  <c r="A715" i="3"/>
  <c r="A705" i="3"/>
  <c r="A695" i="3"/>
  <c r="A687" i="3"/>
  <c r="A677" i="3"/>
  <c r="A667" i="3"/>
  <c r="A658" i="3"/>
  <c r="A647" i="3"/>
  <c r="A639" i="3"/>
  <c r="A630" i="3"/>
  <c r="A619" i="3"/>
  <c r="A610" i="3"/>
  <c r="A602" i="3"/>
  <c r="A591" i="3"/>
  <c r="A582" i="3"/>
  <c r="A573" i="3"/>
  <c r="A562" i="3"/>
  <c r="A554" i="3"/>
  <c r="A545" i="3"/>
  <c r="A534" i="3"/>
  <c r="A525" i="3"/>
  <c r="A517" i="3"/>
  <c r="A506" i="3"/>
  <c r="A497" i="3"/>
  <c r="A487" i="3"/>
  <c r="A477" i="3"/>
  <c r="A469" i="3"/>
  <c r="A462" i="3"/>
  <c r="A454" i="3"/>
  <c r="A447" i="3"/>
  <c r="A441" i="3"/>
  <c r="A433" i="3"/>
  <c r="A426" i="3"/>
  <c r="A419" i="3"/>
  <c r="A411" i="3"/>
  <c r="A406" i="3"/>
  <c r="A399" i="3"/>
  <c r="A391" i="3"/>
  <c r="A384" i="3"/>
  <c r="A378" i="3"/>
  <c r="A370" i="3"/>
  <c r="A363" i="3"/>
  <c r="A356" i="3"/>
  <c r="A348" i="3"/>
  <c r="A342" i="3"/>
  <c r="A335" i="3"/>
  <c r="A327" i="3"/>
  <c r="A320" i="3"/>
  <c r="A314" i="3"/>
  <c r="A306" i="3"/>
  <c r="A299" i="3"/>
  <c r="A292" i="3"/>
  <c r="A284" i="3"/>
  <c r="A278" i="3"/>
  <c r="A271" i="3"/>
  <c r="A263" i="3"/>
  <c r="A256" i="3"/>
  <c r="A250" i="3"/>
  <c r="A243" i="3"/>
  <c r="A238" i="3"/>
  <c r="A234" i="3"/>
  <c r="A230" i="3"/>
  <c r="A226" i="3"/>
  <c r="A222" i="3"/>
  <c r="A218" i="3"/>
  <c r="A214" i="3"/>
  <c r="A210" i="3"/>
  <c r="A206" i="3"/>
  <c r="A202" i="3"/>
  <c r="A198" i="3"/>
  <c r="A194" i="3"/>
  <c r="A190" i="3"/>
  <c r="A186" i="3"/>
  <c r="A182" i="3"/>
  <c r="A178" i="3"/>
  <c r="A174" i="3"/>
  <c r="A170" i="3"/>
  <c r="A166" i="3"/>
  <c r="A162" i="3"/>
  <c r="A158" i="3"/>
  <c r="A154" i="3"/>
  <c r="A150" i="3"/>
  <c r="A146" i="3"/>
  <c r="A142" i="3"/>
  <c r="A138" i="3"/>
  <c r="A1845" i="3"/>
  <c r="A1788" i="3"/>
  <c r="A1724" i="3"/>
  <c r="A1668" i="3"/>
  <c r="A1606" i="3"/>
  <c r="A1546" i="3"/>
  <c r="A1493" i="3"/>
  <c r="A1452" i="3"/>
  <c r="A1404" i="3"/>
  <c r="A1359" i="3"/>
  <c r="A1317" i="3"/>
  <c r="A1269" i="3"/>
  <c r="A1225" i="3"/>
  <c r="A1180" i="3"/>
  <c r="A1145" i="3"/>
  <c r="A1109" i="3"/>
  <c r="A1082" i="3"/>
  <c r="A1055" i="3"/>
  <c r="A1031" i="3"/>
  <c r="A1014" i="3"/>
  <c r="A994" i="3"/>
  <c r="A975" i="3"/>
  <c r="A957" i="3"/>
  <c r="A938" i="3"/>
  <c r="A918" i="3"/>
  <c r="A901" i="3"/>
  <c r="A881" i="3"/>
  <c r="A861" i="3"/>
  <c r="A843" i="3"/>
  <c r="A823" i="3"/>
  <c r="A805" i="3"/>
  <c r="A786" i="3"/>
  <c r="A767" i="3"/>
  <c r="A747" i="3"/>
  <c r="A730" i="3"/>
  <c r="A710" i="3"/>
  <c r="A690" i="3"/>
  <c r="A673" i="3"/>
  <c r="A653" i="3"/>
  <c r="A634" i="3"/>
  <c r="A615" i="3"/>
  <c r="A597" i="3"/>
  <c r="A577" i="3"/>
  <c r="A559" i="3"/>
  <c r="A539" i="3"/>
  <c r="A519" i="3"/>
  <c r="A502" i="3"/>
  <c r="A482" i="3"/>
  <c r="A465" i="3"/>
  <c r="A451" i="3"/>
  <c r="A437" i="3"/>
  <c r="A422" i="3"/>
  <c r="A395" i="3"/>
  <c r="A380" i="3"/>
  <c r="A367" i="3"/>
  <c r="A352" i="3"/>
  <c r="A338" i="3"/>
  <c r="A324" i="3"/>
  <c r="A310" i="3"/>
  <c r="A295" i="3"/>
  <c r="A282" i="3"/>
  <c r="A267" i="3"/>
  <c r="A252" i="3"/>
  <c r="A240" i="3"/>
  <c r="A232" i="3"/>
  <c r="A224" i="3"/>
  <c r="A216" i="3"/>
  <c r="A208" i="3"/>
  <c r="A200" i="3"/>
  <c r="A192" i="3"/>
  <c r="A184" i="3"/>
  <c r="A176" i="3"/>
  <c r="A168" i="3"/>
  <c r="A160" i="3"/>
  <c r="A152" i="3"/>
  <c r="A144" i="3"/>
  <c r="A136" i="3"/>
  <c r="A130" i="3"/>
  <c r="A125" i="3"/>
  <c r="A120" i="3"/>
  <c r="A114" i="3"/>
  <c r="A109" i="3"/>
  <c r="A104" i="3"/>
  <c r="A98" i="3"/>
  <c r="A93" i="3"/>
  <c r="A88" i="3"/>
  <c r="A82" i="3"/>
  <c r="A77" i="3"/>
  <c r="A72" i="3"/>
  <c r="A66" i="3"/>
  <c r="A61" i="3"/>
  <c r="A56" i="3"/>
  <c r="A50" i="3"/>
  <c r="A45" i="3"/>
  <c r="A40" i="3"/>
  <c r="A34" i="3"/>
  <c r="A29" i="3"/>
  <c r="A24" i="3"/>
  <c r="A18" i="3"/>
  <c r="A13" i="3"/>
  <c r="A8" i="3"/>
  <c r="A1820" i="3"/>
  <c r="A1769" i="3"/>
  <c r="A1705" i="3"/>
  <c r="A1641" i="3"/>
  <c r="A1584" i="3"/>
  <c r="A1521" i="3"/>
  <c r="A1479" i="3"/>
  <c r="A1433" i="3"/>
  <c r="A1388" i="3"/>
  <c r="A1340" i="3"/>
  <c r="A1301" i="3"/>
  <c r="A1253" i="3"/>
  <c r="A1205" i="3"/>
  <c r="A1167" i="3"/>
  <c r="A1131" i="3"/>
  <c r="A1097" i="3"/>
  <c r="A1071" i="3"/>
  <c r="A1047" i="3"/>
  <c r="A1025" i="3"/>
  <c r="A1007" i="3"/>
  <c r="A987" i="3"/>
  <c r="A967" i="3"/>
  <c r="A950" i="3"/>
  <c r="A930" i="3"/>
  <c r="A911" i="3"/>
  <c r="A893" i="3"/>
  <c r="A874" i="3"/>
  <c r="A854" i="3"/>
  <c r="A837" i="3"/>
  <c r="A817" i="3"/>
  <c r="A797" i="3"/>
  <c r="A779" i="3"/>
  <c r="A759" i="3"/>
  <c r="A741" i="3"/>
  <c r="A722" i="3"/>
  <c r="A703" i="3"/>
  <c r="A683" i="3"/>
  <c r="A666" i="3"/>
  <c r="A646" i="3"/>
  <c r="A626" i="3"/>
  <c r="A609" i="3"/>
  <c r="A589" i="3"/>
  <c r="A570" i="3"/>
  <c r="A551" i="3"/>
  <c r="A533" i="3"/>
  <c r="A513" i="3"/>
  <c r="A495" i="3"/>
  <c r="A475" i="3"/>
  <c r="A459" i="3"/>
  <c r="A446" i="3"/>
  <c r="A431" i="3"/>
  <c r="A417" i="3"/>
  <c r="A404" i="3"/>
  <c r="A390" i="3"/>
  <c r="A375" i="3"/>
  <c r="A362" i="3"/>
  <c r="A347" i="3"/>
  <c r="A332" i="3"/>
  <c r="A319" i="3"/>
  <c r="A304" i="3"/>
  <c r="A290" i="3"/>
  <c r="A276" i="3"/>
  <c r="A262" i="3"/>
  <c r="A247" i="3"/>
  <c r="A237" i="3"/>
  <c r="A229" i="3"/>
  <c r="A221" i="3"/>
  <c r="A213" i="3"/>
  <c r="A205" i="3"/>
  <c r="A197" i="3"/>
  <c r="A189" i="3"/>
  <c r="A181" i="3"/>
  <c r="A173" i="3"/>
  <c r="A165" i="3"/>
  <c r="A157" i="3"/>
  <c r="A149" i="3"/>
  <c r="A141" i="3"/>
  <c r="A134" i="3"/>
  <c r="A129" i="3"/>
  <c r="A124" i="3"/>
  <c r="A118" i="3"/>
  <c r="A113" i="3"/>
  <c r="A108" i="3"/>
  <c r="A102" i="3"/>
  <c r="A97" i="3"/>
  <c r="A92" i="3"/>
  <c r="A86" i="3"/>
  <c r="A81" i="3"/>
  <c r="A76" i="3"/>
  <c r="A70" i="3"/>
  <c r="A65" i="3"/>
  <c r="A60" i="3"/>
  <c r="A54" i="3"/>
  <c r="A49" i="3"/>
  <c r="A44" i="3"/>
  <c r="A38" i="3"/>
  <c r="A33" i="3"/>
  <c r="A28" i="3"/>
  <c r="A22" i="3"/>
  <c r="A17" i="3"/>
  <c r="A12" i="3"/>
  <c r="A6" i="3"/>
  <c r="A1818" i="3"/>
  <c r="A1754" i="3"/>
  <c r="A1697" i="3"/>
  <c r="A1636" i="3"/>
  <c r="A1572" i="3"/>
  <c r="A1519" i="3"/>
  <c r="A1472" i="3"/>
  <c r="A1425" i="3"/>
  <c r="A1383" i="3"/>
  <c r="A1339" i="3"/>
  <c r="A1291" i="3"/>
  <c r="A1252" i="3"/>
  <c r="A1204" i="3"/>
  <c r="A1159" i="3"/>
  <c r="A1127" i="3"/>
  <c r="A1093" i="3"/>
  <c r="A1069" i="3"/>
  <c r="A1043" i="3"/>
  <c r="A1023" i="3"/>
  <c r="A1003" i="3"/>
  <c r="A986" i="3"/>
  <c r="A966" i="3"/>
  <c r="A946" i="3"/>
  <c r="A929" i="3"/>
  <c r="A909" i="3"/>
  <c r="A890" i="3"/>
  <c r="A871" i="3"/>
  <c r="A853" i="3"/>
  <c r="A833" i="3"/>
  <c r="A815" i="3"/>
  <c r="A795" i="3"/>
  <c r="A775" i="3"/>
  <c r="A758" i="3"/>
  <c r="A738" i="3"/>
  <c r="A719" i="3"/>
  <c r="A701" i="3"/>
  <c r="A682" i="3"/>
  <c r="A662" i="3"/>
  <c r="A645" i="3"/>
  <c r="A625" i="3"/>
  <c r="A605" i="3"/>
  <c r="A587" i="3"/>
  <c r="A567" i="3"/>
  <c r="A549" i="3"/>
  <c r="A530" i="3"/>
  <c r="A511" i="3"/>
  <c r="A491" i="3"/>
  <c r="A474" i="3"/>
  <c r="A458" i="3"/>
  <c r="A443" i="3"/>
  <c r="A430" i="3"/>
  <c r="A415" i="3"/>
  <c r="A402" i="3"/>
  <c r="A388" i="3"/>
  <c r="A374" i="3"/>
  <c r="A359" i="3"/>
  <c r="A346" i="3"/>
  <c r="A331" i="3"/>
  <c r="A316" i="3"/>
  <c r="A303" i="3"/>
  <c r="A288" i="3"/>
  <c r="A274" i="3"/>
  <c r="A260" i="3"/>
  <c r="A246" i="3"/>
  <c r="A236" i="3"/>
  <c r="A228" i="3"/>
  <c r="A220" i="3"/>
  <c r="A212" i="3"/>
  <c r="A204" i="3"/>
  <c r="A196" i="3"/>
  <c r="A188" i="3"/>
  <c r="A180" i="3"/>
  <c r="A172" i="3"/>
  <c r="A164" i="3"/>
  <c r="A156" i="3"/>
  <c r="A148" i="3"/>
  <c r="A140" i="3"/>
  <c r="A133" i="3"/>
  <c r="A128" i="3"/>
  <c r="A122" i="3"/>
  <c r="A117" i="3"/>
  <c r="A112" i="3"/>
  <c r="A106" i="3"/>
  <c r="A101" i="3"/>
  <c r="A96" i="3"/>
  <c r="A90" i="3"/>
  <c r="A85" i="3"/>
  <c r="A80" i="3"/>
  <c r="A74" i="3"/>
  <c r="A69" i="3"/>
  <c r="A64" i="3"/>
  <c r="A58" i="3"/>
  <c r="A53" i="3"/>
  <c r="A48" i="3"/>
  <c r="A42" i="3"/>
  <c r="A37" i="3"/>
  <c r="A32" i="3"/>
  <c r="A26" i="3"/>
  <c r="A21" i="3"/>
  <c r="A16" i="3"/>
  <c r="A10" i="3"/>
  <c r="A5" i="3"/>
  <c r="A1792" i="3"/>
  <c r="A1733" i="3"/>
  <c r="A1674" i="3"/>
  <c r="A1617" i="3"/>
  <c r="A1553" i="3"/>
  <c r="A1503" i="3"/>
  <c r="A1455" i="3"/>
  <c r="A1408" i="3"/>
  <c r="A1367" i="3"/>
  <c r="A1319" i="3"/>
  <c r="A1275" i="3"/>
  <c r="A1232" i="3"/>
  <c r="A1188" i="3"/>
  <c r="A1147" i="3"/>
  <c r="A1116" i="3"/>
  <c r="A1085" i="3"/>
  <c r="A1058" i="3"/>
  <c r="A1035" i="3"/>
  <c r="A1015" i="3"/>
  <c r="A997" i="3"/>
  <c r="A978" i="3"/>
  <c r="A959" i="3"/>
  <c r="A939" i="3"/>
  <c r="A922" i="3"/>
  <c r="A902" i="3"/>
  <c r="A882" i="3"/>
  <c r="A865" i="3"/>
  <c r="A845" i="3"/>
  <c r="A826" i="3"/>
  <c r="A807" i="3"/>
  <c r="A789" i="3"/>
  <c r="A769" i="3"/>
  <c r="A751" i="3"/>
  <c r="A731" i="3"/>
  <c r="A711" i="3"/>
  <c r="A694" i="3"/>
  <c r="A655" i="3"/>
  <c r="A581" i="3"/>
  <c r="A503" i="3"/>
  <c r="A438" i="3"/>
  <c r="A396" i="3"/>
  <c r="A340" i="3"/>
  <c r="A283" i="3"/>
  <c r="A233" i="3"/>
  <c r="A201" i="3"/>
  <c r="A169" i="3"/>
  <c r="A137" i="3"/>
  <c r="A116" i="3"/>
  <c r="A94" i="3"/>
  <c r="A73" i="3"/>
  <c r="A52" i="3"/>
  <c r="A30" i="3"/>
  <c r="A9" i="3"/>
  <c r="A637" i="3"/>
  <c r="A561" i="3"/>
  <c r="A485" i="3"/>
  <c r="A425" i="3"/>
  <c r="A383" i="3"/>
  <c r="A326" i="3"/>
  <c r="A268" i="3"/>
  <c r="A225" i="3"/>
  <c r="A193" i="3"/>
  <c r="A161" i="3"/>
  <c r="A132" i="3"/>
  <c r="A110" i="3"/>
  <c r="A89" i="3"/>
  <c r="A68" i="3"/>
  <c r="A46" i="3"/>
  <c r="A25" i="3"/>
  <c r="A4" i="3"/>
  <c r="A618" i="3"/>
  <c r="A541" i="3"/>
  <c r="A467" i="3"/>
  <c r="A410" i="3"/>
  <c r="A368" i="3"/>
  <c r="A311" i="3"/>
  <c r="A255" i="3"/>
  <c r="A217" i="3"/>
  <c r="A185" i="3"/>
  <c r="A153" i="3"/>
  <c r="A126" i="3"/>
  <c r="A105" i="3"/>
  <c r="A84" i="3"/>
  <c r="A62" i="3"/>
  <c r="A41" i="3"/>
  <c r="A20" i="3"/>
  <c r="A674" i="3"/>
  <c r="A598" i="3"/>
  <c r="A523" i="3"/>
  <c r="A453" i="3"/>
  <c r="A354" i="3"/>
  <c r="A298" i="3"/>
  <c r="A242" i="3"/>
  <c r="A209" i="3"/>
  <c r="A177" i="3"/>
  <c r="A145" i="3"/>
  <c r="A121" i="3"/>
  <c r="A100" i="3"/>
  <c r="A78" i="3"/>
  <c r="A57" i="3"/>
  <c r="A36" i="3"/>
  <c r="A14" i="3"/>
  <c r="AR3" i="1"/>
  <c r="E408" i="2"/>
  <c r="E409" i="2"/>
  <c r="E406" i="2"/>
  <c r="E404" i="2"/>
  <c r="E400" i="2"/>
  <c r="E396" i="2"/>
  <c r="E392" i="2"/>
  <c r="E407" i="2"/>
  <c r="E402" i="2"/>
  <c r="E401" i="2"/>
  <c r="E398" i="2"/>
  <c r="E397" i="2"/>
  <c r="E394" i="2"/>
  <c r="E393" i="2"/>
  <c r="E388" i="2"/>
  <c r="E387" i="2"/>
  <c r="E405" i="2"/>
  <c r="E383" i="2"/>
  <c r="E379" i="2"/>
  <c r="E403" i="2"/>
  <c r="E399" i="2"/>
  <c r="E395" i="2"/>
  <c r="E382" i="2"/>
  <c r="E378" i="2"/>
  <c r="E390" i="2"/>
  <c r="E389" i="2"/>
  <c r="E386" i="2"/>
  <c r="E385" i="2"/>
  <c r="E381" i="2"/>
  <c r="E377" i="2"/>
  <c r="E375" i="2"/>
  <c r="E372" i="2"/>
  <c r="E368" i="2"/>
  <c r="E364" i="2"/>
  <c r="E360" i="2"/>
  <c r="E356" i="2"/>
  <c r="E352" i="2"/>
  <c r="E348" i="2"/>
  <c r="E384" i="2"/>
  <c r="E380" i="2"/>
  <c r="E376" i="2"/>
  <c r="E371" i="2"/>
  <c r="E367" i="2"/>
  <c r="E363" i="2"/>
  <c r="E359" i="2"/>
  <c r="E355" i="2"/>
  <c r="E351" i="2"/>
  <c r="E374" i="2"/>
  <c r="E370" i="2"/>
  <c r="E366" i="2"/>
  <c r="E362" i="2"/>
  <c r="E358" i="2"/>
  <c r="E354" i="2"/>
  <c r="E350" i="2"/>
  <c r="E391" i="2"/>
  <c r="E343" i="2"/>
  <c r="E339" i="2"/>
  <c r="E335" i="2"/>
  <c r="E331" i="2"/>
  <c r="E327" i="2"/>
  <c r="E323" i="2"/>
  <c r="E373" i="2"/>
  <c r="E369" i="2"/>
  <c r="E365" i="2"/>
  <c r="E361" i="2"/>
  <c r="E357" i="2"/>
  <c r="E353" i="2"/>
  <c r="E349" i="2"/>
  <c r="E347" i="2"/>
  <c r="E346" i="2"/>
  <c r="E342" i="2"/>
  <c r="E338" i="2"/>
  <c r="E334" i="2"/>
  <c r="E330" i="2"/>
  <c r="E326" i="2"/>
  <c r="E345" i="2"/>
  <c r="E344" i="2"/>
  <c r="E341" i="2"/>
  <c r="E340" i="2"/>
  <c r="E337" i="2"/>
  <c r="E336" i="2"/>
  <c r="E333" i="2"/>
  <c r="E332" i="2"/>
  <c r="E329" i="2"/>
  <c r="E328" i="2"/>
  <c r="E325" i="2"/>
  <c r="E324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322" i="2"/>
  <c r="E318" i="2"/>
  <c r="E314" i="2"/>
  <c r="E310" i="2"/>
  <c r="E306" i="2"/>
  <c r="E302" i="2"/>
  <c r="E298" i="2"/>
  <c r="E294" i="2"/>
  <c r="E290" i="2"/>
  <c r="E286" i="2"/>
  <c r="E282" i="2"/>
  <c r="E278" i="2"/>
  <c r="E270" i="2"/>
  <c r="E266" i="2"/>
  <c r="E262" i="2"/>
  <c r="E258" i="2"/>
  <c r="E254" i="2"/>
  <c r="E250" i="2"/>
  <c r="E246" i="2"/>
  <c r="E242" i="2"/>
  <c r="E321" i="2"/>
  <c r="E320" i="2"/>
  <c r="E317" i="2"/>
  <c r="E316" i="2"/>
  <c r="E313" i="2"/>
  <c r="E312" i="2"/>
  <c r="E309" i="2"/>
  <c r="E308" i="2"/>
  <c r="E305" i="2"/>
  <c r="E304" i="2"/>
  <c r="E301" i="2"/>
  <c r="E300" i="2"/>
  <c r="E297" i="2"/>
  <c r="E296" i="2"/>
  <c r="E293" i="2"/>
  <c r="E292" i="2"/>
  <c r="E289" i="2"/>
  <c r="E288" i="2"/>
  <c r="E285" i="2"/>
  <c r="E284" i="2"/>
  <c r="E281" i="2"/>
  <c r="E280" i="2"/>
  <c r="E269" i="2"/>
  <c r="E265" i="2"/>
  <c r="E261" i="2"/>
  <c r="E257" i="2"/>
  <c r="E253" i="2"/>
  <c r="E249" i="2"/>
  <c r="E245" i="2"/>
  <c r="E241" i="2"/>
  <c r="E274" i="2"/>
  <c r="E271" i="2"/>
  <c r="E268" i="2"/>
  <c r="E267" i="2"/>
  <c r="E264" i="2"/>
  <c r="E263" i="2"/>
  <c r="E260" i="2"/>
  <c r="E259" i="2"/>
  <c r="E256" i="2"/>
  <c r="E255" i="2"/>
  <c r="E252" i="2"/>
  <c r="E251" i="2"/>
  <c r="E248" i="2"/>
  <c r="E247" i="2"/>
  <c r="E244" i="2"/>
  <c r="E243" i="2"/>
  <c r="E240" i="2"/>
  <c r="E239" i="2"/>
  <c r="E238" i="2"/>
  <c r="E234" i="2"/>
  <c r="E230" i="2"/>
  <c r="E226" i="2"/>
  <c r="E222" i="2"/>
  <c r="E218" i="2"/>
  <c r="E214" i="2"/>
  <c r="E210" i="2"/>
  <c r="E206" i="2"/>
  <c r="E202" i="2"/>
  <c r="E198" i="2"/>
  <c r="E194" i="2"/>
  <c r="E190" i="2"/>
  <c r="E186" i="2"/>
  <c r="E182" i="2"/>
  <c r="E178" i="2"/>
  <c r="E174" i="2"/>
  <c r="E170" i="2"/>
  <c r="E166" i="2"/>
  <c r="E162" i="2"/>
  <c r="E158" i="2"/>
  <c r="E154" i="2"/>
  <c r="E150" i="2"/>
  <c r="E146" i="2"/>
  <c r="E142" i="2"/>
  <c r="E138" i="2"/>
  <c r="E237" i="2"/>
  <c r="E233" i="2"/>
  <c r="E229" i="2"/>
  <c r="E225" i="2"/>
  <c r="E221" i="2"/>
  <c r="E217" i="2"/>
  <c r="E213" i="2"/>
  <c r="E209" i="2"/>
  <c r="E205" i="2"/>
  <c r="E201" i="2"/>
  <c r="E197" i="2"/>
  <c r="E193" i="2"/>
  <c r="E189" i="2"/>
  <c r="E185" i="2"/>
  <c r="E181" i="2"/>
  <c r="E177" i="2"/>
  <c r="E173" i="2"/>
  <c r="E169" i="2"/>
  <c r="E165" i="2"/>
  <c r="E161" i="2"/>
  <c r="E157" i="2"/>
  <c r="E133" i="2"/>
  <c r="E129" i="2"/>
  <c r="E125" i="2"/>
  <c r="E121" i="2"/>
  <c r="E117" i="2"/>
  <c r="E113" i="2"/>
  <c r="E109" i="2"/>
  <c r="E136" i="2"/>
  <c r="E132" i="2"/>
  <c r="E128" i="2"/>
  <c r="E124" i="2"/>
  <c r="E120" i="2"/>
  <c r="E116" i="2"/>
  <c r="E112" i="2"/>
  <c r="E108" i="2"/>
  <c r="E104" i="2"/>
  <c r="E100" i="2"/>
  <c r="E96" i="2"/>
  <c r="E92" i="2"/>
  <c r="E88" i="2"/>
  <c r="E84" i="2"/>
  <c r="E80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3" i="2"/>
  <c r="E276" i="2"/>
  <c r="E272" i="2"/>
  <c r="E236" i="2"/>
  <c r="E232" i="2"/>
  <c r="E228" i="2"/>
  <c r="E224" i="2"/>
  <c r="E220" i="2"/>
  <c r="E216" i="2"/>
  <c r="E212" i="2"/>
  <c r="E208" i="2"/>
  <c r="E204" i="2"/>
  <c r="E200" i="2"/>
  <c r="E196" i="2"/>
  <c r="E192" i="2"/>
  <c r="E188" i="2"/>
  <c r="E184" i="2"/>
  <c r="E180" i="2"/>
  <c r="E176" i="2"/>
  <c r="E172" i="2"/>
  <c r="E168" i="2"/>
  <c r="E164" i="2"/>
  <c r="E160" i="2"/>
  <c r="E277" i="2"/>
  <c r="E273" i="2"/>
  <c r="E152" i="2"/>
  <c r="E148" i="2"/>
  <c r="E151" i="2"/>
  <c r="E147" i="2"/>
  <c r="E141" i="2"/>
  <c r="E137" i="2"/>
  <c r="E103" i="2"/>
  <c r="E99" i="2"/>
  <c r="E95" i="2"/>
  <c r="E91" i="2"/>
  <c r="E87" i="2"/>
  <c r="E83" i="2"/>
  <c r="E79" i="2"/>
  <c r="E74" i="2"/>
  <c r="E70" i="2"/>
  <c r="E66" i="2"/>
  <c r="E62" i="2"/>
  <c r="E58" i="2"/>
  <c r="E156" i="2"/>
  <c r="E149" i="2"/>
  <c r="E145" i="2"/>
  <c r="E106" i="2"/>
  <c r="E105" i="2"/>
  <c r="E102" i="2"/>
  <c r="E101" i="2"/>
  <c r="E98" i="2"/>
  <c r="E97" i="2"/>
  <c r="E94" i="2"/>
  <c r="E93" i="2"/>
  <c r="E90" i="2"/>
  <c r="E89" i="2"/>
  <c r="E86" i="2"/>
  <c r="E85" i="2"/>
  <c r="E82" i="2"/>
  <c r="E81" i="2"/>
  <c r="E78" i="2"/>
  <c r="E77" i="2"/>
  <c r="E73" i="2"/>
  <c r="E69" i="2"/>
  <c r="E65" i="2"/>
  <c r="E144" i="2"/>
  <c r="E140" i="2"/>
  <c r="E135" i="2"/>
  <c r="E134" i="2"/>
  <c r="E131" i="2"/>
  <c r="E130" i="2"/>
  <c r="E127" i="2"/>
  <c r="E126" i="2"/>
  <c r="E123" i="2"/>
  <c r="E122" i="2"/>
  <c r="E119" i="2"/>
  <c r="E118" i="2"/>
  <c r="E115" i="2"/>
  <c r="E114" i="2"/>
  <c r="E111" i="2"/>
  <c r="E110" i="2"/>
  <c r="E107" i="2"/>
  <c r="E76" i="2"/>
  <c r="E72" i="2"/>
  <c r="E68" i="2"/>
  <c r="E64" i="2"/>
  <c r="E60" i="2"/>
  <c r="E59" i="2"/>
  <c r="E56" i="2"/>
  <c r="E55" i="2"/>
  <c r="E54" i="2"/>
  <c r="E50" i="2"/>
  <c r="E46" i="2"/>
  <c r="E42" i="2"/>
  <c r="E38" i="2"/>
  <c r="E34" i="2"/>
  <c r="E30" i="2"/>
  <c r="E26" i="2"/>
  <c r="E22" i="2"/>
  <c r="E18" i="2"/>
  <c r="E14" i="2"/>
  <c r="E10" i="2"/>
  <c r="E6" i="2"/>
  <c r="E2" i="2"/>
  <c r="E53" i="2"/>
  <c r="E49" i="2"/>
  <c r="E45" i="2"/>
  <c r="E41" i="2"/>
  <c r="E37" i="2"/>
  <c r="E33" i="2"/>
  <c r="E29" i="2"/>
  <c r="E25" i="2"/>
  <c r="E21" i="2"/>
  <c r="E17" i="2"/>
  <c r="E13" i="2"/>
  <c r="E9" i="2"/>
  <c r="E5" i="2"/>
  <c r="E143" i="2"/>
  <c r="E139" i="2"/>
  <c r="E52" i="2"/>
  <c r="E48" i="2"/>
  <c r="E44" i="2"/>
  <c r="E40" i="2"/>
  <c r="E36" i="2"/>
  <c r="E32" i="2"/>
  <c r="E28" i="2"/>
  <c r="E24" i="2"/>
  <c r="E20" i="2"/>
  <c r="E16" i="2"/>
  <c r="E12" i="2"/>
  <c r="E8" i="2"/>
  <c r="E4" i="2"/>
  <c r="E75" i="2"/>
  <c r="E71" i="2"/>
  <c r="E67" i="2"/>
  <c r="E63" i="2"/>
  <c r="E61" i="2"/>
  <c r="E57" i="2"/>
  <c r="E51" i="2"/>
  <c r="E47" i="2"/>
  <c r="E43" i="2"/>
  <c r="E39" i="2"/>
  <c r="E35" i="2"/>
  <c r="E31" i="2"/>
  <c r="E27" i="2"/>
  <c r="E23" i="2"/>
  <c r="E19" i="2"/>
  <c r="E15" i="2"/>
  <c r="E11" i="2"/>
  <c r="E7" i="2"/>
  <c r="E3" i="2"/>
  <c r="F407" i="2"/>
  <c r="F406" i="2"/>
  <c r="F403" i="2"/>
  <c r="F399" i="2"/>
  <c r="F395" i="2"/>
  <c r="F391" i="2"/>
  <c r="F387" i="2"/>
  <c r="F405" i="2"/>
  <c r="F390" i="2"/>
  <c r="F386" i="2"/>
  <c r="F404" i="2"/>
  <c r="F400" i="2"/>
  <c r="F396" i="2"/>
  <c r="F392" i="2"/>
  <c r="F388" i="2"/>
  <c r="F382" i="2"/>
  <c r="F378" i="2"/>
  <c r="F389" i="2"/>
  <c r="F385" i="2"/>
  <c r="F381" i="2"/>
  <c r="F377" i="2"/>
  <c r="F402" i="2"/>
  <c r="F398" i="2"/>
  <c r="F394" i="2"/>
  <c r="F384" i="2"/>
  <c r="F380" i="2"/>
  <c r="F376" i="2"/>
  <c r="F371" i="2"/>
  <c r="F367" i="2"/>
  <c r="F363" i="2"/>
  <c r="F359" i="2"/>
  <c r="F355" i="2"/>
  <c r="F351" i="2"/>
  <c r="F347" i="2"/>
  <c r="F374" i="2"/>
  <c r="F370" i="2"/>
  <c r="F366" i="2"/>
  <c r="F362" i="2"/>
  <c r="F358" i="2"/>
  <c r="F354" i="2"/>
  <c r="F350" i="2"/>
  <c r="F401" i="2"/>
  <c r="F397" i="2"/>
  <c r="F393" i="2"/>
  <c r="F373" i="2"/>
  <c r="F369" i="2"/>
  <c r="F365" i="2"/>
  <c r="F361" i="2"/>
  <c r="F357" i="2"/>
  <c r="F353" i="2"/>
  <c r="F349" i="2"/>
  <c r="F383" i="2"/>
  <c r="F346" i="2"/>
  <c r="F342" i="2"/>
  <c r="F338" i="2"/>
  <c r="F334" i="2"/>
  <c r="F330" i="2"/>
  <c r="F326" i="2"/>
  <c r="F322" i="2"/>
  <c r="F375" i="2"/>
  <c r="F345" i="2"/>
  <c r="F341" i="2"/>
  <c r="F337" i="2"/>
  <c r="F333" i="2"/>
  <c r="F329" i="2"/>
  <c r="F325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372" i="2"/>
  <c r="F364" i="2"/>
  <c r="F356" i="2"/>
  <c r="F348" i="2"/>
  <c r="F321" i="2"/>
  <c r="F317" i="2"/>
  <c r="F313" i="2"/>
  <c r="F309" i="2"/>
  <c r="F305" i="2"/>
  <c r="F301" i="2"/>
  <c r="F297" i="2"/>
  <c r="F293" i="2"/>
  <c r="F289" i="2"/>
  <c r="F285" i="2"/>
  <c r="F281" i="2"/>
  <c r="F368" i="2"/>
  <c r="F352" i="2"/>
  <c r="F320" i="2"/>
  <c r="F316" i="2"/>
  <c r="F312" i="2"/>
  <c r="F308" i="2"/>
  <c r="F304" i="2"/>
  <c r="F300" i="2"/>
  <c r="F296" i="2"/>
  <c r="F292" i="2"/>
  <c r="F288" i="2"/>
  <c r="F284" i="2"/>
  <c r="F280" i="2"/>
  <c r="F269" i="2"/>
  <c r="F265" i="2"/>
  <c r="F261" i="2"/>
  <c r="F257" i="2"/>
  <c r="F253" i="2"/>
  <c r="F249" i="2"/>
  <c r="F245" i="2"/>
  <c r="F241" i="2"/>
  <c r="F379" i="2"/>
  <c r="F344" i="2"/>
  <c r="F340" i="2"/>
  <c r="F336" i="2"/>
  <c r="F332" i="2"/>
  <c r="F328" i="2"/>
  <c r="F324" i="2"/>
  <c r="F268" i="2"/>
  <c r="F264" i="2"/>
  <c r="F260" i="2"/>
  <c r="F256" i="2"/>
  <c r="F252" i="2"/>
  <c r="F248" i="2"/>
  <c r="F244" i="2"/>
  <c r="F240" i="2"/>
  <c r="F360" i="2"/>
  <c r="F343" i="2"/>
  <c r="F335" i="2"/>
  <c r="F327" i="2"/>
  <c r="F319" i="2"/>
  <c r="F315" i="2"/>
  <c r="F311" i="2"/>
  <c r="F307" i="2"/>
  <c r="F303" i="2"/>
  <c r="F299" i="2"/>
  <c r="F295" i="2"/>
  <c r="F291" i="2"/>
  <c r="F287" i="2"/>
  <c r="F283" i="2"/>
  <c r="F279" i="2"/>
  <c r="F237" i="2"/>
  <c r="F233" i="2"/>
  <c r="F229" i="2"/>
  <c r="F225" i="2"/>
  <c r="F221" i="2"/>
  <c r="F217" i="2"/>
  <c r="F213" i="2"/>
  <c r="F209" i="2"/>
  <c r="F205" i="2"/>
  <c r="F201" i="2"/>
  <c r="F197" i="2"/>
  <c r="F193" i="2"/>
  <c r="F189" i="2"/>
  <c r="F185" i="2"/>
  <c r="F181" i="2"/>
  <c r="F177" i="2"/>
  <c r="F173" i="2"/>
  <c r="F169" i="2"/>
  <c r="F165" i="2"/>
  <c r="F161" i="2"/>
  <c r="F157" i="2"/>
  <c r="F153" i="2"/>
  <c r="F149" i="2"/>
  <c r="F145" i="2"/>
  <c r="F141" i="2"/>
  <c r="F137" i="2"/>
  <c r="F277" i="2"/>
  <c r="F273" i="2"/>
  <c r="F236" i="2"/>
  <c r="F232" i="2"/>
  <c r="F228" i="2"/>
  <c r="F224" i="2"/>
  <c r="F220" i="2"/>
  <c r="F216" i="2"/>
  <c r="F212" i="2"/>
  <c r="F208" i="2"/>
  <c r="F204" i="2"/>
  <c r="F200" i="2"/>
  <c r="F196" i="2"/>
  <c r="F192" i="2"/>
  <c r="F188" i="2"/>
  <c r="F184" i="2"/>
  <c r="F180" i="2"/>
  <c r="F176" i="2"/>
  <c r="F172" i="2"/>
  <c r="F168" i="2"/>
  <c r="F164" i="2"/>
  <c r="F160" i="2"/>
  <c r="F156" i="2"/>
  <c r="F275" i="2"/>
  <c r="F271" i="2"/>
  <c r="F267" i="2"/>
  <c r="F263" i="2"/>
  <c r="F259" i="2"/>
  <c r="F255" i="2"/>
  <c r="F251" i="2"/>
  <c r="F247" i="2"/>
  <c r="F243" i="2"/>
  <c r="F239" i="2"/>
  <c r="F136" i="2"/>
  <c r="F132" i="2"/>
  <c r="F128" i="2"/>
  <c r="F124" i="2"/>
  <c r="F120" i="2"/>
  <c r="F116" i="2"/>
  <c r="F112" i="2"/>
  <c r="F108" i="2"/>
  <c r="F339" i="2"/>
  <c r="F323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35" i="2"/>
  <c r="F131" i="2"/>
  <c r="F127" i="2"/>
  <c r="F123" i="2"/>
  <c r="F119" i="2"/>
  <c r="F115" i="2"/>
  <c r="F111" i="2"/>
  <c r="F107" i="2"/>
  <c r="F103" i="2"/>
  <c r="F99" i="2"/>
  <c r="F95" i="2"/>
  <c r="F91" i="2"/>
  <c r="F87" i="2"/>
  <c r="F83" i="2"/>
  <c r="F79" i="2"/>
  <c r="F276" i="2"/>
  <c r="F272" i="2"/>
  <c r="F270" i="2"/>
  <c r="F262" i="2"/>
  <c r="F254" i="2"/>
  <c r="F246" i="2"/>
  <c r="F331" i="2"/>
  <c r="F266" i="2"/>
  <c r="F258" i="2"/>
  <c r="F250" i="2"/>
  <c r="F242" i="2"/>
  <c r="F151" i="2"/>
  <c r="F147" i="2"/>
  <c r="F231" i="2"/>
  <c r="F215" i="2"/>
  <c r="F199" i="2"/>
  <c r="F183" i="2"/>
  <c r="F167" i="2"/>
  <c r="F133" i="2"/>
  <c r="F129" i="2"/>
  <c r="F125" i="2"/>
  <c r="F121" i="2"/>
  <c r="F117" i="2"/>
  <c r="F113" i="2"/>
  <c r="F109" i="2"/>
  <c r="F106" i="2"/>
  <c r="F105" i="2"/>
  <c r="F104" i="2"/>
  <c r="F102" i="2"/>
  <c r="F101" i="2"/>
  <c r="F100" i="2"/>
  <c r="F98" i="2"/>
  <c r="F97" i="2"/>
  <c r="F96" i="2"/>
  <c r="F94" i="2"/>
  <c r="F93" i="2"/>
  <c r="F92" i="2"/>
  <c r="F90" i="2"/>
  <c r="F89" i="2"/>
  <c r="F88" i="2"/>
  <c r="F86" i="2"/>
  <c r="F85" i="2"/>
  <c r="F84" i="2"/>
  <c r="F82" i="2"/>
  <c r="F81" i="2"/>
  <c r="F80" i="2"/>
  <c r="F78" i="2"/>
  <c r="F77" i="2"/>
  <c r="F73" i="2"/>
  <c r="F69" i="2"/>
  <c r="F65" i="2"/>
  <c r="F61" i="2"/>
  <c r="F57" i="2"/>
  <c r="F227" i="2"/>
  <c r="F211" i="2"/>
  <c r="F195" i="2"/>
  <c r="F179" i="2"/>
  <c r="F163" i="2"/>
  <c r="F155" i="2"/>
  <c r="F152" i="2"/>
  <c r="F148" i="2"/>
  <c r="F144" i="2"/>
  <c r="F140" i="2"/>
  <c r="F134" i="2"/>
  <c r="F130" i="2"/>
  <c r="F126" i="2"/>
  <c r="F122" i="2"/>
  <c r="F118" i="2"/>
  <c r="F114" i="2"/>
  <c r="F110" i="2"/>
  <c r="F76" i="2"/>
  <c r="F72" i="2"/>
  <c r="F68" i="2"/>
  <c r="F64" i="2"/>
  <c r="F223" i="2"/>
  <c r="F207" i="2"/>
  <c r="F191" i="2"/>
  <c r="F175" i="2"/>
  <c r="F159" i="2"/>
  <c r="F150" i="2"/>
  <c r="F146" i="2"/>
  <c r="F143" i="2"/>
  <c r="F139" i="2"/>
  <c r="F75" i="2"/>
  <c r="F71" i="2"/>
  <c r="F67" i="2"/>
  <c r="F63" i="2"/>
  <c r="F235" i="2"/>
  <c r="F171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219" i="2"/>
  <c r="F142" i="2"/>
  <c r="F138" i="2"/>
  <c r="F74" i="2"/>
  <c r="F70" i="2"/>
  <c r="F66" i="2"/>
  <c r="F52" i="2"/>
  <c r="F48" i="2"/>
  <c r="F44" i="2"/>
  <c r="F40" i="2"/>
  <c r="F36" i="2"/>
  <c r="F32" i="2"/>
  <c r="F28" i="2"/>
  <c r="F24" i="2"/>
  <c r="F20" i="2"/>
  <c r="F16" i="2"/>
  <c r="F12" i="2"/>
  <c r="F8" i="2"/>
  <c r="F4" i="2"/>
  <c r="F203" i="2"/>
  <c r="F51" i="2"/>
  <c r="F47" i="2"/>
  <c r="F43" i="2"/>
  <c r="F39" i="2"/>
  <c r="F35" i="2"/>
  <c r="F31" i="2"/>
  <c r="F27" i="2"/>
  <c r="F23" i="2"/>
  <c r="F19" i="2"/>
  <c r="F15" i="2"/>
  <c r="F11" i="2"/>
  <c r="F7" i="2"/>
  <c r="F3" i="2"/>
  <c r="F187" i="2"/>
  <c r="F62" i="2"/>
  <c r="F60" i="2"/>
  <c r="F59" i="2"/>
  <c r="F58" i="2"/>
  <c r="F56" i="2"/>
  <c r="F55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J407" i="2"/>
  <c r="J403" i="2"/>
  <c r="J406" i="2"/>
  <c r="J405" i="2"/>
  <c r="J400" i="2"/>
  <c r="J397" i="2"/>
  <c r="J392" i="2"/>
  <c r="J387" i="2"/>
  <c r="J378" i="2"/>
  <c r="J385" i="2"/>
  <c r="J384" i="2"/>
  <c r="J376" i="2"/>
  <c r="J359" i="2"/>
  <c r="J355" i="2"/>
  <c r="J374" i="2"/>
  <c r="J370" i="2"/>
  <c r="J354" i="2"/>
  <c r="J389" i="2"/>
  <c r="J369" i="2"/>
  <c r="J365" i="2"/>
  <c r="J349" i="2"/>
  <c r="J342" i="2"/>
  <c r="J326" i="2"/>
  <c r="J346" i="2"/>
  <c r="J333" i="2"/>
  <c r="J329" i="2"/>
  <c r="J356" i="2"/>
  <c r="J348" i="2"/>
  <c r="J331" i="2"/>
  <c r="J323" i="2"/>
  <c r="J306" i="2"/>
  <c r="J302" i="2"/>
  <c r="J286" i="2"/>
  <c r="J282" i="2"/>
  <c r="J340" i="2"/>
  <c r="J332" i="2"/>
  <c r="J317" i="2"/>
  <c r="J313" i="2"/>
  <c r="J297" i="2"/>
  <c r="J293" i="2"/>
  <c r="J269" i="2"/>
  <c r="J261" i="2"/>
  <c r="J245" i="2"/>
  <c r="J241" i="2"/>
  <c r="J311" i="2"/>
  <c r="J307" i="2"/>
  <c r="J291" i="2"/>
  <c r="J283" i="2"/>
  <c r="J260" i="2"/>
  <c r="J256" i="2"/>
  <c r="J240" i="2"/>
  <c r="J352" i="2"/>
  <c r="J266" i="2"/>
  <c r="J258" i="2"/>
  <c r="J242" i="2"/>
  <c r="J237" i="2"/>
  <c r="J221" i="2"/>
  <c r="J217" i="2"/>
  <c r="J201" i="2"/>
  <c r="J193" i="2"/>
  <c r="J177" i="2"/>
  <c r="J173" i="2"/>
  <c r="J157" i="2"/>
  <c r="J153" i="2"/>
  <c r="J137" i="2"/>
  <c r="J316" i="2"/>
  <c r="J300" i="2"/>
  <c r="J296" i="2"/>
  <c r="J280" i="2"/>
  <c r="J276" i="2"/>
  <c r="J259" i="2"/>
  <c r="J251" i="2"/>
  <c r="J236" i="2"/>
  <c r="J232" i="2"/>
  <c r="J216" i="2"/>
  <c r="J212" i="2"/>
  <c r="J196" i="2"/>
  <c r="J188" i="2"/>
  <c r="J172" i="2"/>
  <c r="J168" i="2"/>
  <c r="J368" i="2"/>
  <c r="J235" i="2"/>
  <c r="J219" i="2"/>
  <c r="J211" i="2"/>
  <c r="J195" i="2"/>
  <c r="J191" i="2"/>
  <c r="J175" i="2"/>
  <c r="J171" i="2"/>
  <c r="J155" i="2"/>
  <c r="J132" i="2"/>
  <c r="J116" i="2"/>
  <c r="J112" i="2"/>
  <c r="J127" i="2"/>
  <c r="J123" i="2"/>
  <c r="J107" i="2"/>
  <c r="J99" i="2"/>
  <c r="J83" i="2"/>
  <c r="J79" i="2"/>
  <c r="J238" i="2"/>
  <c r="J234" i="2"/>
  <c r="J218" i="2"/>
  <c r="J210" i="2"/>
  <c r="J194" i="2"/>
  <c r="J190" i="2"/>
  <c r="J174" i="2"/>
  <c r="J170" i="2"/>
  <c r="J150" i="2"/>
  <c r="J154" i="2"/>
  <c r="J73" i="2"/>
  <c r="J69" i="2"/>
  <c r="J143" i="2"/>
  <c r="J139" i="2"/>
  <c r="J102" i="2"/>
  <c r="J100" i="2"/>
  <c r="J94" i="2"/>
  <c r="J93" i="2"/>
  <c r="J88" i="2"/>
  <c r="J86" i="2"/>
  <c r="J81" i="2"/>
  <c r="J78" i="2"/>
  <c r="J68" i="2"/>
  <c r="J64" i="2"/>
  <c r="J129" i="2"/>
  <c r="J125" i="2"/>
  <c r="J109" i="2"/>
  <c r="J71" i="2"/>
  <c r="J74" i="2"/>
  <c r="J70" i="2"/>
  <c r="J58" i="2"/>
  <c r="J56" i="2"/>
  <c r="J49" i="2"/>
  <c r="J45" i="2"/>
  <c r="J33" i="2"/>
  <c r="J29" i="2"/>
  <c r="J17" i="2"/>
  <c r="J13" i="2"/>
  <c r="J130" i="2"/>
  <c r="J122" i="2"/>
  <c r="J52" i="2"/>
  <c r="J48" i="2"/>
  <c r="J36" i="2"/>
  <c r="J32" i="2"/>
  <c r="J20" i="2"/>
  <c r="J16" i="2"/>
  <c r="J4" i="2"/>
  <c r="J151" i="2"/>
  <c r="J43" i="2"/>
  <c r="J39" i="2"/>
  <c r="J27" i="2"/>
  <c r="J23" i="2"/>
  <c r="J11" i="2"/>
  <c r="J7" i="2"/>
  <c r="J126" i="2"/>
  <c r="J118" i="2"/>
  <c r="J50" i="2"/>
  <c r="J46" i="2"/>
  <c r="J34" i="2"/>
  <c r="J30" i="2"/>
  <c r="J18" i="2"/>
  <c r="J14" i="2"/>
  <c r="J2" i="2"/>
  <c r="M408" i="2"/>
  <c r="M409" i="2"/>
  <c r="M406" i="2"/>
  <c r="M404" i="2"/>
  <c r="M400" i="2"/>
  <c r="M396" i="2"/>
  <c r="M392" i="2"/>
  <c r="M407" i="2"/>
  <c r="M403" i="2"/>
  <c r="M399" i="2"/>
  <c r="M395" i="2"/>
  <c r="M391" i="2"/>
  <c r="M388" i="2"/>
  <c r="M402" i="2"/>
  <c r="M401" i="2"/>
  <c r="M398" i="2"/>
  <c r="M397" i="2"/>
  <c r="M394" i="2"/>
  <c r="M393" i="2"/>
  <c r="M387" i="2"/>
  <c r="M383" i="2"/>
  <c r="M379" i="2"/>
  <c r="M382" i="2"/>
  <c r="M378" i="2"/>
  <c r="M390" i="2"/>
  <c r="M389" i="2"/>
  <c r="M386" i="2"/>
  <c r="M385" i="2"/>
  <c r="M381" i="2"/>
  <c r="M377" i="2"/>
  <c r="M375" i="2"/>
  <c r="M372" i="2"/>
  <c r="M368" i="2"/>
  <c r="M364" i="2"/>
  <c r="M360" i="2"/>
  <c r="M356" i="2"/>
  <c r="M352" i="2"/>
  <c r="M348" i="2"/>
  <c r="M371" i="2"/>
  <c r="M367" i="2"/>
  <c r="M363" i="2"/>
  <c r="M359" i="2"/>
  <c r="M355" i="2"/>
  <c r="M351" i="2"/>
  <c r="M347" i="2"/>
  <c r="M405" i="2"/>
  <c r="M374" i="2"/>
  <c r="M370" i="2"/>
  <c r="M366" i="2"/>
  <c r="M362" i="2"/>
  <c r="M358" i="2"/>
  <c r="M354" i="2"/>
  <c r="M350" i="2"/>
  <c r="M343" i="2"/>
  <c r="M339" i="2"/>
  <c r="M335" i="2"/>
  <c r="M331" i="2"/>
  <c r="M327" i="2"/>
  <c r="M323" i="2"/>
  <c r="M384" i="2"/>
  <c r="M376" i="2"/>
  <c r="M342" i="2"/>
  <c r="M338" i="2"/>
  <c r="M334" i="2"/>
  <c r="M330" i="2"/>
  <c r="M326" i="2"/>
  <c r="M322" i="2"/>
  <c r="M345" i="2"/>
  <c r="M344" i="2"/>
  <c r="M341" i="2"/>
  <c r="M340" i="2"/>
  <c r="M337" i="2"/>
  <c r="M336" i="2"/>
  <c r="M333" i="2"/>
  <c r="M332" i="2"/>
  <c r="M329" i="2"/>
  <c r="M328" i="2"/>
  <c r="M325" i="2"/>
  <c r="M324" i="2"/>
  <c r="M319" i="2"/>
  <c r="M315" i="2"/>
  <c r="M311" i="2"/>
  <c r="M307" i="2"/>
  <c r="M303" i="2"/>
  <c r="M299" i="2"/>
  <c r="M295" i="2"/>
  <c r="M291" i="2"/>
  <c r="M287" i="2"/>
  <c r="M283" i="2"/>
  <c r="M279" i="2"/>
  <c r="M275" i="2"/>
  <c r="M271" i="2"/>
  <c r="M380" i="2"/>
  <c r="M373" i="2"/>
  <c r="M365" i="2"/>
  <c r="M357" i="2"/>
  <c r="M349" i="2"/>
  <c r="M318" i="2"/>
  <c r="M314" i="2"/>
  <c r="M310" i="2"/>
  <c r="M306" i="2"/>
  <c r="M302" i="2"/>
  <c r="M298" i="2"/>
  <c r="M294" i="2"/>
  <c r="M290" i="2"/>
  <c r="M286" i="2"/>
  <c r="M282" i="2"/>
  <c r="M278" i="2"/>
  <c r="M346" i="2"/>
  <c r="M274" i="2"/>
  <c r="M270" i="2"/>
  <c r="M266" i="2"/>
  <c r="M262" i="2"/>
  <c r="M258" i="2"/>
  <c r="M254" i="2"/>
  <c r="M250" i="2"/>
  <c r="M246" i="2"/>
  <c r="M242" i="2"/>
  <c r="M369" i="2"/>
  <c r="M353" i="2"/>
  <c r="M321" i="2"/>
  <c r="M320" i="2"/>
  <c r="M317" i="2"/>
  <c r="M316" i="2"/>
  <c r="M313" i="2"/>
  <c r="M312" i="2"/>
  <c r="M309" i="2"/>
  <c r="M308" i="2"/>
  <c r="M305" i="2"/>
  <c r="M304" i="2"/>
  <c r="M301" i="2"/>
  <c r="M300" i="2"/>
  <c r="M297" i="2"/>
  <c r="M296" i="2"/>
  <c r="M293" i="2"/>
  <c r="M292" i="2"/>
  <c r="M289" i="2"/>
  <c r="M288" i="2"/>
  <c r="M285" i="2"/>
  <c r="M284" i="2"/>
  <c r="M281" i="2"/>
  <c r="M280" i="2"/>
  <c r="M277" i="2"/>
  <c r="M276" i="2"/>
  <c r="M273" i="2"/>
  <c r="M272" i="2"/>
  <c r="M269" i="2"/>
  <c r="M265" i="2"/>
  <c r="M261" i="2"/>
  <c r="M257" i="2"/>
  <c r="M253" i="2"/>
  <c r="M249" i="2"/>
  <c r="M245" i="2"/>
  <c r="M241" i="2"/>
  <c r="M268" i="2"/>
  <c r="M267" i="2"/>
  <c r="M264" i="2"/>
  <c r="M263" i="2"/>
  <c r="M260" i="2"/>
  <c r="M259" i="2"/>
  <c r="M256" i="2"/>
  <c r="M255" i="2"/>
  <c r="M252" i="2"/>
  <c r="M251" i="2"/>
  <c r="M248" i="2"/>
  <c r="M247" i="2"/>
  <c r="M244" i="2"/>
  <c r="M243" i="2"/>
  <c r="M240" i="2"/>
  <c r="M239" i="2"/>
  <c r="M234" i="2"/>
  <c r="M230" i="2"/>
  <c r="M226" i="2"/>
  <c r="M222" i="2"/>
  <c r="M218" i="2"/>
  <c r="M214" i="2"/>
  <c r="M210" i="2"/>
  <c r="M206" i="2"/>
  <c r="M202" i="2"/>
  <c r="M198" i="2"/>
  <c r="M194" i="2"/>
  <c r="M190" i="2"/>
  <c r="M186" i="2"/>
  <c r="M182" i="2"/>
  <c r="M178" i="2"/>
  <c r="M174" i="2"/>
  <c r="M170" i="2"/>
  <c r="M166" i="2"/>
  <c r="M162" i="2"/>
  <c r="M158" i="2"/>
  <c r="M154" i="2"/>
  <c r="M150" i="2"/>
  <c r="M146" i="2"/>
  <c r="M142" i="2"/>
  <c r="M138" i="2"/>
  <c r="M238" i="2"/>
  <c r="M237" i="2"/>
  <c r="M233" i="2"/>
  <c r="M229" i="2"/>
  <c r="M225" i="2"/>
  <c r="M221" i="2"/>
  <c r="M217" i="2"/>
  <c r="M213" i="2"/>
  <c r="M209" i="2"/>
  <c r="M205" i="2"/>
  <c r="M201" i="2"/>
  <c r="M197" i="2"/>
  <c r="M193" i="2"/>
  <c r="M189" i="2"/>
  <c r="M185" i="2"/>
  <c r="M181" i="2"/>
  <c r="M177" i="2"/>
  <c r="M173" i="2"/>
  <c r="M169" i="2"/>
  <c r="M165" i="2"/>
  <c r="M161" i="2"/>
  <c r="M157" i="2"/>
  <c r="M153" i="2"/>
  <c r="M149" i="2"/>
  <c r="M145" i="2"/>
  <c r="M141" i="2"/>
  <c r="M137" i="2"/>
  <c r="M133" i="2"/>
  <c r="M129" i="2"/>
  <c r="M125" i="2"/>
  <c r="M121" i="2"/>
  <c r="M117" i="2"/>
  <c r="M113" i="2"/>
  <c r="M109" i="2"/>
  <c r="M361" i="2"/>
  <c r="M152" i="2"/>
  <c r="M151" i="2"/>
  <c r="M148" i="2"/>
  <c r="M147" i="2"/>
  <c r="M144" i="2"/>
  <c r="M143" i="2"/>
  <c r="M140" i="2"/>
  <c r="M139" i="2"/>
  <c r="M136" i="2"/>
  <c r="M132" i="2"/>
  <c r="M128" i="2"/>
  <c r="M124" i="2"/>
  <c r="M120" i="2"/>
  <c r="M116" i="2"/>
  <c r="M112" i="2"/>
  <c r="M108" i="2"/>
  <c r="M104" i="2"/>
  <c r="M100" i="2"/>
  <c r="M96" i="2"/>
  <c r="M92" i="2"/>
  <c r="M88" i="2"/>
  <c r="M84" i="2"/>
  <c r="M80" i="2"/>
  <c r="M235" i="2"/>
  <c r="M231" i="2"/>
  <c r="M227" i="2"/>
  <c r="M223" i="2"/>
  <c r="M219" i="2"/>
  <c r="M215" i="2"/>
  <c r="M211" i="2"/>
  <c r="M207" i="2"/>
  <c r="M203" i="2"/>
  <c r="M199" i="2"/>
  <c r="M195" i="2"/>
  <c r="M191" i="2"/>
  <c r="M187" i="2"/>
  <c r="M183" i="2"/>
  <c r="M179" i="2"/>
  <c r="M175" i="2"/>
  <c r="M171" i="2"/>
  <c r="M167" i="2"/>
  <c r="M163" i="2"/>
  <c r="M159" i="2"/>
  <c r="M155" i="2"/>
  <c r="M236" i="2"/>
  <c r="M220" i="2"/>
  <c r="M204" i="2"/>
  <c r="M188" i="2"/>
  <c r="M172" i="2"/>
  <c r="M156" i="2"/>
  <c r="M74" i="2"/>
  <c r="M70" i="2"/>
  <c r="M66" i="2"/>
  <c r="M62" i="2"/>
  <c r="M58" i="2"/>
  <c r="M232" i="2"/>
  <c r="M216" i="2"/>
  <c r="M200" i="2"/>
  <c r="M184" i="2"/>
  <c r="M168" i="2"/>
  <c r="M73" i="2"/>
  <c r="M69" i="2"/>
  <c r="M65" i="2"/>
  <c r="M228" i="2"/>
  <c r="M212" i="2"/>
  <c r="M196" i="2"/>
  <c r="M180" i="2"/>
  <c r="M164" i="2"/>
  <c r="M135" i="2"/>
  <c r="M134" i="2"/>
  <c r="M131" i="2"/>
  <c r="M130" i="2"/>
  <c r="M127" i="2"/>
  <c r="M126" i="2"/>
  <c r="M123" i="2"/>
  <c r="M122" i="2"/>
  <c r="M119" i="2"/>
  <c r="M118" i="2"/>
  <c r="M115" i="2"/>
  <c r="M114" i="2"/>
  <c r="M111" i="2"/>
  <c r="M110" i="2"/>
  <c r="M107" i="2"/>
  <c r="M103" i="2"/>
  <c r="M99" i="2"/>
  <c r="M95" i="2"/>
  <c r="M91" i="2"/>
  <c r="M87" i="2"/>
  <c r="M83" i="2"/>
  <c r="M79" i="2"/>
  <c r="M76" i="2"/>
  <c r="M72" i="2"/>
  <c r="M68" i="2"/>
  <c r="M64" i="2"/>
  <c r="M208" i="2"/>
  <c r="M54" i="2"/>
  <c r="M50" i="2"/>
  <c r="M46" i="2"/>
  <c r="M42" i="2"/>
  <c r="M38" i="2"/>
  <c r="M34" i="2"/>
  <c r="M30" i="2"/>
  <c r="M26" i="2"/>
  <c r="M22" i="2"/>
  <c r="M18" i="2"/>
  <c r="M14" i="2"/>
  <c r="M10" i="2"/>
  <c r="M6" i="2"/>
  <c r="M2" i="2"/>
  <c r="M192" i="2"/>
  <c r="M106" i="2"/>
  <c r="M105" i="2"/>
  <c r="M102" i="2"/>
  <c r="M101" i="2"/>
  <c r="M98" i="2"/>
  <c r="M97" i="2"/>
  <c r="M94" i="2"/>
  <c r="M93" i="2"/>
  <c r="M90" i="2"/>
  <c r="M89" i="2"/>
  <c r="M86" i="2"/>
  <c r="M85" i="2"/>
  <c r="M82" i="2"/>
  <c r="M81" i="2"/>
  <c r="M78" i="2"/>
  <c r="M77" i="2"/>
  <c r="M75" i="2"/>
  <c r="M71" i="2"/>
  <c r="M67" i="2"/>
  <c r="M63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9" i="2"/>
  <c r="M5" i="2"/>
  <c r="M176" i="2"/>
  <c r="M60" i="2"/>
  <c r="M59" i="2"/>
  <c r="M56" i="2"/>
  <c r="M55" i="2"/>
  <c r="M52" i="2"/>
  <c r="M48" i="2"/>
  <c r="M44" i="2"/>
  <c r="M40" i="2"/>
  <c r="M36" i="2"/>
  <c r="M32" i="2"/>
  <c r="M28" i="2"/>
  <c r="M24" i="2"/>
  <c r="M20" i="2"/>
  <c r="M16" i="2"/>
  <c r="M12" i="2"/>
  <c r="M8" i="2"/>
  <c r="M4" i="2"/>
  <c r="M224" i="2"/>
  <c r="M160" i="2"/>
  <c r="M51" i="2"/>
  <c r="M47" i="2"/>
  <c r="M43" i="2"/>
  <c r="M39" i="2"/>
  <c r="M35" i="2"/>
  <c r="M31" i="2"/>
  <c r="M27" i="2"/>
  <c r="M23" i="2"/>
  <c r="M19" i="2"/>
  <c r="M15" i="2"/>
  <c r="M11" i="2"/>
  <c r="M7" i="2"/>
  <c r="M3" i="2"/>
  <c r="Q408" i="2"/>
  <c r="Q409" i="2"/>
  <c r="Q406" i="2"/>
  <c r="Q404" i="2"/>
  <c r="Q400" i="2"/>
  <c r="Q396" i="2"/>
  <c r="Q392" i="2"/>
  <c r="Q407" i="2"/>
  <c r="Q405" i="2"/>
  <c r="Q388" i="2"/>
  <c r="Q403" i="2"/>
  <c r="Q399" i="2"/>
  <c r="Q395" i="2"/>
  <c r="Q391" i="2"/>
  <c r="Q387" i="2"/>
  <c r="Q402" i="2"/>
  <c r="Q398" i="2"/>
  <c r="Q394" i="2"/>
  <c r="Q390" i="2"/>
  <c r="Q389" i="2"/>
  <c r="Q386" i="2"/>
  <c r="Q383" i="2"/>
  <c r="Q379" i="2"/>
  <c r="Q401" i="2"/>
  <c r="Q397" i="2"/>
  <c r="Q393" i="2"/>
  <c r="Q382" i="2"/>
  <c r="Q378" i="2"/>
  <c r="Q385" i="2"/>
  <c r="Q381" i="2"/>
  <c r="Q377" i="2"/>
  <c r="Q372" i="2"/>
  <c r="Q368" i="2"/>
  <c r="Q364" i="2"/>
  <c r="Q360" i="2"/>
  <c r="Q356" i="2"/>
  <c r="Q352" i="2"/>
  <c r="Q348" i="2"/>
  <c r="Q371" i="2"/>
  <c r="Q367" i="2"/>
  <c r="Q363" i="2"/>
  <c r="Q359" i="2"/>
  <c r="Q355" i="2"/>
  <c r="Q351" i="2"/>
  <c r="Q347" i="2"/>
  <c r="Q384" i="2"/>
  <c r="Q380" i="2"/>
  <c r="Q376" i="2"/>
  <c r="Q375" i="2"/>
  <c r="Q374" i="2"/>
  <c r="Q370" i="2"/>
  <c r="Q366" i="2"/>
  <c r="Q362" i="2"/>
  <c r="Q358" i="2"/>
  <c r="Q354" i="2"/>
  <c r="Q350" i="2"/>
  <c r="Q346" i="2"/>
  <c r="Q343" i="2"/>
  <c r="Q339" i="2"/>
  <c r="Q335" i="2"/>
  <c r="Q331" i="2"/>
  <c r="Q327" i="2"/>
  <c r="Q323" i="2"/>
  <c r="Q342" i="2"/>
  <c r="Q338" i="2"/>
  <c r="Q334" i="2"/>
  <c r="Q330" i="2"/>
  <c r="Q326" i="2"/>
  <c r="Q322" i="2"/>
  <c r="Q373" i="2"/>
  <c r="Q365" i="2"/>
  <c r="Q357" i="2"/>
  <c r="Q349" i="2"/>
  <c r="Q319" i="2"/>
  <c r="Q315" i="2"/>
  <c r="Q311" i="2"/>
  <c r="Q307" i="2"/>
  <c r="Q303" i="2"/>
  <c r="Q299" i="2"/>
  <c r="Q295" i="2"/>
  <c r="Q291" i="2"/>
  <c r="Q287" i="2"/>
  <c r="Q283" i="2"/>
  <c r="Q279" i="2"/>
  <c r="Q275" i="2"/>
  <c r="Q271" i="2"/>
  <c r="Q318" i="2"/>
  <c r="Q314" i="2"/>
  <c r="Q310" i="2"/>
  <c r="Q306" i="2"/>
  <c r="Q302" i="2"/>
  <c r="Q298" i="2"/>
  <c r="Q294" i="2"/>
  <c r="Q290" i="2"/>
  <c r="Q286" i="2"/>
  <c r="Q282" i="2"/>
  <c r="Q278" i="2"/>
  <c r="Q369" i="2"/>
  <c r="Q353" i="2"/>
  <c r="Q345" i="2"/>
  <c r="Q341" i="2"/>
  <c r="Q337" i="2"/>
  <c r="Q333" i="2"/>
  <c r="Q329" i="2"/>
  <c r="Q325" i="2"/>
  <c r="Q270" i="2"/>
  <c r="Q266" i="2"/>
  <c r="Q262" i="2"/>
  <c r="Q258" i="2"/>
  <c r="Q254" i="2"/>
  <c r="Q250" i="2"/>
  <c r="Q246" i="2"/>
  <c r="Q242" i="2"/>
  <c r="Q274" i="2"/>
  <c r="Q269" i="2"/>
  <c r="Q265" i="2"/>
  <c r="Q261" i="2"/>
  <c r="Q257" i="2"/>
  <c r="Q253" i="2"/>
  <c r="Q249" i="2"/>
  <c r="Q245" i="2"/>
  <c r="Q241" i="2"/>
  <c r="Q320" i="2"/>
  <c r="Q316" i="2"/>
  <c r="Q312" i="2"/>
  <c r="Q308" i="2"/>
  <c r="Q304" i="2"/>
  <c r="Q300" i="2"/>
  <c r="Q296" i="2"/>
  <c r="Q292" i="2"/>
  <c r="Q288" i="2"/>
  <c r="Q284" i="2"/>
  <c r="Q280" i="2"/>
  <c r="Q234" i="2"/>
  <c r="Q230" i="2"/>
  <c r="Q226" i="2"/>
  <c r="Q222" i="2"/>
  <c r="Q218" i="2"/>
  <c r="Q214" i="2"/>
  <c r="Q210" i="2"/>
  <c r="Q206" i="2"/>
  <c r="Q202" i="2"/>
  <c r="Q198" i="2"/>
  <c r="Q194" i="2"/>
  <c r="Q190" i="2"/>
  <c r="Q186" i="2"/>
  <c r="Q182" i="2"/>
  <c r="Q178" i="2"/>
  <c r="Q174" i="2"/>
  <c r="Q170" i="2"/>
  <c r="Q166" i="2"/>
  <c r="Q162" i="2"/>
  <c r="Q158" i="2"/>
  <c r="Q154" i="2"/>
  <c r="Q150" i="2"/>
  <c r="Q146" i="2"/>
  <c r="Q142" i="2"/>
  <c r="Q138" i="2"/>
  <c r="Q361" i="2"/>
  <c r="Q340" i="2"/>
  <c r="Q332" i="2"/>
  <c r="Q324" i="2"/>
  <c r="Q273" i="2"/>
  <c r="Q237" i="2"/>
  <c r="Q233" i="2"/>
  <c r="Q229" i="2"/>
  <c r="Q225" i="2"/>
  <c r="Q221" i="2"/>
  <c r="Q217" i="2"/>
  <c r="Q213" i="2"/>
  <c r="Q209" i="2"/>
  <c r="Q205" i="2"/>
  <c r="Q201" i="2"/>
  <c r="Q197" i="2"/>
  <c r="Q193" i="2"/>
  <c r="Q189" i="2"/>
  <c r="Q185" i="2"/>
  <c r="Q181" i="2"/>
  <c r="Q177" i="2"/>
  <c r="Q173" i="2"/>
  <c r="Q169" i="2"/>
  <c r="Q165" i="2"/>
  <c r="Q161" i="2"/>
  <c r="Q157" i="2"/>
  <c r="Q153" i="2"/>
  <c r="Q344" i="2"/>
  <c r="Q328" i="2"/>
  <c r="Q317" i="2"/>
  <c r="Q309" i="2"/>
  <c r="Q301" i="2"/>
  <c r="Q293" i="2"/>
  <c r="Q285" i="2"/>
  <c r="Q277" i="2"/>
  <c r="Q276" i="2"/>
  <c r="Q272" i="2"/>
  <c r="Q238" i="2"/>
  <c r="Q133" i="2"/>
  <c r="Q129" i="2"/>
  <c r="Q125" i="2"/>
  <c r="Q121" i="2"/>
  <c r="Q117" i="2"/>
  <c r="Q113" i="2"/>
  <c r="Q109" i="2"/>
  <c r="Q267" i="2"/>
  <c r="Q263" i="2"/>
  <c r="Q259" i="2"/>
  <c r="Q255" i="2"/>
  <c r="Q251" i="2"/>
  <c r="Q247" i="2"/>
  <c r="Q243" i="2"/>
  <c r="Q239" i="2"/>
  <c r="Q236" i="2"/>
  <c r="Q235" i="2"/>
  <c r="Q232" i="2"/>
  <c r="Q231" i="2"/>
  <c r="Q228" i="2"/>
  <c r="Q227" i="2"/>
  <c r="Q224" i="2"/>
  <c r="Q223" i="2"/>
  <c r="Q220" i="2"/>
  <c r="Q219" i="2"/>
  <c r="Q216" i="2"/>
  <c r="Q215" i="2"/>
  <c r="Q212" i="2"/>
  <c r="Q211" i="2"/>
  <c r="Q208" i="2"/>
  <c r="Q207" i="2"/>
  <c r="Q204" i="2"/>
  <c r="Q203" i="2"/>
  <c r="Q200" i="2"/>
  <c r="Q199" i="2"/>
  <c r="Q196" i="2"/>
  <c r="Q195" i="2"/>
  <c r="Q192" i="2"/>
  <c r="Q191" i="2"/>
  <c r="Q188" i="2"/>
  <c r="Q187" i="2"/>
  <c r="Q184" i="2"/>
  <c r="Q183" i="2"/>
  <c r="Q180" i="2"/>
  <c r="Q179" i="2"/>
  <c r="Q176" i="2"/>
  <c r="Q175" i="2"/>
  <c r="Q172" i="2"/>
  <c r="Q171" i="2"/>
  <c r="Q168" i="2"/>
  <c r="Q167" i="2"/>
  <c r="Q164" i="2"/>
  <c r="Q163" i="2"/>
  <c r="Q160" i="2"/>
  <c r="Q159" i="2"/>
  <c r="Q156" i="2"/>
  <c r="Q155" i="2"/>
  <c r="Q149" i="2"/>
  <c r="Q145" i="2"/>
  <c r="Q141" i="2"/>
  <c r="Q137" i="2"/>
  <c r="Q132" i="2"/>
  <c r="Q128" i="2"/>
  <c r="Q124" i="2"/>
  <c r="Q120" i="2"/>
  <c r="Q116" i="2"/>
  <c r="Q112" i="2"/>
  <c r="Q108" i="2"/>
  <c r="Q104" i="2"/>
  <c r="Q100" i="2"/>
  <c r="Q96" i="2"/>
  <c r="Q92" i="2"/>
  <c r="Q88" i="2"/>
  <c r="Q84" i="2"/>
  <c r="Q80" i="2"/>
  <c r="Q336" i="2"/>
  <c r="Q321" i="2"/>
  <c r="Q264" i="2"/>
  <c r="Q256" i="2"/>
  <c r="Q248" i="2"/>
  <c r="Q240" i="2"/>
  <c r="Q313" i="2"/>
  <c r="Q297" i="2"/>
  <c r="Q281" i="2"/>
  <c r="Q268" i="2"/>
  <c r="Q260" i="2"/>
  <c r="Q252" i="2"/>
  <c r="Q244" i="2"/>
  <c r="Q151" i="2"/>
  <c r="Q147" i="2"/>
  <c r="Q135" i="2"/>
  <c r="Q134" i="2"/>
  <c r="Q131" i="2"/>
  <c r="Q130" i="2"/>
  <c r="Q127" i="2"/>
  <c r="Q126" i="2"/>
  <c r="Q123" i="2"/>
  <c r="Q122" i="2"/>
  <c r="Q119" i="2"/>
  <c r="Q118" i="2"/>
  <c r="Q115" i="2"/>
  <c r="Q114" i="2"/>
  <c r="Q111" i="2"/>
  <c r="Q110" i="2"/>
  <c r="Q107" i="2"/>
  <c r="Q106" i="2"/>
  <c r="Q105" i="2"/>
  <c r="Q102" i="2"/>
  <c r="Q101" i="2"/>
  <c r="Q98" i="2"/>
  <c r="Q97" i="2"/>
  <c r="Q94" i="2"/>
  <c r="Q93" i="2"/>
  <c r="Q90" i="2"/>
  <c r="Q89" i="2"/>
  <c r="Q86" i="2"/>
  <c r="Q85" i="2"/>
  <c r="Q82" i="2"/>
  <c r="Q81" i="2"/>
  <c r="Q78" i="2"/>
  <c r="Q77" i="2"/>
  <c r="Q74" i="2"/>
  <c r="Q70" i="2"/>
  <c r="Q66" i="2"/>
  <c r="Q62" i="2"/>
  <c r="Q58" i="2"/>
  <c r="Q305" i="2"/>
  <c r="Q140" i="2"/>
  <c r="Q136" i="2"/>
  <c r="Q73" i="2"/>
  <c r="Q69" i="2"/>
  <c r="Q65" i="2"/>
  <c r="Q289" i="2"/>
  <c r="Q148" i="2"/>
  <c r="Q144" i="2"/>
  <c r="Q143" i="2"/>
  <c r="Q139" i="2"/>
  <c r="Q76" i="2"/>
  <c r="Q72" i="2"/>
  <c r="Q68" i="2"/>
  <c r="Q64" i="2"/>
  <c r="Q103" i="2"/>
  <c r="Q99" i="2"/>
  <c r="Q95" i="2"/>
  <c r="Q91" i="2"/>
  <c r="Q87" i="2"/>
  <c r="Q83" i="2"/>
  <c r="Q79" i="2"/>
  <c r="Q75" i="2"/>
  <c r="Q71" i="2"/>
  <c r="Q67" i="2"/>
  <c r="Q63" i="2"/>
  <c r="Q54" i="2"/>
  <c r="Q50" i="2"/>
  <c r="Q46" i="2"/>
  <c r="Q42" i="2"/>
  <c r="Q38" i="2"/>
  <c r="Q34" i="2"/>
  <c r="Q30" i="2"/>
  <c r="Q26" i="2"/>
  <c r="Q22" i="2"/>
  <c r="Q18" i="2"/>
  <c r="Q14" i="2"/>
  <c r="Q10" i="2"/>
  <c r="Q6" i="2"/>
  <c r="Q2" i="2"/>
  <c r="Q53" i="2"/>
  <c r="Q49" i="2"/>
  <c r="Q45" i="2"/>
  <c r="Q41" i="2"/>
  <c r="Q37" i="2"/>
  <c r="Q33" i="2"/>
  <c r="Q29" i="2"/>
  <c r="Q25" i="2"/>
  <c r="Q21" i="2"/>
  <c r="Q17" i="2"/>
  <c r="Q13" i="2"/>
  <c r="Q9" i="2"/>
  <c r="Q5" i="2"/>
  <c r="Q61" i="2"/>
  <c r="Q57" i="2"/>
  <c r="Q52" i="2"/>
  <c r="Q48" i="2"/>
  <c r="Q44" i="2"/>
  <c r="Q40" i="2"/>
  <c r="Q36" i="2"/>
  <c r="Q32" i="2"/>
  <c r="Q28" i="2"/>
  <c r="Q24" i="2"/>
  <c r="Q20" i="2"/>
  <c r="Q16" i="2"/>
  <c r="Q12" i="2"/>
  <c r="Q8" i="2"/>
  <c r="Q4" i="2"/>
  <c r="Q152" i="2"/>
  <c r="Q60" i="2"/>
  <c r="Q59" i="2"/>
  <c r="Q56" i="2"/>
  <c r="Q55" i="2"/>
  <c r="Q51" i="2"/>
  <c r="Q47" i="2"/>
  <c r="Q43" i="2"/>
  <c r="Q39" i="2"/>
  <c r="Q35" i="2"/>
  <c r="Q31" i="2"/>
  <c r="Q27" i="2"/>
  <c r="Q23" i="2"/>
  <c r="Q19" i="2"/>
  <c r="Q15" i="2"/>
  <c r="Q11" i="2"/>
  <c r="Q7" i="2"/>
  <c r="Q3" i="2"/>
  <c r="U408" i="2"/>
  <c r="U409" i="2"/>
  <c r="U406" i="2"/>
  <c r="U405" i="2"/>
  <c r="U404" i="2"/>
  <c r="U400" i="2"/>
  <c r="U396" i="2"/>
  <c r="U392" i="2"/>
  <c r="U407" i="2"/>
  <c r="U402" i="2"/>
  <c r="U401" i="2"/>
  <c r="U398" i="2"/>
  <c r="U397" i="2"/>
  <c r="U394" i="2"/>
  <c r="U393" i="2"/>
  <c r="U388" i="2"/>
  <c r="U387" i="2"/>
  <c r="U383" i="2"/>
  <c r="U379" i="2"/>
  <c r="U382" i="2"/>
  <c r="U378" i="2"/>
  <c r="U403" i="2"/>
  <c r="U399" i="2"/>
  <c r="U395" i="2"/>
  <c r="U391" i="2"/>
  <c r="U389" i="2"/>
  <c r="U386" i="2"/>
  <c r="U385" i="2"/>
  <c r="U381" i="2"/>
  <c r="U377" i="2"/>
  <c r="U375" i="2"/>
  <c r="U372" i="2"/>
  <c r="U368" i="2"/>
  <c r="U364" i="2"/>
  <c r="U360" i="2"/>
  <c r="U356" i="2"/>
  <c r="U352" i="2"/>
  <c r="U348" i="2"/>
  <c r="U390" i="2"/>
  <c r="U384" i="2"/>
  <c r="U380" i="2"/>
  <c r="U376" i="2"/>
  <c r="U371" i="2"/>
  <c r="U367" i="2"/>
  <c r="U363" i="2"/>
  <c r="U359" i="2"/>
  <c r="U355" i="2"/>
  <c r="U351" i="2"/>
  <c r="U347" i="2"/>
  <c r="U370" i="2"/>
  <c r="U366" i="2"/>
  <c r="U362" i="2"/>
  <c r="U358" i="2"/>
  <c r="U354" i="2"/>
  <c r="U350" i="2"/>
  <c r="U343" i="2"/>
  <c r="U339" i="2"/>
  <c r="U335" i="2"/>
  <c r="U331" i="2"/>
  <c r="U327" i="2"/>
  <c r="U323" i="2"/>
  <c r="U373" i="2"/>
  <c r="U369" i="2"/>
  <c r="U365" i="2"/>
  <c r="U361" i="2"/>
  <c r="U357" i="2"/>
  <c r="U353" i="2"/>
  <c r="U349" i="2"/>
  <c r="U346" i="2"/>
  <c r="U342" i="2"/>
  <c r="U338" i="2"/>
  <c r="U334" i="2"/>
  <c r="U330" i="2"/>
  <c r="U326" i="2"/>
  <c r="U322" i="2"/>
  <c r="U374" i="2"/>
  <c r="U345" i="2"/>
  <c r="U344" i="2"/>
  <c r="U341" i="2"/>
  <c r="U340" i="2"/>
  <c r="U337" i="2"/>
  <c r="U336" i="2"/>
  <c r="U333" i="2"/>
  <c r="U332" i="2"/>
  <c r="U329" i="2"/>
  <c r="U328" i="2"/>
  <c r="U325" i="2"/>
  <c r="U324" i="2"/>
  <c r="U319" i="2"/>
  <c r="U315" i="2"/>
  <c r="U311" i="2"/>
  <c r="U307" i="2"/>
  <c r="U303" i="2"/>
  <c r="U299" i="2"/>
  <c r="U295" i="2"/>
  <c r="U291" i="2"/>
  <c r="U287" i="2"/>
  <c r="U283" i="2"/>
  <c r="U279" i="2"/>
  <c r="U275" i="2"/>
  <c r="U271" i="2"/>
  <c r="U318" i="2"/>
  <c r="U314" i="2"/>
  <c r="U310" i="2"/>
  <c r="U306" i="2"/>
  <c r="U302" i="2"/>
  <c r="U298" i="2"/>
  <c r="U294" i="2"/>
  <c r="U290" i="2"/>
  <c r="U286" i="2"/>
  <c r="U282" i="2"/>
  <c r="U278" i="2"/>
  <c r="U270" i="2"/>
  <c r="U266" i="2"/>
  <c r="U262" i="2"/>
  <c r="U258" i="2"/>
  <c r="U254" i="2"/>
  <c r="U250" i="2"/>
  <c r="U246" i="2"/>
  <c r="U242" i="2"/>
  <c r="U321" i="2"/>
  <c r="U320" i="2"/>
  <c r="U317" i="2"/>
  <c r="U316" i="2"/>
  <c r="U313" i="2"/>
  <c r="U312" i="2"/>
  <c r="U309" i="2"/>
  <c r="U308" i="2"/>
  <c r="U305" i="2"/>
  <c r="U304" i="2"/>
  <c r="U301" i="2"/>
  <c r="U300" i="2"/>
  <c r="U297" i="2"/>
  <c r="U296" i="2"/>
  <c r="U293" i="2"/>
  <c r="U292" i="2"/>
  <c r="U289" i="2"/>
  <c r="U288" i="2"/>
  <c r="U285" i="2"/>
  <c r="U284" i="2"/>
  <c r="U281" i="2"/>
  <c r="U280" i="2"/>
  <c r="U277" i="2"/>
  <c r="U269" i="2"/>
  <c r="U265" i="2"/>
  <c r="U261" i="2"/>
  <c r="U257" i="2"/>
  <c r="U253" i="2"/>
  <c r="U249" i="2"/>
  <c r="U245" i="2"/>
  <c r="U241" i="2"/>
  <c r="U273" i="2"/>
  <c r="U268" i="2"/>
  <c r="U267" i="2"/>
  <c r="U264" i="2"/>
  <c r="U263" i="2"/>
  <c r="U260" i="2"/>
  <c r="U259" i="2"/>
  <c r="U256" i="2"/>
  <c r="U255" i="2"/>
  <c r="U252" i="2"/>
  <c r="U251" i="2"/>
  <c r="U248" i="2"/>
  <c r="U247" i="2"/>
  <c r="U244" i="2"/>
  <c r="U243" i="2"/>
  <c r="U240" i="2"/>
  <c r="U239" i="2"/>
  <c r="U234" i="2"/>
  <c r="U230" i="2"/>
  <c r="U226" i="2"/>
  <c r="U222" i="2"/>
  <c r="U218" i="2"/>
  <c r="U214" i="2"/>
  <c r="U210" i="2"/>
  <c r="U206" i="2"/>
  <c r="U202" i="2"/>
  <c r="U198" i="2"/>
  <c r="U194" i="2"/>
  <c r="U190" i="2"/>
  <c r="U186" i="2"/>
  <c r="U182" i="2"/>
  <c r="U178" i="2"/>
  <c r="U174" i="2"/>
  <c r="U170" i="2"/>
  <c r="U166" i="2"/>
  <c r="U162" i="2"/>
  <c r="U158" i="2"/>
  <c r="U154" i="2"/>
  <c r="U150" i="2"/>
  <c r="U146" i="2"/>
  <c r="U142" i="2"/>
  <c r="U138" i="2"/>
  <c r="U276" i="2"/>
  <c r="U272" i="2"/>
  <c r="U237" i="2"/>
  <c r="U233" i="2"/>
  <c r="U229" i="2"/>
  <c r="U225" i="2"/>
  <c r="U221" i="2"/>
  <c r="U217" i="2"/>
  <c r="U213" i="2"/>
  <c r="U209" i="2"/>
  <c r="U205" i="2"/>
  <c r="U201" i="2"/>
  <c r="U197" i="2"/>
  <c r="U193" i="2"/>
  <c r="U189" i="2"/>
  <c r="U185" i="2"/>
  <c r="U181" i="2"/>
  <c r="U177" i="2"/>
  <c r="U173" i="2"/>
  <c r="U169" i="2"/>
  <c r="U165" i="2"/>
  <c r="U161" i="2"/>
  <c r="U157" i="2"/>
  <c r="U153" i="2"/>
  <c r="U133" i="2"/>
  <c r="U129" i="2"/>
  <c r="U125" i="2"/>
  <c r="U121" i="2"/>
  <c r="U117" i="2"/>
  <c r="U113" i="2"/>
  <c r="U109" i="2"/>
  <c r="U132" i="2"/>
  <c r="U128" i="2"/>
  <c r="U124" i="2"/>
  <c r="U120" i="2"/>
  <c r="U116" i="2"/>
  <c r="U112" i="2"/>
  <c r="U108" i="2"/>
  <c r="U104" i="2"/>
  <c r="U100" i="2"/>
  <c r="U96" i="2"/>
  <c r="U92" i="2"/>
  <c r="U88" i="2"/>
  <c r="U84" i="2"/>
  <c r="U80" i="2"/>
  <c r="U235" i="2"/>
  <c r="U231" i="2"/>
  <c r="U227" i="2"/>
  <c r="U223" i="2"/>
  <c r="U219" i="2"/>
  <c r="U215" i="2"/>
  <c r="U211" i="2"/>
  <c r="U207" i="2"/>
  <c r="U203" i="2"/>
  <c r="U199" i="2"/>
  <c r="U195" i="2"/>
  <c r="U191" i="2"/>
  <c r="U187" i="2"/>
  <c r="U183" i="2"/>
  <c r="U179" i="2"/>
  <c r="U175" i="2"/>
  <c r="U171" i="2"/>
  <c r="U167" i="2"/>
  <c r="U163" i="2"/>
  <c r="U159" i="2"/>
  <c r="U155" i="2"/>
  <c r="U152" i="2"/>
  <c r="U236" i="2"/>
  <c r="U232" i="2"/>
  <c r="U228" i="2"/>
  <c r="U224" i="2"/>
  <c r="U220" i="2"/>
  <c r="U216" i="2"/>
  <c r="U212" i="2"/>
  <c r="U208" i="2"/>
  <c r="U204" i="2"/>
  <c r="U200" i="2"/>
  <c r="U196" i="2"/>
  <c r="U192" i="2"/>
  <c r="U188" i="2"/>
  <c r="U184" i="2"/>
  <c r="U180" i="2"/>
  <c r="U176" i="2"/>
  <c r="U172" i="2"/>
  <c r="U168" i="2"/>
  <c r="U164" i="2"/>
  <c r="U160" i="2"/>
  <c r="U156" i="2"/>
  <c r="U274" i="2"/>
  <c r="U149" i="2"/>
  <c r="U145" i="2"/>
  <c r="U238" i="2"/>
  <c r="U151" i="2"/>
  <c r="U147" i="2"/>
  <c r="U140" i="2"/>
  <c r="U136" i="2"/>
  <c r="U103" i="2"/>
  <c r="U99" i="2"/>
  <c r="U95" i="2"/>
  <c r="U91" i="2"/>
  <c r="U87" i="2"/>
  <c r="U83" i="2"/>
  <c r="U79" i="2"/>
  <c r="U74" i="2"/>
  <c r="U70" i="2"/>
  <c r="U66" i="2"/>
  <c r="U62" i="2"/>
  <c r="U58" i="2"/>
  <c r="U148" i="2"/>
  <c r="U144" i="2"/>
  <c r="U143" i="2"/>
  <c r="U139" i="2"/>
  <c r="U105" i="2"/>
  <c r="U102" i="2"/>
  <c r="U101" i="2"/>
  <c r="U98" i="2"/>
  <c r="U97" i="2"/>
  <c r="U94" i="2"/>
  <c r="U93" i="2"/>
  <c r="U90" i="2"/>
  <c r="U89" i="2"/>
  <c r="U86" i="2"/>
  <c r="U85" i="2"/>
  <c r="U82" i="2"/>
  <c r="U81" i="2"/>
  <c r="U78" i="2"/>
  <c r="U77" i="2"/>
  <c r="U73" i="2"/>
  <c r="U69" i="2"/>
  <c r="U65" i="2"/>
  <c r="U141" i="2"/>
  <c r="U137" i="2"/>
  <c r="U135" i="2"/>
  <c r="U134" i="2"/>
  <c r="U131" i="2"/>
  <c r="U130" i="2"/>
  <c r="U127" i="2"/>
  <c r="U126" i="2"/>
  <c r="U123" i="2"/>
  <c r="U122" i="2"/>
  <c r="U119" i="2"/>
  <c r="U118" i="2"/>
  <c r="U115" i="2"/>
  <c r="U114" i="2"/>
  <c r="U111" i="2"/>
  <c r="U110" i="2"/>
  <c r="U107" i="2"/>
  <c r="U106" i="2"/>
  <c r="U76" i="2"/>
  <c r="U72" i="2"/>
  <c r="U68" i="2"/>
  <c r="U64" i="2"/>
  <c r="U60" i="2"/>
  <c r="U59" i="2"/>
  <c r="U56" i="2"/>
  <c r="U55" i="2"/>
  <c r="U54" i="2"/>
  <c r="U50" i="2"/>
  <c r="U46" i="2"/>
  <c r="U42" i="2"/>
  <c r="U38" i="2"/>
  <c r="U34" i="2"/>
  <c r="U30" i="2"/>
  <c r="U26" i="2"/>
  <c r="U22" i="2"/>
  <c r="U18" i="2"/>
  <c r="U14" i="2"/>
  <c r="U10" i="2"/>
  <c r="U6" i="2"/>
  <c r="U2" i="2"/>
  <c r="U53" i="2"/>
  <c r="U49" i="2"/>
  <c r="U45" i="2"/>
  <c r="U41" i="2"/>
  <c r="U37" i="2"/>
  <c r="U33" i="2"/>
  <c r="U29" i="2"/>
  <c r="U25" i="2"/>
  <c r="U21" i="2"/>
  <c r="U17" i="2"/>
  <c r="U13" i="2"/>
  <c r="U9" i="2"/>
  <c r="U5" i="2"/>
  <c r="U52" i="2"/>
  <c r="U48" i="2"/>
  <c r="U44" i="2"/>
  <c r="U40" i="2"/>
  <c r="U36" i="2"/>
  <c r="U32" i="2"/>
  <c r="U28" i="2"/>
  <c r="U24" i="2"/>
  <c r="U20" i="2"/>
  <c r="U16" i="2"/>
  <c r="U12" i="2"/>
  <c r="U8" i="2"/>
  <c r="U4" i="2"/>
  <c r="U75" i="2"/>
  <c r="U71" i="2"/>
  <c r="U67" i="2"/>
  <c r="U63" i="2"/>
  <c r="U61" i="2"/>
  <c r="U57" i="2"/>
  <c r="U51" i="2"/>
  <c r="U47" i="2"/>
  <c r="U43" i="2"/>
  <c r="U39" i="2"/>
  <c r="U35" i="2"/>
  <c r="U31" i="2"/>
  <c r="U27" i="2"/>
  <c r="U23" i="2"/>
  <c r="U19" i="2"/>
  <c r="U15" i="2"/>
  <c r="U11" i="2"/>
  <c r="U7" i="2"/>
  <c r="U3" i="2"/>
  <c r="I408" i="2"/>
  <c r="I409" i="2"/>
  <c r="I406" i="2"/>
  <c r="I404" i="2"/>
  <c r="I400" i="2"/>
  <c r="I396" i="2"/>
  <c r="I392" i="2"/>
  <c r="I407" i="2"/>
  <c r="I403" i="2"/>
  <c r="I399" i="2"/>
  <c r="I395" i="2"/>
  <c r="I405" i="2"/>
  <c r="I402" i="2"/>
  <c r="I401" i="2"/>
  <c r="I398" i="2"/>
  <c r="I397" i="2"/>
  <c r="I394" i="2"/>
  <c r="I393" i="2"/>
  <c r="I388" i="2"/>
  <c r="I387" i="2"/>
  <c r="I390" i="2"/>
  <c r="I389" i="2"/>
  <c r="I386" i="2"/>
  <c r="I383" i="2"/>
  <c r="I379" i="2"/>
  <c r="I382" i="2"/>
  <c r="I378" i="2"/>
  <c r="I391" i="2"/>
  <c r="I385" i="2"/>
  <c r="I381" i="2"/>
  <c r="I377" i="2"/>
  <c r="I384" i="2"/>
  <c r="I380" i="2"/>
  <c r="I376" i="2"/>
  <c r="I372" i="2"/>
  <c r="I368" i="2"/>
  <c r="I364" i="2"/>
  <c r="I360" i="2"/>
  <c r="I356" i="2"/>
  <c r="I352" i="2"/>
  <c r="I348" i="2"/>
  <c r="I371" i="2"/>
  <c r="I367" i="2"/>
  <c r="I363" i="2"/>
  <c r="I359" i="2"/>
  <c r="I355" i="2"/>
  <c r="I351" i="2"/>
  <c r="I347" i="2"/>
  <c r="I375" i="2"/>
  <c r="I374" i="2"/>
  <c r="I370" i="2"/>
  <c r="I366" i="2"/>
  <c r="I362" i="2"/>
  <c r="I358" i="2"/>
  <c r="I354" i="2"/>
  <c r="I350" i="2"/>
  <c r="I373" i="2"/>
  <c r="I369" i="2"/>
  <c r="I365" i="2"/>
  <c r="I361" i="2"/>
  <c r="I357" i="2"/>
  <c r="I353" i="2"/>
  <c r="I349" i="2"/>
  <c r="I343" i="2"/>
  <c r="I339" i="2"/>
  <c r="I335" i="2"/>
  <c r="I331" i="2"/>
  <c r="I327" i="2"/>
  <c r="I323" i="2"/>
  <c r="I342" i="2"/>
  <c r="I338" i="2"/>
  <c r="I334" i="2"/>
  <c r="I330" i="2"/>
  <c r="I326" i="2"/>
  <c r="I322" i="2"/>
  <c r="I319" i="2"/>
  <c r="I315" i="2"/>
  <c r="I311" i="2"/>
  <c r="I307" i="2"/>
  <c r="I303" i="2"/>
  <c r="I299" i="2"/>
  <c r="I295" i="2"/>
  <c r="I291" i="2"/>
  <c r="I287" i="2"/>
  <c r="I283" i="2"/>
  <c r="I279" i="2"/>
  <c r="I275" i="2"/>
  <c r="I271" i="2"/>
  <c r="I318" i="2"/>
  <c r="I314" i="2"/>
  <c r="I310" i="2"/>
  <c r="I306" i="2"/>
  <c r="I302" i="2"/>
  <c r="I298" i="2"/>
  <c r="I294" i="2"/>
  <c r="I290" i="2"/>
  <c r="I286" i="2"/>
  <c r="I282" i="2"/>
  <c r="I278" i="2"/>
  <c r="I344" i="2"/>
  <c r="I340" i="2"/>
  <c r="I336" i="2"/>
  <c r="I332" i="2"/>
  <c r="I328" i="2"/>
  <c r="I324" i="2"/>
  <c r="I277" i="2"/>
  <c r="I276" i="2"/>
  <c r="I273" i="2"/>
  <c r="I272" i="2"/>
  <c r="I270" i="2"/>
  <c r="I266" i="2"/>
  <c r="I262" i="2"/>
  <c r="I258" i="2"/>
  <c r="I254" i="2"/>
  <c r="I250" i="2"/>
  <c r="I246" i="2"/>
  <c r="I242" i="2"/>
  <c r="I346" i="2"/>
  <c r="I269" i="2"/>
  <c r="I265" i="2"/>
  <c r="I261" i="2"/>
  <c r="I257" i="2"/>
  <c r="I253" i="2"/>
  <c r="I249" i="2"/>
  <c r="I245" i="2"/>
  <c r="I241" i="2"/>
  <c r="I345" i="2"/>
  <c r="I337" i="2"/>
  <c r="I329" i="2"/>
  <c r="I321" i="2"/>
  <c r="I317" i="2"/>
  <c r="I313" i="2"/>
  <c r="I309" i="2"/>
  <c r="I305" i="2"/>
  <c r="I301" i="2"/>
  <c r="I297" i="2"/>
  <c r="I293" i="2"/>
  <c r="I289" i="2"/>
  <c r="I285" i="2"/>
  <c r="I281" i="2"/>
  <c r="I238" i="2"/>
  <c r="I234" i="2"/>
  <c r="I230" i="2"/>
  <c r="I226" i="2"/>
  <c r="I222" i="2"/>
  <c r="I218" i="2"/>
  <c r="I214" i="2"/>
  <c r="I210" i="2"/>
  <c r="I206" i="2"/>
  <c r="I202" i="2"/>
  <c r="I198" i="2"/>
  <c r="I194" i="2"/>
  <c r="I190" i="2"/>
  <c r="I186" i="2"/>
  <c r="I182" i="2"/>
  <c r="I178" i="2"/>
  <c r="I174" i="2"/>
  <c r="I170" i="2"/>
  <c r="I166" i="2"/>
  <c r="I162" i="2"/>
  <c r="I158" i="2"/>
  <c r="I154" i="2"/>
  <c r="I150" i="2"/>
  <c r="I146" i="2"/>
  <c r="I142" i="2"/>
  <c r="I138" i="2"/>
  <c r="I237" i="2"/>
  <c r="I233" i="2"/>
  <c r="I229" i="2"/>
  <c r="I225" i="2"/>
  <c r="I221" i="2"/>
  <c r="I217" i="2"/>
  <c r="I213" i="2"/>
  <c r="I209" i="2"/>
  <c r="I205" i="2"/>
  <c r="I201" i="2"/>
  <c r="I197" i="2"/>
  <c r="I193" i="2"/>
  <c r="I189" i="2"/>
  <c r="I185" i="2"/>
  <c r="I181" i="2"/>
  <c r="I177" i="2"/>
  <c r="I173" i="2"/>
  <c r="I169" i="2"/>
  <c r="I165" i="2"/>
  <c r="I161" i="2"/>
  <c r="I157" i="2"/>
  <c r="I341" i="2"/>
  <c r="I325" i="2"/>
  <c r="I316" i="2"/>
  <c r="I308" i="2"/>
  <c r="I300" i="2"/>
  <c r="I292" i="2"/>
  <c r="I284" i="2"/>
  <c r="I152" i="2"/>
  <c r="I151" i="2"/>
  <c r="I148" i="2"/>
  <c r="I147" i="2"/>
  <c r="I144" i="2"/>
  <c r="I143" i="2"/>
  <c r="I140" i="2"/>
  <c r="I139" i="2"/>
  <c r="I133" i="2"/>
  <c r="I129" i="2"/>
  <c r="I125" i="2"/>
  <c r="I121" i="2"/>
  <c r="I117" i="2"/>
  <c r="I113" i="2"/>
  <c r="I109" i="2"/>
  <c r="I274" i="2"/>
  <c r="I268" i="2"/>
  <c r="I264" i="2"/>
  <c r="I260" i="2"/>
  <c r="I256" i="2"/>
  <c r="I252" i="2"/>
  <c r="I248" i="2"/>
  <c r="I244" i="2"/>
  <c r="I240" i="2"/>
  <c r="I236" i="2"/>
  <c r="I235" i="2"/>
  <c r="I232" i="2"/>
  <c r="I231" i="2"/>
  <c r="I228" i="2"/>
  <c r="I227" i="2"/>
  <c r="I224" i="2"/>
  <c r="I223" i="2"/>
  <c r="I220" i="2"/>
  <c r="I219" i="2"/>
  <c r="I216" i="2"/>
  <c r="I215" i="2"/>
  <c r="I212" i="2"/>
  <c r="I211" i="2"/>
  <c r="I208" i="2"/>
  <c r="I207" i="2"/>
  <c r="I204" i="2"/>
  <c r="I203" i="2"/>
  <c r="I200" i="2"/>
  <c r="I199" i="2"/>
  <c r="I196" i="2"/>
  <c r="I195" i="2"/>
  <c r="I192" i="2"/>
  <c r="I191" i="2"/>
  <c r="I188" i="2"/>
  <c r="I187" i="2"/>
  <c r="I184" i="2"/>
  <c r="I183" i="2"/>
  <c r="I180" i="2"/>
  <c r="I179" i="2"/>
  <c r="I176" i="2"/>
  <c r="I175" i="2"/>
  <c r="I172" i="2"/>
  <c r="I171" i="2"/>
  <c r="I168" i="2"/>
  <c r="I167" i="2"/>
  <c r="I164" i="2"/>
  <c r="I163" i="2"/>
  <c r="I160" i="2"/>
  <c r="I159" i="2"/>
  <c r="I156" i="2"/>
  <c r="I155" i="2"/>
  <c r="I136" i="2"/>
  <c r="I132" i="2"/>
  <c r="I128" i="2"/>
  <c r="I124" i="2"/>
  <c r="I120" i="2"/>
  <c r="I116" i="2"/>
  <c r="I112" i="2"/>
  <c r="I108" i="2"/>
  <c r="I104" i="2"/>
  <c r="I100" i="2"/>
  <c r="I96" i="2"/>
  <c r="I92" i="2"/>
  <c r="I88" i="2"/>
  <c r="I84" i="2"/>
  <c r="I80" i="2"/>
  <c r="I333" i="2"/>
  <c r="I312" i="2"/>
  <c r="I296" i="2"/>
  <c r="I280" i="2"/>
  <c r="I263" i="2"/>
  <c r="I255" i="2"/>
  <c r="I247" i="2"/>
  <c r="I239" i="2"/>
  <c r="I320" i="2"/>
  <c r="I304" i="2"/>
  <c r="I288" i="2"/>
  <c r="I267" i="2"/>
  <c r="I259" i="2"/>
  <c r="I251" i="2"/>
  <c r="I243" i="2"/>
  <c r="I149" i="2"/>
  <c r="I145" i="2"/>
  <c r="I135" i="2"/>
  <c r="I134" i="2"/>
  <c r="I131" i="2"/>
  <c r="I130" i="2"/>
  <c r="I127" i="2"/>
  <c r="I126" i="2"/>
  <c r="I123" i="2"/>
  <c r="I122" i="2"/>
  <c r="I119" i="2"/>
  <c r="I118" i="2"/>
  <c r="I115" i="2"/>
  <c r="I114" i="2"/>
  <c r="I111" i="2"/>
  <c r="I110" i="2"/>
  <c r="I107" i="2"/>
  <c r="I74" i="2"/>
  <c r="I70" i="2"/>
  <c r="I66" i="2"/>
  <c r="I62" i="2"/>
  <c r="I58" i="2"/>
  <c r="I103" i="2"/>
  <c r="I99" i="2"/>
  <c r="I95" i="2"/>
  <c r="I91" i="2"/>
  <c r="I87" i="2"/>
  <c r="I83" i="2"/>
  <c r="I79" i="2"/>
  <c r="I73" i="2"/>
  <c r="I69" i="2"/>
  <c r="I65" i="2"/>
  <c r="I106" i="2"/>
  <c r="I105" i="2"/>
  <c r="I102" i="2"/>
  <c r="I101" i="2"/>
  <c r="I98" i="2"/>
  <c r="I97" i="2"/>
  <c r="I94" i="2"/>
  <c r="I93" i="2"/>
  <c r="I90" i="2"/>
  <c r="I89" i="2"/>
  <c r="I86" i="2"/>
  <c r="I85" i="2"/>
  <c r="I82" i="2"/>
  <c r="I81" i="2"/>
  <c r="I78" i="2"/>
  <c r="I77" i="2"/>
  <c r="I76" i="2"/>
  <c r="I72" i="2"/>
  <c r="I68" i="2"/>
  <c r="I64" i="2"/>
  <c r="I141" i="2"/>
  <c r="I137" i="2"/>
  <c r="I61" i="2"/>
  <c r="I57" i="2"/>
  <c r="I54" i="2"/>
  <c r="I50" i="2"/>
  <c r="I46" i="2"/>
  <c r="I42" i="2"/>
  <c r="I38" i="2"/>
  <c r="I34" i="2"/>
  <c r="I30" i="2"/>
  <c r="I26" i="2"/>
  <c r="I22" i="2"/>
  <c r="I18" i="2"/>
  <c r="I14" i="2"/>
  <c r="I10" i="2"/>
  <c r="I6" i="2"/>
  <c r="I2" i="2"/>
  <c r="I153" i="2"/>
  <c r="I60" i="2"/>
  <c r="I59" i="2"/>
  <c r="I56" i="2"/>
  <c r="I55" i="2"/>
  <c r="I53" i="2"/>
  <c r="I49" i="2"/>
  <c r="I45" i="2"/>
  <c r="I41" i="2"/>
  <c r="I37" i="2"/>
  <c r="I33" i="2"/>
  <c r="I29" i="2"/>
  <c r="I25" i="2"/>
  <c r="I21" i="2"/>
  <c r="I17" i="2"/>
  <c r="I13" i="2"/>
  <c r="I9" i="2"/>
  <c r="I5" i="2"/>
  <c r="I75" i="2"/>
  <c r="I71" i="2"/>
  <c r="I67" i="2"/>
  <c r="I63" i="2"/>
  <c r="I52" i="2"/>
  <c r="I48" i="2"/>
  <c r="I44" i="2"/>
  <c r="I40" i="2"/>
  <c r="I36" i="2"/>
  <c r="I32" i="2"/>
  <c r="I28" i="2"/>
  <c r="I24" i="2"/>
  <c r="I20" i="2"/>
  <c r="I16" i="2"/>
  <c r="I12" i="2"/>
  <c r="I8" i="2"/>
  <c r="I4" i="2"/>
  <c r="I51" i="2"/>
  <c r="I47" i="2"/>
  <c r="I43" i="2"/>
  <c r="I39" i="2"/>
  <c r="I35" i="2"/>
  <c r="I31" i="2"/>
  <c r="I27" i="2"/>
  <c r="I23" i="2"/>
  <c r="I19" i="2"/>
  <c r="I15" i="2"/>
  <c r="I11" i="2"/>
  <c r="I7" i="2"/>
  <c r="I3" i="2"/>
  <c r="P408" i="2"/>
  <c r="P407" i="2"/>
  <c r="P406" i="2"/>
  <c r="P405" i="2"/>
  <c r="P401" i="2"/>
  <c r="P397" i="2"/>
  <c r="P393" i="2"/>
  <c r="P404" i="2"/>
  <c r="P402" i="2"/>
  <c r="P398" i="2"/>
  <c r="P394" i="2"/>
  <c r="P389" i="2"/>
  <c r="P388" i="2"/>
  <c r="P384" i="2"/>
  <c r="P380" i="2"/>
  <c r="P376" i="2"/>
  <c r="P390" i="2"/>
  <c r="P387" i="2"/>
  <c r="P386" i="2"/>
  <c r="P383" i="2"/>
  <c r="P379" i="2"/>
  <c r="P375" i="2"/>
  <c r="P400" i="2"/>
  <c r="P396" i="2"/>
  <c r="P392" i="2"/>
  <c r="P382" i="2"/>
  <c r="P378" i="2"/>
  <c r="P385" i="2"/>
  <c r="P381" i="2"/>
  <c r="P377" i="2"/>
  <c r="P373" i="2"/>
  <c r="P369" i="2"/>
  <c r="P365" i="2"/>
  <c r="P361" i="2"/>
  <c r="P357" i="2"/>
  <c r="P353" i="2"/>
  <c r="P349" i="2"/>
  <c r="P372" i="2"/>
  <c r="P368" i="2"/>
  <c r="P364" i="2"/>
  <c r="P360" i="2"/>
  <c r="P356" i="2"/>
  <c r="P352" i="2"/>
  <c r="P348" i="2"/>
  <c r="P403" i="2"/>
  <c r="P399" i="2"/>
  <c r="P395" i="2"/>
  <c r="P391" i="2"/>
  <c r="P371" i="2"/>
  <c r="P367" i="2"/>
  <c r="P363" i="2"/>
  <c r="P359" i="2"/>
  <c r="P355" i="2"/>
  <c r="P351" i="2"/>
  <c r="P347" i="2"/>
  <c r="P374" i="2"/>
  <c r="P370" i="2"/>
  <c r="P366" i="2"/>
  <c r="P362" i="2"/>
  <c r="P358" i="2"/>
  <c r="P354" i="2"/>
  <c r="P350" i="2"/>
  <c r="P344" i="2"/>
  <c r="P340" i="2"/>
  <c r="P336" i="2"/>
  <c r="P332" i="2"/>
  <c r="P328" i="2"/>
  <c r="P324" i="2"/>
  <c r="P346" i="2"/>
  <c r="P343" i="2"/>
  <c r="P339" i="2"/>
  <c r="P335" i="2"/>
  <c r="P331" i="2"/>
  <c r="P327" i="2"/>
  <c r="P323" i="2"/>
  <c r="P320" i="2"/>
  <c r="P316" i="2"/>
  <c r="P312" i="2"/>
  <c r="P308" i="2"/>
  <c r="P304" i="2"/>
  <c r="P300" i="2"/>
  <c r="P296" i="2"/>
  <c r="P292" i="2"/>
  <c r="P288" i="2"/>
  <c r="P284" i="2"/>
  <c r="P280" i="2"/>
  <c r="P276" i="2"/>
  <c r="P272" i="2"/>
  <c r="P319" i="2"/>
  <c r="P315" i="2"/>
  <c r="P311" i="2"/>
  <c r="P307" i="2"/>
  <c r="P303" i="2"/>
  <c r="P299" i="2"/>
  <c r="P295" i="2"/>
  <c r="P291" i="2"/>
  <c r="P287" i="2"/>
  <c r="P283" i="2"/>
  <c r="P279" i="2"/>
  <c r="P321" i="2"/>
  <c r="P318" i="2"/>
  <c r="P317" i="2"/>
  <c r="P314" i="2"/>
  <c r="P313" i="2"/>
  <c r="P310" i="2"/>
  <c r="P309" i="2"/>
  <c r="P306" i="2"/>
  <c r="P305" i="2"/>
  <c r="P302" i="2"/>
  <c r="P301" i="2"/>
  <c r="P298" i="2"/>
  <c r="P297" i="2"/>
  <c r="P294" i="2"/>
  <c r="P293" i="2"/>
  <c r="P290" i="2"/>
  <c r="P289" i="2"/>
  <c r="P286" i="2"/>
  <c r="P285" i="2"/>
  <c r="P282" i="2"/>
  <c r="P281" i="2"/>
  <c r="P278" i="2"/>
  <c r="P277" i="2"/>
  <c r="P267" i="2"/>
  <c r="P263" i="2"/>
  <c r="P259" i="2"/>
  <c r="P255" i="2"/>
  <c r="P251" i="2"/>
  <c r="P247" i="2"/>
  <c r="P243" i="2"/>
  <c r="P239" i="2"/>
  <c r="P345" i="2"/>
  <c r="P341" i="2"/>
  <c r="P337" i="2"/>
  <c r="P333" i="2"/>
  <c r="P329" i="2"/>
  <c r="P325" i="2"/>
  <c r="P270" i="2"/>
  <c r="P266" i="2"/>
  <c r="P262" i="2"/>
  <c r="P258" i="2"/>
  <c r="P254" i="2"/>
  <c r="P250" i="2"/>
  <c r="P246" i="2"/>
  <c r="P242" i="2"/>
  <c r="P238" i="2"/>
  <c r="P274" i="2"/>
  <c r="P235" i="2"/>
  <c r="P231" i="2"/>
  <c r="P227" i="2"/>
  <c r="P223" i="2"/>
  <c r="P219" i="2"/>
  <c r="P215" i="2"/>
  <c r="P211" i="2"/>
  <c r="P207" i="2"/>
  <c r="P203" i="2"/>
  <c r="P199" i="2"/>
  <c r="P195" i="2"/>
  <c r="P191" i="2"/>
  <c r="P187" i="2"/>
  <c r="P183" i="2"/>
  <c r="P179" i="2"/>
  <c r="P175" i="2"/>
  <c r="P171" i="2"/>
  <c r="P167" i="2"/>
  <c r="P163" i="2"/>
  <c r="P159" i="2"/>
  <c r="P155" i="2"/>
  <c r="P151" i="2"/>
  <c r="P147" i="2"/>
  <c r="P143" i="2"/>
  <c r="P139" i="2"/>
  <c r="P338" i="2"/>
  <c r="P330" i="2"/>
  <c r="P322" i="2"/>
  <c r="P234" i="2"/>
  <c r="P230" i="2"/>
  <c r="P226" i="2"/>
  <c r="P222" i="2"/>
  <c r="P218" i="2"/>
  <c r="P214" i="2"/>
  <c r="P210" i="2"/>
  <c r="P206" i="2"/>
  <c r="P202" i="2"/>
  <c r="P198" i="2"/>
  <c r="P194" i="2"/>
  <c r="P190" i="2"/>
  <c r="P186" i="2"/>
  <c r="P182" i="2"/>
  <c r="P178" i="2"/>
  <c r="P174" i="2"/>
  <c r="P170" i="2"/>
  <c r="P166" i="2"/>
  <c r="P162" i="2"/>
  <c r="P158" i="2"/>
  <c r="P154" i="2"/>
  <c r="P334" i="2"/>
  <c r="P273" i="2"/>
  <c r="P268" i="2"/>
  <c r="P264" i="2"/>
  <c r="P260" i="2"/>
  <c r="P256" i="2"/>
  <c r="P252" i="2"/>
  <c r="P248" i="2"/>
  <c r="P244" i="2"/>
  <c r="P240" i="2"/>
  <c r="P134" i="2"/>
  <c r="P130" i="2"/>
  <c r="P126" i="2"/>
  <c r="P122" i="2"/>
  <c r="P118" i="2"/>
  <c r="P114" i="2"/>
  <c r="P110" i="2"/>
  <c r="P133" i="2"/>
  <c r="P129" i="2"/>
  <c r="P125" i="2"/>
  <c r="P121" i="2"/>
  <c r="P117" i="2"/>
  <c r="P113" i="2"/>
  <c r="P109" i="2"/>
  <c r="P105" i="2"/>
  <c r="P101" i="2"/>
  <c r="P97" i="2"/>
  <c r="P93" i="2"/>
  <c r="P89" i="2"/>
  <c r="P85" i="2"/>
  <c r="P81" i="2"/>
  <c r="P77" i="2"/>
  <c r="P342" i="2"/>
  <c r="P326" i="2"/>
  <c r="P237" i="2"/>
  <c r="P233" i="2"/>
  <c r="P229" i="2"/>
  <c r="P225" i="2"/>
  <c r="P221" i="2"/>
  <c r="P217" i="2"/>
  <c r="P213" i="2"/>
  <c r="P209" i="2"/>
  <c r="P205" i="2"/>
  <c r="P201" i="2"/>
  <c r="P197" i="2"/>
  <c r="P193" i="2"/>
  <c r="P189" i="2"/>
  <c r="P185" i="2"/>
  <c r="P181" i="2"/>
  <c r="P177" i="2"/>
  <c r="P173" i="2"/>
  <c r="P169" i="2"/>
  <c r="P165" i="2"/>
  <c r="P161" i="2"/>
  <c r="P157" i="2"/>
  <c r="P153" i="2"/>
  <c r="P265" i="2"/>
  <c r="P257" i="2"/>
  <c r="P249" i="2"/>
  <c r="P241" i="2"/>
  <c r="P236" i="2"/>
  <c r="P232" i="2"/>
  <c r="P228" i="2"/>
  <c r="P224" i="2"/>
  <c r="P220" i="2"/>
  <c r="P216" i="2"/>
  <c r="P212" i="2"/>
  <c r="P208" i="2"/>
  <c r="P204" i="2"/>
  <c r="P200" i="2"/>
  <c r="P196" i="2"/>
  <c r="P192" i="2"/>
  <c r="P188" i="2"/>
  <c r="P184" i="2"/>
  <c r="P180" i="2"/>
  <c r="P176" i="2"/>
  <c r="P172" i="2"/>
  <c r="P168" i="2"/>
  <c r="P164" i="2"/>
  <c r="P160" i="2"/>
  <c r="P156" i="2"/>
  <c r="P152" i="2"/>
  <c r="P148" i="2"/>
  <c r="P144" i="2"/>
  <c r="P275" i="2"/>
  <c r="P253" i="2"/>
  <c r="P141" i="2"/>
  <c r="P137" i="2"/>
  <c r="P104" i="2"/>
  <c r="P103" i="2"/>
  <c r="P100" i="2"/>
  <c r="P99" i="2"/>
  <c r="P96" i="2"/>
  <c r="P95" i="2"/>
  <c r="P92" i="2"/>
  <c r="P91" i="2"/>
  <c r="P88" i="2"/>
  <c r="P87" i="2"/>
  <c r="P84" i="2"/>
  <c r="P83" i="2"/>
  <c r="P80" i="2"/>
  <c r="P79" i="2"/>
  <c r="P75" i="2"/>
  <c r="P71" i="2"/>
  <c r="P67" i="2"/>
  <c r="P63" i="2"/>
  <c r="P59" i="2"/>
  <c r="P55" i="2"/>
  <c r="P245" i="2"/>
  <c r="P135" i="2"/>
  <c r="P132" i="2"/>
  <c r="P131" i="2"/>
  <c r="P128" i="2"/>
  <c r="P127" i="2"/>
  <c r="P124" i="2"/>
  <c r="P123" i="2"/>
  <c r="P120" i="2"/>
  <c r="P119" i="2"/>
  <c r="P116" i="2"/>
  <c r="P115" i="2"/>
  <c r="P112" i="2"/>
  <c r="P111" i="2"/>
  <c r="P108" i="2"/>
  <c r="P107" i="2"/>
  <c r="P106" i="2"/>
  <c r="P102" i="2"/>
  <c r="P98" i="2"/>
  <c r="P94" i="2"/>
  <c r="P90" i="2"/>
  <c r="P86" i="2"/>
  <c r="P82" i="2"/>
  <c r="P78" i="2"/>
  <c r="P74" i="2"/>
  <c r="P70" i="2"/>
  <c r="P66" i="2"/>
  <c r="P62" i="2"/>
  <c r="P271" i="2"/>
  <c r="P269" i="2"/>
  <c r="P149" i="2"/>
  <c r="P145" i="2"/>
  <c r="P140" i="2"/>
  <c r="P136" i="2"/>
  <c r="P73" i="2"/>
  <c r="P69" i="2"/>
  <c r="P65" i="2"/>
  <c r="P150" i="2"/>
  <c r="P142" i="2"/>
  <c r="P138" i="2"/>
  <c r="P60" i="2"/>
  <c r="P56" i="2"/>
  <c r="P51" i="2"/>
  <c r="P47" i="2"/>
  <c r="P43" i="2"/>
  <c r="P39" i="2"/>
  <c r="P35" i="2"/>
  <c r="P31" i="2"/>
  <c r="P27" i="2"/>
  <c r="P23" i="2"/>
  <c r="P19" i="2"/>
  <c r="P15" i="2"/>
  <c r="P11" i="2"/>
  <c r="P7" i="2"/>
  <c r="P3" i="2"/>
  <c r="P54" i="2"/>
  <c r="P50" i="2"/>
  <c r="P46" i="2"/>
  <c r="P42" i="2"/>
  <c r="P38" i="2"/>
  <c r="P34" i="2"/>
  <c r="P30" i="2"/>
  <c r="P26" i="2"/>
  <c r="P22" i="2"/>
  <c r="P18" i="2"/>
  <c r="P14" i="2"/>
  <c r="P10" i="2"/>
  <c r="P6" i="2"/>
  <c r="P2" i="2"/>
  <c r="P146" i="2"/>
  <c r="P76" i="2"/>
  <c r="P72" i="2"/>
  <c r="P68" i="2"/>
  <c r="P64" i="2"/>
  <c r="P53" i="2"/>
  <c r="P49" i="2"/>
  <c r="P45" i="2"/>
  <c r="P41" i="2"/>
  <c r="P37" i="2"/>
  <c r="P33" i="2"/>
  <c r="P29" i="2"/>
  <c r="P25" i="2"/>
  <c r="P21" i="2"/>
  <c r="P17" i="2"/>
  <c r="P13" i="2"/>
  <c r="P9" i="2"/>
  <c r="P5" i="2"/>
  <c r="P261" i="2"/>
  <c r="P61" i="2"/>
  <c r="P58" i="2"/>
  <c r="P57" i="2"/>
  <c r="P52" i="2"/>
  <c r="P48" i="2"/>
  <c r="P44" i="2"/>
  <c r="P40" i="2"/>
  <c r="P36" i="2"/>
  <c r="P32" i="2"/>
  <c r="P28" i="2"/>
  <c r="P24" i="2"/>
  <c r="P20" i="2"/>
  <c r="P16" i="2"/>
  <c r="P12" i="2"/>
  <c r="P8" i="2"/>
  <c r="P4" i="2"/>
  <c r="C402" i="2"/>
  <c r="C398" i="2"/>
  <c r="C394" i="2"/>
  <c r="C405" i="2"/>
  <c r="C408" i="2"/>
  <c r="C407" i="2"/>
  <c r="C404" i="2"/>
  <c r="C403" i="2"/>
  <c r="C401" i="2"/>
  <c r="C400" i="2"/>
  <c r="C399" i="2"/>
  <c r="C397" i="2"/>
  <c r="C396" i="2"/>
  <c r="C395" i="2"/>
  <c r="C393" i="2"/>
  <c r="C392" i="2"/>
  <c r="C391" i="2"/>
  <c r="C390" i="2"/>
  <c r="C386" i="2"/>
  <c r="C406" i="2"/>
  <c r="C389" i="2"/>
  <c r="C387" i="2"/>
  <c r="C385" i="2"/>
  <c r="C381" i="2"/>
  <c r="C377" i="2"/>
  <c r="C388" i="2"/>
  <c r="C384" i="2"/>
  <c r="C380" i="2"/>
  <c r="C376" i="2"/>
  <c r="C383" i="2"/>
  <c r="C379" i="2"/>
  <c r="C375" i="2"/>
  <c r="C374" i="2"/>
  <c r="C370" i="2"/>
  <c r="C366" i="2"/>
  <c r="C362" i="2"/>
  <c r="C358" i="2"/>
  <c r="C354" i="2"/>
  <c r="C350" i="2"/>
  <c r="C382" i="2"/>
  <c r="C378" i="2"/>
  <c r="C373" i="2"/>
  <c r="C369" i="2"/>
  <c r="C365" i="2"/>
  <c r="C361" i="2"/>
  <c r="C357" i="2"/>
  <c r="C353" i="2"/>
  <c r="C349" i="2"/>
  <c r="C372" i="2"/>
  <c r="C368" i="2"/>
  <c r="C364" i="2"/>
  <c r="C360" i="2"/>
  <c r="C356" i="2"/>
  <c r="C352" i="2"/>
  <c r="C348" i="2"/>
  <c r="C345" i="2"/>
  <c r="C341" i="2"/>
  <c r="C337" i="2"/>
  <c r="C333" i="2"/>
  <c r="C329" i="2"/>
  <c r="C325" i="2"/>
  <c r="C371" i="2"/>
  <c r="C367" i="2"/>
  <c r="C363" i="2"/>
  <c r="C359" i="2"/>
  <c r="C355" i="2"/>
  <c r="C351" i="2"/>
  <c r="C344" i="2"/>
  <c r="C340" i="2"/>
  <c r="C336" i="2"/>
  <c r="C332" i="2"/>
  <c r="C328" i="2"/>
  <c r="C324" i="2"/>
  <c r="C321" i="2"/>
  <c r="C317" i="2"/>
  <c r="C313" i="2"/>
  <c r="C309" i="2"/>
  <c r="C305" i="2"/>
  <c r="C301" i="2"/>
  <c r="C297" i="2"/>
  <c r="C293" i="2"/>
  <c r="C289" i="2"/>
  <c r="C285" i="2"/>
  <c r="C281" i="2"/>
  <c r="C277" i="2"/>
  <c r="C273" i="2"/>
  <c r="C347" i="2"/>
  <c r="C320" i="2"/>
  <c r="C316" i="2"/>
  <c r="C312" i="2"/>
  <c r="C308" i="2"/>
  <c r="C304" i="2"/>
  <c r="C300" i="2"/>
  <c r="C296" i="2"/>
  <c r="C292" i="2"/>
  <c r="C288" i="2"/>
  <c r="C284" i="2"/>
  <c r="C280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295" i="2"/>
  <c r="C291" i="2"/>
  <c r="C287" i="2"/>
  <c r="C283" i="2"/>
  <c r="C279" i="2"/>
  <c r="C276" i="2"/>
  <c r="C275" i="2"/>
  <c r="C274" i="2"/>
  <c r="C272" i="2"/>
  <c r="C268" i="2"/>
  <c r="C264" i="2"/>
  <c r="C260" i="2"/>
  <c r="C256" i="2"/>
  <c r="C252" i="2"/>
  <c r="C248" i="2"/>
  <c r="C244" i="2"/>
  <c r="C240" i="2"/>
  <c r="C271" i="2"/>
  <c r="C267" i="2"/>
  <c r="C263" i="2"/>
  <c r="C259" i="2"/>
  <c r="C255" i="2"/>
  <c r="C251" i="2"/>
  <c r="C247" i="2"/>
  <c r="C243" i="2"/>
  <c r="C239" i="2"/>
  <c r="C342" i="2"/>
  <c r="C334" i="2"/>
  <c r="C326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322" i="2"/>
  <c r="C314" i="2"/>
  <c r="C306" i="2"/>
  <c r="C298" i="2"/>
  <c r="C290" i="2"/>
  <c r="C282" i="2"/>
  <c r="C153" i="2"/>
  <c r="C151" i="2"/>
  <c r="C150" i="2"/>
  <c r="C149" i="2"/>
  <c r="C147" i="2"/>
  <c r="C146" i="2"/>
  <c r="C145" i="2"/>
  <c r="C143" i="2"/>
  <c r="C142" i="2"/>
  <c r="C141" i="2"/>
  <c r="C139" i="2"/>
  <c r="C138" i="2"/>
  <c r="C137" i="2"/>
  <c r="C135" i="2"/>
  <c r="C131" i="2"/>
  <c r="C127" i="2"/>
  <c r="C123" i="2"/>
  <c r="C119" i="2"/>
  <c r="C115" i="2"/>
  <c r="C111" i="2"/>
  <c r="C107" i="2"/>
  <c r="C346" i="2"/>
  <c r="C330" i="2"/>
  <c r="C269" i="2"/>
  <c r="C265" i="2"/>
  <c r="C261" i="2"/>
  <c r="C257" i="2"/>
  <c r="C253" i="2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193" i="2"/>
  <c r="C189" i="2"/>
  <c r="C185" i="2"/>
  <c r="C181" i="2"/>
  <c r="C177" i="2"/>
  <c r="C173" i="2"/>
  <c r="C169" i="2"/>
  <c r="C165" i="2"/>
  <c r="C161" i="2"/>
  <c r="C157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338" i="2"/>
  <c r="C310" i="2"/>
  <c r="C294" i="2"/>
  <c r="C278" i="2"/>
  <c r="C270" i="2"/>
  <c r="C262" i="2"/>
  <c r="C254" i="2"/>
  <c r="C246" i="2"/>
  <c r="C318" i="2"/>
  <c r="C302" i="2"/>
  <c r="C286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258" i="2"/>
  <c r="C136" i="2"/>
  <c r="C132" i="2"/>
  <c r="C128" i="2"/>
  <c r="C124" i="2"/>
  <c r="C120" i="2"/>
  <c r="C116" i="2"/>
  <c r="C112" i="2"/>
  <c r="C108" i="2"/>
  <c r="C76" i="2"/>
  <c r="C72" i="2"/>
  <c r="C68" i="2"/>
  <c r="C64" i="2"/>
  <c r="C60" i="2"/>
  <c r="C56" i="2"/>
  <c r="C250" i="2"/>
  <c r="C133" i="2"/>
  <c r="C129" i="2"/>
  <c r="C125" i="2"/>
  <c r="C121" i="2"/>
  <c r="C117" i="2"/>
  <c r="C113" i="2"/>
  <c r="C109" i="2"/>
  <c r="C75" i="2"/>
  <c r="C71" i="2"/>
  <c r="C67" i="2"/>
  <c r="C63" i="2"/>
  <c r="C242" i="2"/>
  <c r="C105" i="2"/>
  <c r="C104" i="2"/>
  <c r="C103" i="2"/>
  <c r="C101" i="2"/>
  <c r="C100" i="2"/>
  <c r="C99" i="2"/>
  <c r="C97" i="2"/>
  <c r="C96" i="2"/>
  <c r="C95" i="2"/>
  <c r="C93" i="2"/>
  <c r="C92" i="2"/>
  <c r="C91" i="2"/>
  <c r="C89" i="2"/>
  <c r="C88" i="2"/>
  <c r="C87" i="2"/>
  <c r="C85" i="2"/>
  <c r="C84" i="2"/>
  <c r="C83" i="2"/>
  <c r="C81" i="2"/>
  <c r="C80" i="2"/>
  <c r="C79" i="2"/>
  <c r="C74" i="2"/>
  <c r="C70" i="2"/>
  <c r="C66" i="2"/>
  <c r="C266" i="2"/>
  <c r="C52" i="2"/>
  <c r="C48" i="2"/>
  <c r="C44" i="2"/>
  <c r="C40" i="2"/>
  <c r="C36" i="2"/>
  <c r="C32" i="2"/>
  <c r="C28" i="2"/>
  <c r="C24" i="2"/>
  <c r="C20" i="2"/>
  <c r="C16" i="2"/>
  <c r="C12" i="2"/>
  <c r="C8" i="2"/>
  <c r="C4" i="2"/>
  <c r="C62" i="2"/>
  <c r="C61" i="2"/>
  <c r="C59" i="2"/>
  <c r="C58" i="2"/>
  <c r="C57" i="2"/>
  <c r="C55" i="2"/>
  <c r="C51" i="2"/>
  <c r="C47" i="2"/>
  <c r="C43" i="2"/>
  <c r="C39" i="2"/>
  <c r="C35" i="2"/>
  <c r="C31" i="2"/>
  <c r="C27" i="2"/>
  <c r="C23" i="2"/>
  <c r="C19" i="2"/>
  <c r="C15" i="2"/>
  <c r="C11" i="2"/>
  <c r="C7" i="2"/>
  <c r="C3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  <c r="C2" i="2"/>
  <c r="C77" i="2"/>
  <c r="C73" i="2"/>
  <c r="C69" i="2"/>
  <c r="C65" i="2"/>
  <c r="C53" i="2"/>
  <c r="C49" i="2"/>
  <c r="C45" i="2"/>
  <c r="C41" i="2"/>
  <c r="C37" i="2"/>
  <c r="C33" i="2"/>
  <c r="C29" i="2"/>
  <c r="C25" i="2"/>
  <c r="C21" i="2"/>
  <c r="C17" i="2"/>
  <c r="C13" i="2"/>
  <c r="C9" i="2"/>
  <c r="C5" i="2"/>
  <c r="K408" i="2"/>
  <c r="K406" i="2"/>
  <c r="K402" i="2"/>
  <c r="K398" i="2"/>
  <c r="K394" i="2"/>
  <c r="K405" i="2"/>
  <c r="K407" i="2"/>
  <c r="K390" i="2"/>
  <c r="K386" i="2"/>
  <c r="K389" i="2"/>
  <c r="K403" i="2"/>
  <c r="K399" i="2"/>
  <c r="K395" i="2"/>
  <c r="K387" i="2"/>
  <c r="K385" i="2"/>
  <c r="K381" i="2"/>
  <c r="K377" i="2"/>
  <c r="K391" i="2"/>
  <c r="K388" i="2"/>
  <c r="K384" i="2"/>
  <c r="K380" i="2"/>
  <c r="K376" i="2"/>
  <c r="K401" i="2"/>
  <c r="K397" i="2"/>
  <c r="K393" i="2"/>
  <c r="K383" i="2"/>
  <c r="K379" i="2"/>
  <c r="K375" i="2"/>
  <c r="K404" i="2"/>
  <c r="K400" i="2"/>
  <c r="K396" i="2"/>
  <c r="K392" i="2"/>
  <c r="K374" i="2"/>
  <c r="K370" i="2"/>
  <c r="K366" i="2"/>
  <c r="K362" i="2"/>
  <c r="K358" i="2"/>
  <c r="K354" i="2"/>
  <c r="K350" i="2"/>
  <c r="K346" i="2"/>
  <c r="K373" i="2"/>
  <c r="K369" i="2"/>
  <c r="K365" i="2"/>
  <c r="K361" i="2"/>
  <c r="K357" i="2"/>
  <c r="K353" i="2"/>
  <c r="K349" i="2"/>
  <c r="K372" i="2"/>
  <c r="K368" i="2"/>
  <c r="K364" i="2"/>
  <c r="K360" i="2"/>
  <c r="K356" i="2"/>
  <c r="K352" i="2"/>
  <c r="K348" i="2"/>
  <c r="K378" i="2"/>
  <c r="K345" i="2"/>
  <c r="K341" i="2"/>
  <c r="K337" i="2"/>
  <c r="K333" i="2"/>
  <c r="K329" i="2"/>
  <c r="K325" i="2"/>
  <c r="K344" i="2"/>
  <c r="K340" i="2"/>
  <c r="K336" i="2"/>
  <c r="K332" i="2"/>
  <c r="K328" i="2"/>
  <c r="K324" i="2"/>
  <c r="K371" i="2"/>
  <c r="K363" i="2"/>
  <c r="K355" i="2"/>
  <c r="K347" i="2"/>
  <c r="K321" i="2"/>
  <c r="K317" i="2"/>
  <c r="K313" i="2"/>
  <c r="K309" i="2"/>
  <c r="K305" i="2"/>
  <c r="K301" i="2"/>
  <c r="K297" i="2"/>
  <c r="K293" i="2"/>
  <c r="K289" i="2"/>
  <c r="K285" i="2"/>
  <c r="K281" i="2"/>
  <c r="K277" i="2"/>
  <c r="K273" i="2"/>
  <c r="K320" i="2"/>
  <c r="K316" i="2"/>
  <c r="K312" i="2"/>
  <c r="K308" i="2"/>
  <c r="K304" i="2"/>
  <c r="K300" i="2"/>
  <c r="K296" i="2"/>
  <c r="K292" i="2"/>
  <c r="K288" i="2"/>
  <c r="K284" i="2"/>
  <c r="K280" i="2"/>
  <c r="K359" i="2"/>
  <c r="K342" i="2"/>
  <c r="K338" i="2"/>
  <c r="K334" i="2"/>
  <c r="K330" i="2"/>
  <c r="K326" i="2"/>
  <c r="K322" i="2"/>
  <c r="K319" i="2"/>
  <c r="K315" i="2"/>
  <c r="K311" i="2"/>
  <c r="K307" i="2"/>
  <c r="K303" i="2"/>
  <c r="K299" i="2"/>
  <c r="K295" i="2"/>
  <c r="K291" i="2"/>
  <c r="K287" i="2"/>
  <c r="K283" i="2"/>
  <c r="K279" i="2"/>
  <c r="K268" i="2"/>
  <c r="K264" i="2"/>
  <c r="K260" i="2"/>
  <c r="K256" i="2"/>
  <c r="K252" i="2"/>
  <c r="K248" i="2"/>
  <c r="K244" i="2"/>
  <c r="K240" i="2"/>
  <c r="K382" i="2"/>
  <c r="K267" i="2"/>
  <c r="K263" i="2"/>
  <c r="K259" i="2"/>
  <c r="K255" i="2"/>
  <c r="K251" i="2"/>
  <c r="K247" i="2"/>
  <c r="K243" i="2"/>
  <c r="K239" i="2"/>
  <c r="K367" i="2"/>
  <c r="K276" i="2"/>
  <c r="K272" i="2"/>
  <c r="K236" i="2"/>
  <c r="K232" i="2"/>
  <c r="K228" i="2"/>
  <c r="K224" i="2"/>
  <c r="K220" i="2"/>
  <c r="K216" i="2"/>
  <c r="K212" i="2"/>
  <c r="K208" i="2"/>
  <c r="K204" i="2"/>
  <c r="K200" i="2"/>
  <c r="K196" i="2"/>
  <c r="K192" i="2"/>
  <c r="K188" i="2"/>
  <c r="K184" i="2"/>
  <c r="K180" i="2"/>
  <c r="K176" i="2"/>
  <c r="K172" i="2"/>
  <c r="K168" i="2"/>
  <c r="K164" i="2"/>
  <c r="K160" i="2"/>
  <c r="K156" i="2"/>
  <c r="K152" i="2"/>
  <c r="K148" i="2"/>
  <c r="K144" i="2"/>
  <c r="K140" i="2"/>
  <c r="K339" i="2"/>
  <c r="K331" i="2"/>
  <c r="K323" i="2"/>
  <c r="K318" i="2"/>
  <c r="K314" i="2"/>
  <c r="K310" i="2"/>
  <c r="K306" i="2"/>
  <c r="K302" i="2"/>
  <c r="K298" i="2"/>
  <c r="K294" i="2"/>
  <c r="K290" i="2"/>
  <c r="K286" i="2"/>
  <c r="K282" i="2"/>
  <c r="K278" i="2"/>
  <c r="K275" i="2"/>
  <c r="K271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K171" i="2"/>
  <c r="K167" i="2"/>
  <c r="K163" i="2"/>
  <c r="K159" i="2"/>
  <c r="K155" i="2"/>
  <c r="K274" i="2"/>
  <c r="K135" i="2"/>
  <c r="K131" i="2"/>
  <c r="K127" i="2"/>
  <c r="K123" i="2"/>
  <c r="K119" i="2"/>
  <c r="K115" i="2"/>
  <c r="K111" i="2"/>
  <c r="K107" i="2"/>
  <c r="K335" i="2"/>
  <c r="K270" i="2"/>
  <c r="K266" i="2"/>
  <c r="K262" i="2"/>
  <c r="K258" i="2"/>
  <c r="K254" i="2"/>
  <c r="K250" i="2"/>
  <c r="K246" i="2"/>
  <c r="K242" i="2"/>
  <c r="K237" i="2"/>
  <c r="K233" i="2"/>
  <c r="K229" i="2"/>
  <c r="K225" i="2"/>
  <c r="K221" i="2"/>
  <c r="K217" i="2"/>
  <c r="K213" i="2"/>
  <c r="K209" i="2"/>
  <c r="K205" i="2"/>
  <c r="K201" i="2"/>
  <c r="K197" i="2"/>
  <c r="K193" i="2"/>
  <c r="K189" i="2"/>
  <c r="K185" i="2"/>
  <c r="K181" i="2"/>
  <c r="K177" i="2"/>
  <c r="K173" i="2"/>
  <c r="K169" i="2"/>
  <c r="K165" i="2"/>
  <c r="K161" i="2"/>
  <c r="K157" i="2"/>
  <c r="K134" i="2"/>
  <c r="K130" i="2"/>
  <c r="K126" i="2"/>
  <c r="K122" i="2"/>
  <c r="K118" i="2"/>
  <c r="K114" i="2"/>
  <c r="K110" i="2"/>
  <c r="K106" i="2"/>
  <c r="K102" i="2"/>
  <c r="K98" i="2"/>
  <c r="K94" i="2"/>
  <c r="K90" i="2"/>
  <c r="K86" i="2"/>
  <c r="K82" i="2"/>
  <c r="K78" i="2"/>
  <c r="K351" i="2"/>
  <c r="K269" i="2"/>
  <c r="K261" i="2"/>
  <c r="K253" i="2"/>
  <c r="K245" i="2"/>
  <c r="K238" i="2"/>
  <c r="K234" i="2"/>
  <c r="K230" i="2"/>
  <c r="K226" i="2"/>
  <c r="K222" i="2"/>
  <c r="K218" i="2"/>
  <c r="K214" i="2"/>
  <c r="K210" i="2"/>
  <c r="K206" i="2"/>
  <c r="K202" i="2"/>
  <c r="K198" i="2"/>
  <c r="K194" i="2"/>
  <c r="K190" i="2"/>
  <c r="K186" i="2"/>
  <c r="K182" i="2"/>
  <c r="K178" i="2"/>
  <c r="K174" i="2"/>
  <c r="K170" i="2"/>
  <c r="K166" i="2"/>
  <c r="K162" i="2"/>
  <c r="K158" i="2"/>
  <c r="K154" i="2"/>
  <c r="K343" i="2"/>
  <c r="K265" i="2"/>
  <c r="K257" i="2"/>
  <c r="K249" i="2"/>
  <c r="K241" i="2"/>
  <c r="K153" i="2"/>
  <c r="K149" i="2"/>
  <c r="K145" i="2"/>
  <c r="K143" i="2"/>
  <c r="K139" i="2"/>
  <c r="K136" i="2"/>
  <c r="K132" i="2"/>
  <c r="K128" i="2"/>
  <c r="K124" i="2"/>
  <c r="K120" i="2"/>
  <c r="K116" i="2"/>
  <c r="K112" i="2"/>
  <c r="K108" i="2"/>
  <c r="K105" i="2"/>
  <c r="K104" i="2"/>
  <c r="K103" i="2"/>
  <c r="K101" i="2"/>
  <c r="K100" i="2"/>
  <c r="K99" i="2"/>
  <c r="K97" i="2"/>
  <c r="K96" i="2"/>
  <c r="K95" i="2"/>
  <c r="K93" i="2"/>
  <c r="K92" i="2"/>
  <c r="K91" i="2"/>
  <c r="K89" i="2"/>
  <c r="K88" i="2"/>
  <c r="K87" i="2"/>
  <c r="K85" i="2"/>
  <c r="K84" i="2"/>
  <c r="K83" i="2"/>
  <c r="K81" i="2"/>
  <c r="K80" i="2"/>
  <c r="K79" i="2"/>
  <c r="K77" i="2"/>
  <c r="K76" i="2"/>
  <c r="K72" i="2"/>
  <c r="K68" i="2"/>
  <c r="K64" i="2"/>
  <c r="K60" i="2"/>
  <c r="K56" i="2"/>
  <c r="K327" i="2"/>
  <c r="K150" i="2"/>
  <c r="K146" i="2"/>
  <c r="K142" i="2"/>
  <c r="K138" i="2"/>
  <c r="K133" i="2"/>
  <c r="K129" i="2"/>
  <c r="K125" i="2"/>
  <c r="K121" i="2"/>
  <c r="K117" i="2"/>
  <c r="K113" i="2"/>
  <c r="K109" i="2"/>
  <c r="K75" i="2"/>
  <c r="K71" i="2"/>
  <c r="K67" i="2"/>
  <c r="K63" i="2"/>
  <c r="K151" i="2"/>
  <c r="K147" i="2"/>
  <c r="K141" i="2"/>
  <c r="K137" i="2"/>
  <c r="K74" i="2"/>
  <c r="K70" i="2"/>
  <c r="K66" i="2"/>
  <c r="K62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K73" i="2"/>
  <c r="K69" i="2"/>
  <c r="K65" i="2"/>
  <c r="K51" i="2"/>
  <c r="K47" i="2"/>
  <c r="K43" i="2"/>
  <c r="K39" i="2"/>
  <c r="K35" i="2"/>
  <c r="K31" i="2"/>
  <c r="K27" i="2"/>
  <c r="K23" i="2"/>
  <c r="K19" i="2"/>
  <c r="K15" i="2"/>
  <c r="K11" i="2"/>
  <c r="K7" i="2"/>
  <c r="K3" i="2"/>
  <c r="K54" i="2"/>
  <c r="K50" i="2"/>
  <c r="K46" i="2"/>
  <c r="K42" i="2"/>
  <c r="K38" i="2"/>
  <c r="K34" i="2"/>
  <c r="K30" i="2"/>
  <c r="K26" i="2"/>
  <c r="K22" i="2"/>
  <c r="K18" i="2"/>
  <c r="K14" i="2"/>
  <c r="K10" i="2"/>
  <c r="K6" i="2"/>
  <c r="K2" i="2"/>
  <c r="K61" i="2"/>
  <c r="K59" i="2"/>
  <c r="K58" i="2"/>
  <c r="K57" i="2"/>
  <c r="K55" i="2"/>
  <c r="K53" i="2"/>
  <c r="K49" i="2"/>
  <c r="K45" i="2"/>
  <c r="K41" i="2"/>
  <c r="K37" i="2"/>
  <c r="K33" i="2"/>
  <c r="K29" i="2"/>
  <c r="K25" i="2"/>
  <c r="K21" i="2"/>
  <c r="K17" i="2"/>
  <c r="K13" i="2"/>
  <c r="K9" i="2"/>
  <c r="K5" i="2"/>
  <c r="T408" i="2"/>
  <c r="T407" i="2"/>
  <c r="T401" i="2"/>
  <c r="T397" i="2"/>
  <c r="T393" i="2"/>
  <c r="T406" i="2"/>
  <c r="T405" i="2"/>
  <c r="T404" i="2"/>
  <c r="T403" i="2"/>
  <c r="T400" i="2"/>
  <c r="T399" i="2"/>
  <c r="T396" i="2"/>
  <c r="T395" i="2"/>
  <c r="T392" i="2"/>
  <c r="T391" i="2"/>
  <c r="T402" i="2"/>
  <c r="T398" i="2"/>
  <c r="T394" i="2"/>
  <c r="T390" i="2"/>
  <c r="T389" i="2"/>
  <c r="T388" i="2"/>
  <c r="T384" i="2"/>
  <c r="T380" i="2"/>
  <c r="T376" i="2"/>
  <c r="T383" i="2"/>
  <c r="T379" i="2"/>
  <c r="T375" i="2"/>
  <c r="T382" i="2"/>
  <c r="T378" i="2"/>
  <c r="T374" i="2"/>
  <c r="T373" i="2"/>
  <c r="T369" i="2"/>
  <c r="T365" i="2"/>
  <c r="T361" i="2"/>
  <c r="T357" i="2"/>
  <c r="T353" i="2"/>
  <c r="T349" i="2"/>
  <c r="T372" i="2"/>
  <c r="T368" i="2"/>
  <c r="T364" i="2"/>
  <c r="T360" i="2"/>
  <c r="T356" i="2"/>
  <c r="T352" i="2"/>
  <c r="T348" i="2"/>
  <c r="T371" i="2"/>
  <c r="T367" i="2"/>
  <c r="T363" i="2"/>
  <c r="T359" i="2"/>
  <c r="T355" i="2"/>
  <c r="T351" i="2"/>
  <c r="T347" i="2"/>
  <c r="T386" i="2"/>
  <c r="T381" i="2"/>
  <c r="T344" i="2"/>
  <c r="T340" i="2"/>
  <c r="T336" i="2"/>
  <c r="T332" i="2"/>
  <c r="T328" i="2"/>
  <c r="T324" i="2"/>
  <c r="T343" i="2"/>
  <c r="T339" i="2"/>
  <c r="T335" i="2"/>
  <c r="T331" i="2"/>
  <c r="T327" i="2"/>
  <c r="T323" i="2"/>
  <c r="T385" i="2"/>
  <c r="T366" i="2"/>
  <c r="T358" i="2"/>
  <c r="T350" i="2"/>
  <c r="T320" i="2"/>
  <c r="T316" i="2"/>
  <c r="T312" i="2"/>
  <c r="T308" i="2"/>
  <c r="T304" i="2"/>
  <c r="T300" i="2"/>
  <c r="T296" i="2"/>
  <c r="T292" i="2"/>
  <c r="T288" i="2"/>
  <c r="T284" i="2"/>
  <c r="T280" i="2"/>
  <c r="T276" i="2"/>
  <c r="T272" i="2"/>
  <c r="T387" i="2"/>
  <c r="T345" i="2"/>
  <c r="T342" i="2"/>
  <c r="T341" i="2"/>
  <c r="T338" i="2"/>
  <c r="T337" i="2"/>
  <c r="T334" i="2"/>
  <c r="T333" i="2"/>
  <c r="T330" i="2"/>
  <c r="T329" i="2"/>
  <c r="T326" i="2"/>
  <c r="T325" i="2"/>
  <c r="T322" i="2"/>
  <c r="T319" i="2"/>
  <c r="T315" i="2"/>
  <c r="T311" i="2"/>
  <c r="T307" i="2"/>
  <c r="T303" i="2"/>
  <c r="T299" i="2"/>
  <c r="T295" i="2"/>
  <c r="T291" i="2"/>
  <c r="T287" i="2"/>
  <c r="T283" i="2"/>
  <c r="T279" i="2"/>
  <c r="T377" i="2"/>
  <c r="T273" i="2"/>
  <c r="T267" i="2"/>
  <c r="T263" i="2"/>
  <c r="T259" i="2"/>
  <c r="T255" i="2"/>
  <c r="T251" i="2"/>
  <c r="T247" i="2"/>
  <c r="T243" i="2"/>
  <c r="T239" i="2"/>
  <c r="T370" i="2"/>
  <c r="T354" i="2"/>
  <c r="T270" i="2"/>
  <c r="T266" i="2"/>
  <c r="T262" i="2"/>
  <c r="T258" i="2"/>
  <c r="T254" i="2"/>
  <c r="T250" i="2"/>
  <c r="T246" i="2"/>
  <c r="T242" i="2"/>
  <c r="T238" i="2"/>
  <c r="T235" i="2"/>
  <c r="T231" i="2"/>
  <c r="T227" i="2"/>
  <c r="T223" i="2"/>
  <c r="T219" i="2"/>
  <c r="T215" i="2"/>
  <c r="T211" i="2"/>
  <c r="T207" i="2"/>
  <c r="T203" i="2"/>
  <c r="T199" i="2"/>
  <c r="T195" i="2"/>
  <c r="T191" i="2"/>
  <c r="T187" i="2"/>
  <c r="T183" i="2"/>
  <c r="T179" i="2"/>
  <c r="T175" i="2"/>
  <c r="T171" i="2"/>
  <c r="T167" i="2"/>
  <c r="T163" i="2"/>
  <c r="T159" i="2"/>
  <c r="T155" i="2"/>
  <c r="T151" i="2"/>
  <c r="T147" i="2"/>
  <c r="T143" i="2"/>
  <c r="T139" i="2"/>
  <c r="T346" i="2"/>
  <c r="T321" i="2"/>
  <c r="T317" i="2"/>
  <c r="T313" i="2"/>
  <c r="T309" i="2"/>
  <c r="T305" i="2"/>
  <c r="T301" i="2"/>
  <c r="T297" i="2"/>
  <c r="T293" i="2"/>
  <c r="T289" i="2"/>
  <c r="T285" i="2"/>
  <c r="T281" i="2"/>
  <c r="T277" i="2"/>
  <c r="T269" i="2"/>
  <c r="T268" i="2"/>
  <c r="T265" i="2"/>
  <c r="T264" i="2"/>
  <c r="T261" i="2"/>
  <c r="T260" i="2"/>
  <c r="T257" i="2"/>
  <c r="T256" i="2"/>
  <c r="T253" i="2"/>
  <c r="T252" i="2"/>
  <c r="T249" i="2"/>
  <c r="T248" i="2"/>
  <c r="T245" i="2"/>
  <c r="T244" i="2"/>
  <c r="T241" i="2"/>
  <c r="T240" i="2"/>
  <c r="T234" i="2"/>
  <c r="T230" i="2"/>
  <c r="T226" i="2"/>
  <c r="T222" i="2"/>
  <c r="T218" i="2"/>
  <c r="T214" i="2"/>
  <c r="T210" i="2"/>
  <c r="T206" i="2"/>
  <c r="T202" i="2"/>
  <c r="T198" i="2"/>
  <c r="T194" i="2"/>
  <c r="T190" i="2"/>
  <c r="T186" i="2"/>
  <c r="T182" i="2"/>
  <c r="T178" i="2"/>
  <c r="T174" i="2"/>
  <c r="T170" i="2"/>
  <c r="T166" i="2"/>
  <c r="T162" i="2"/>
  <c r="T158" i="2"/>
  <c r="T154" i="2"/>
  <c r="T237" i="2"/>
  <c r="T236" i="2"/>
  <c r="T233" i="2"/>
  <c r="T232" i="2"/>
  <c r="T229" i="2"/>
  <c r="T228" i="2"/>
  <c r="T225" i="2"/>
  <c r="T224" i="2"/>
  <c r="T221" i="2"/>
  <c r="T220" i="2"/>
  <c r="T217" i="2"/>
  <c r="T216" i="2"/>
  <c r="T213" i="2"/>
  <c r="T212" i="2"/>
  <c r="T209" i="2"/>
  <c r="T208" i="2"/>
  <c r="T205" i="2"/>
  <c r="T204" i="2"/>
  <c r="T201" i="2"/>
  <c r="T200" i="2"/>
  <c r="T197" i="2"/>
  <c r="T196" i="2"/>
  <c r="T193" i="2"/>
  <c r="T192" i="2"/>
  <c r="T189" i="2"/>
  <c r="T188" i="2"/>
  <c r="T185" i="2"/>
  <c r="T184" i="2"/>
  <c r="T181" i="2"/>
  <c r="T180" i="2"/>
  <c r="T177" i="2"/>
  <c r="T176" i="2"/>
  <c r="T173" i="2"/>
  <c r="T172" i="2"/>
  <c r="T169" i="2"/>
  <c r="T168" i="2"/>
  <c r="T165" i="2"/>
  <c r="T164" i="2"/>
  <c r="T161" i="2"/>
  <c r="T160" i="2"/>
  <c r="T157" i="2"/>
  <c r="T156" i="2"/>
  <c r="T153" i="2"/>
  <c r="T152" i="2"/>
  <c r="T148" i="2"/>
  <c r="T144" i="2"/>
  <c r="T140" i="2"/>
  <c r="T136" i="2"/>
  <c r="T134" i="2"/>
  <c r="T130" i="2"/>
  <c r="T126" i="2"/>
  <c r="T122" i="2"/>
  <c r="T118" i="2"/>
  <c r="T114" i="2"/>
  <c r="T110" i="2"/>
  <c r="T106" i="2"/>
  <c r="T314" i="2"/>
  <c r="T306" i="2"/>
  <c r="T298" i="2"/>
  <c r="T290" i="2"/>
  <c r="T282" i="2"/>
  <c r="T275" i="2"/>
  <c r="T271" i="2"/>
  <c r="T133" i="2"/>
  <c r="T129" i="2"/>
  <c r="T125" i="2"/>
  <c r="T121" i="2"/>
  <c r="T117" i="2"/>
  <c r="T113" i="2"/>
  <c r="T109" i="2"/>
  <c r="T105" i="2"/>
  <c r="T101" i="2"/>
  <c r="T97" i="2"/>
  <c r="T93" i="2"/>
  <c r="T89" i="2"/>
  <c r="T85" i="2"/>
  <c r="T81" i="2"/>
  <c r="T77" i="2"/>
  <c r="T362" i="2"/>
  <c r="T318" i="2"/>
  <c r="T302" i="2"/>
  <c r="T286" i="2"/>
  <c r="T150" i="2"/>
  <c r="T146" i="2"/>
  <c r="T278" i="2"/>
  <c r="T75" i="2"/>
  <c r="T71" i="2"/>
  <c r="T67" i="2"/>
  <c r="T63" i="2"/>
  <c r="T59" i="2"/>
  <c r="T55" i="2"/>
  <c r="T149" i="2"/>
  <c r="T145" i="2"/>
  <c r="T104" i="2"/>
  <c r="T103" i="2"/>
  <c r="T100" i="2"/>
  <c r="T99" i="2"/>
  <c r="T96" i="2"/>
  <c r="T95" i="2"/>
  <c r="T92" i="2"/>
  <c r="T91" i="2"/>
  <c r="T88" i="2"/>
  <c r="T87" i="2"/>
  <c r="T84" i="2"/>
  <c r="T83" i="2"/>
  <c r="T80" i="2"/>
  <c r="T79" i="2"/>
  <c r="T74" i="2"/>
  <c r="T70" i="2"/>
  <c r="T66" i="2"/>
  <c r="T62" i="2"/>
  <c r="T310" i="2"/>
  <c r="T274" i="2"/>
  <c r="T142" i="2"/>
  <c r="T138" i="2"/>
  <c r="T102" i="2"/>
  <c r="T98" i="2"/>
  <c r="T94" i="2"/>
  <c r="T90" i="2"/>
  <c r="T86" i="2"/>
  <c r="T82" i="2"/>
  <c r="T78" i="2"/>
  <c r="T73" i="2"/>
  <c r="T69" i="2"/>
  <c r="T65" i="2"/>
  <c r="T132" i="2"/>
  <c r="T131" i="2"/>
  <c r="T124" i="2"/>
  <c r="T123" i="2"/>
  <c r="T116" i="2"/>
  <c r="T115" i="2"/>
  <c r="T108" i="2"/>
  <c r="T107" i="2"/>
  <c r="T61" i="2"/>
  <c r="T58" i="2"/>
  <c r="T57" i="2"/>
  <c r="T51" i="2"/>
  <c r="T47" i="2"/>
  <c r="T43" i="2"/>
  <c r="T39" i="2"/>
  <c r="T35" i="2"/>
  <c r="T31" i="2"/>
  <c r="T27" i="2"/>
  <c r="T23" i="2"/>
  <c r="T19" i="2"/>
  <c r="T15" i="2"/>
  <c r="T11" i="2"/>
  <c r="T7" i="2"/>
  <c r="T3" i="2"/>
  <c r="T76" i="2"/>
  <c r="T72" i="2"/>
  <c r="T68" i="2"/>
  <c r="T64" i="2"/>
  <c r="T60" i="2"/>
  <c r="T56" i="2"/>
  <c r="T54" i="2"/>
  <c r="T50" i="2"/>
  <c r="T46" i="2"/>
  <c r="T42" i="2"/>
  <c r="T38" i="2"/>
  <c r="T34" i="2"/>
  <c r="T30" i="2"/>
  <c r="T26" i="2"/>
  <c r="T22" i="2"/>
  <c r="T18" i="2"/>
  <c r="T14" i="2"/>
  <c r="T10" i="2"/>
  <c r="T6" i="2"/>
  <c r="T2" i="2"/>
  <c r="T294" i="2"/>
  <c r="T135" i="2"/>
  <c r="T128" i="2"/>
  <c r="T127" i="2"/>
  <c r="T120" i="2"/>
  <c r="T119" i="2"/>
  <c r="T112" i="2"/>
  <c r="T111" i="2"/>
  <c r="T53" i="2"/>
  <c r="T49" i="2"/>
  <c r="T45" i="2"/>
  <c r="T41" i="2"/>
  <c r="T37" i="2"/>
  <c r="T33" i="2"/>
  <c r="T29" i="2"/>
  <c r="T25" i="2"/>
  <c r="T21" i="2"/>
  <c r="T17" i="2"/>
  <c r="T13" i="2"/>
  <c r="T9" i="2"/>
  <c r="T5" i="2"/>
  <c r="T141" i="2"/>
  <c r="T137" i="2"/>
  <c r="T52" i="2"/>
  <c r="T48" i="2"/>
  <c r="T44" i="2"/>
  <c r="T40" i="2"/>
  <c r="T36" i="2"/>
  <c r="T32" i="2"/>
  <c r="T28" i="2"/>
  <c r="T24" i="2"/>
  <c r="T20" i="2"/>
  <c r="T16" i="2"/>
  <c r="T12" i="2"/>
  <c r="T8" i="2"/>
  <c r="T4" i="2"/>
  <c r="G402" i="2"/>
  <c r="G398" i="2"/>
  <c r="G405" i="2"/>
  <c r="G406" i="2"/>
  <c r="G404" i="2"/>
  <c r="G403" i="2"/>
  <c r="G399" i="2"/>
  <c r="G397" i="2"/>
  <c r="G393" i="2"/>
  <c r="G392" i="2"/>
  <c r="G385" i="2"/>
  <c r="G381" i="2"/>
  <c r="G380" i="2"/>
  <c r="G376" i="2"/>
  <c r="G379" i="2"/>
  <c r="G375" i="2"/>
  <c r="G374" i="2"/>
  <c r="G370" i="2"/>
  <c r="G358" i="2"/>
  <c r="G354" i="2"/>
  <c r="G388" i="2"/>
  <c r="G373" i="2"/>
  <c r="G361" i="2"/>
  <c r="G357" i="2"/>
  <c r="G372" i="2"/>
  <c r="G368" i="2"/>
  <c r="G356" i="2"/>
  <c r="G352" i="2"/>
  <c r="G367" i="2"/>
  <c r="G363" i="2"/>
  <c r="G351" i="2"/>
  <c r="G347" i="2"/>
  <c r="G337" i="2"/>
  <c r="G333" i="2"/>
  <c r="G344" i="2"/>
  <c r="G340" i="2"/>
  <c r="G328" i="2"/>
  <c r="G324" i="2"/>
  <c r="G334" i="2"/>
  <c r="G330" i="2"/>
  <c r="G321" i="2"/>
  <c r="G317" i="2"/>
  <c r="G305" i="2"/>
  <c r="G301" i="2"/>
  <c r="G289" i="2"/>
  <c r="G285" i="2"/>
  <c r="G273" i="2"/>
  <c r="G343" i="2"/>
  <c r="G331" i="2"/>
  <c r="G327" i="2"/>
  <c r="G316" i="2"/>
  <c r="G312" i="2"/>
  <c r="G300" i="2"/>
  <c r="G296" i="2"/>
  <c r="G284" i="2"/>
  <c r="G280" i="2"/>
  <c r="G260" i="2"/>
  <c r="G256" i="2"/>
  <c r="G244" i="2"/>
  <c r="G240" i="2"/>
  <c r="G310" i="2"/>
  <c r="G306" i="2"/>
  <c r="G294" i="2"/>
  <c r="G290" i="2"/>
  <c r="G278" i="2"/>
  <c r="G276" i="2"/>
  <c r="G272" i="2"/>
  <c r="G271" i="2"/>
  <c r="G259" i="2"/>
  <c r="G255" i="2"/>
  <c r="G243" i="2"/>
  <c r="G239" i="2"/>
  <c r="G261" i="2"/>
  <c r="G257" i="2"/>
  <c r="G245" i="2"/>
  <c r="G241" i="2"/>
  <c r="G228" i="2"/>
  <c r="G224" i="2"/>
  <c r="G212" i="2"/>
  <c r="G208" i="2"/>
  <c r="G196" i="2"/>
  <c r="G192" i="2"/>
  <c r="G180" i="2"/>
  <c r="G176" i="2"/>
  <c r="G164" i="2"/>
  <c r="G160" i="2"/>
  <c r="G148" i="2"/>
  <c r="G144" i="2"/>
  <c r="G266" i="2"/>
  <c r="G262" i="2"/>
  <c r="G250" i="2"/>
  <c r="G246" i="2"/>
  <c r="G231" i="2"/>
  <c r="G227" i="2"/>
  <c r="G215" i="2"/>
  <c r="G211" i="2"/>
  <c r="G199" i="2"/>
  <c r="G195" i="2"/>
  <c r="G183" i="2"/>
  <c r="G179" i="2"/>
  <c r="G167" i="2"/>
  <c r="G163" i="2"/>
  <c r="G238" i="2"/>
  <c r="G234" i="2"/>
  <c r="G222" i="2"/>
  <c r="G218" i="2"/>
  <c r="G206" i="2"/>
  <c r="G202" i="2"/>
  <c r="G190" i="2"/>
  <c r="G186" i="2"/>
  <c r="G174" i="2"/>
  <c r="G170" i="2"/>
  <c r="G158" i="2"/>
  <c r="G154" i="2"/>
  <c r="G127" i="2"/>
  <c r="G123" i="2"/>
  <c r="G111" i="2"/>
  <c r="G107" i="2"/>
  <c r="G303" i="2"/>
  <c r="G295" i="2"/>
  <c r="G153" i="2"/>
  <c r="G151" i="2"/>
  <c r="G147" i="2"/>
  <c r="G146" i="2"/>
  <c r="G142" i="2"/>
  <c r="G141" i="2"/>
  <c r="G137" i="2"/>
  <c r="G134" i="2"/>
  <c r="G122" i="2"/>
  <c r="G118" i="2"/>
  <c r="G106" i="2"/>
  <c r="G102" i="2"/>
  <c r="G90" i="2"/>
  <c r="G86" i="2"/>
  <c r="G315" i="2"/>
  <c r="G299" i="2"/>
  <c r="G291" i="2"/>
  <c r="G229" i="2"/>
  <c r="G181" i="2"/>
  <c r="G165" i="2"/>
  <c r="G68" i="2"/>
  <c r="G64" i="2"/>
  <c r="G225" i="2"/>
  <c r="G209" i="2"/>
  <c r="G161" i="2"/>
  <c r="G75" i="2"/>
  <c r="G63" i="2"/>
  <c r="G237" i="2"/>
  <c r="G189" i="2"/>
  <c r="G173" i="2"/>
  <c r="G132" i="2"/>
  <c r="G128" i="2"/>
  <c r="G116" i="2"/>
  <c r="G112" i="2"/>
  <c r="G70" i="2"/>
  <c r="G66" i="2"/>
  <c r="G121" i="2"/>
  <c r="G113" i="2"/>
  <c r="G44" i="2"/>
  <c r="G40" i="2"/>
  <c r="G28" i="2"/>
  <c r="G24" i="2"/>
  <c r="G12" i="2"/>
  <c r="G8" i="2"/>
  <c r="G51" i="2"/>
  <c r="G47" i="2"/>
  <c r="G35" i="2"/>
  <c r="G31" i="2"/>
  <c r="G19" i="2"/>
  <c r="G15" i="2"/>
  <c r="G7" i="2"/>
  <c r="G3" i="2"/>
  <c r="G185" i="2"/>
  <c r="G133" i="2"/>
  <c r="G125" i="2"/>
  <c r="G117" i="2"/>
  <c r="G109" i="2"/>
  <c r="G105" i="2"/>
  <c r="G104" i="2"/>
  <c r="G103" i="2"/>
  <c r="G101" i="2"/>
  <c r="G100" i="2"/>
  <c r="G99" i="2"/>
  <c r="G97" i="2"/>
  <c r="G96" i="2"/>
  <c r="G95" i="2"/>
  <c r="G93" i="2"/>
  <c r="G92" i="2"/>
  <c r="G91" i="2"/>
  <c r="G89" i="2"/>
  <c r="G88" i="2"/>
  <c r="G87" i="2"/>
  <c r="G85" i="2"/>
  <c r="G84" i="2"/>
  <c r="G83" i="2"/>
  <c r="G81" i="2"/>
  <c r="G80" i="2"/>
  <c r="G79" i="2"/>
  <c r="G77" i="2"/>
  <c r="G73" i="2"/>
  <c r="G69" i="2"/>
  <c r="G65" i="2"/>
  <c r="G62" i="2"/>
  <c r="G61" i="2"/>
  <c r="G59" i="2"/>
  <c r="G58" i="2"/>
  <c r="G57" i="2"/>
  <c r="G55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G2" i="2"/>
  <c r="G233" i="2"/>
  <c r="G169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N407" i="2"/>
  <c r="N403" i="2"/>
  <c r="N399" i="2"/>
  <c r="N395" i="2"/>
  <c r="N391" i="2"/>
  <c r="N404" i="2"/>
  <c r="N402" i="2"/>
  <c r="N401" i="2"/>
  <c r="N400" i="2"/>
  <c r="N398" i="2"/>
  <c r="N397" i="2"/>
  <c r="N396" i="2"/>
  <c r="N394" i="2"/>
  <c r="N393" i="2"/>
  <c r="N392" i="2"/>
  <c r="N387" i="2"/>
  <c r="N406" i="2"/>
  <c r="N405" i="2"/>
  <c r="N390" i="2"/>
  <c r="N386" i="2"/>
  <c r="N388" i="2"/>
  <c r="N382" i="2"/>
  <c r="N378" i="2"/>
  <c r="N389" i="2"/>
  <c r="N385" i="2"/>
  <c r="N381" i="2"/>
  <c r="N377" i="2"/>
  <c r="N384" i="2"/>
  <c r="N380" i="2"/>
  <c r="N376" i="2"/>
  <c r="N371" i="2"/>
  <c r="N367" i="2"/>
  <c r="N363" i="2"/>
  <c r="N359" i="2"/>
  <c r="N355" i="2"/>
  <c r="N351" i="2"/>
  <c r="N347" i="2"/>
  <c r="N383" i="2"/>
  <c r="N379" i="2"/>
  <c r="N374" i="2"/>
  <c r="N370" i="2"/>
  <c r="N366" i="2"/>
  <c r="N362" i="2"/>
  <c r="N358" i="2"/>
  <c r="N354" i="2"/>
  <c r="N350" i="2"/>
  <c r="N373" i="2"/>
  <c r="N369" i="2"/>
  <c r="N365" i="2"/>
  <c r="N361" i="2"/>
  <c r="N357" i="2"/>
  <c r="N353" i="2"/>
  <c r="N349" i="2"/>
  <c r="N375" i="2"/>
  <c r="N342" i="2"/>
  <c r="N338" i="2"/>
  <c r="N334" i="2"/>
  <c r="N330" i="2"/>
  <c r="N326" i="2"/>
  <c r="N322" i="2"/>
  <c r="N372" i="2"/>
  <c r="N368" i="2"/>
  <c r="N364" i="2"/>
  <c r="N360" i="2"/>
  <c r="N356" i="2"/>
  <c r="N352" i="2"/>
  <c r="N348" i="2"/>
  <c r="N345" i="2"/>
  <c r="N341" i="2"/>
  <c r="N337" i="2"/>
  <c r="N333" i="2"/>
  <c r="N329" i="2"/>
  <c r="N325" i="2"/>
  <c r="N318" i="2"/>
  <c r="N314" i="2"/>
  <c r="N310" i="2"/>
  <c r="N306" i="2"/>
  <c r="N302" i="2"/>
  <c r="N298" i="2"/>
  <c r="N294" i="2"/>
  <c r="N290" i="2"/>
  <c r="N286" i="2"/>
  <c r="N282" i="2"/>
  <c r="N278" i="2"/>
  <c r="N274" i="2"/>
  <c r="N346" i="2"/>
  <c r="N321" i="2"/>
  <c r="N317" i="2"/>
  <c r="N313" i="2"/>
  <c r="N309" i="2"/>
  <c r="N305" i="2"/>
  <c r="N301" i="2"/>
  <c r="N297" i="2"/>
  <c r="N293" i="2"/>
  <c r="N289" i="2"/>
  <c r="N285" i="2"/>
  <c r="N281" i="2"/>
  <c r="N277" i="2"/>
  <c r="N320" i="2"/>
  <c r="N316" i="2"/>
  <c r="N312" i="2"/>
  <c r="N308" i="2"/>
  <c r="N304" i="2"/>
  <c r="N300" i="2"/>
  <c r="N296" i="2"/>
  <c r="N292" i="2"/>
  <c r="N288" i="2"/>
  <c r="N284" i="2"/>
  <c r="N280" i="2"/>
  <c r="N276" i="2"/>
  <c r="N275" i="2"/>
  <c r="N273" i="2"/>
  <c r="N272" i="2"/>
  <c r="N271" i="2"/>
  <c r="N269" i="2"/>
  <c r="N265" i="2"/>
  <c r="N261" i="2"/>
  <c r="N257" i="2"/>
  <c r="N253" i="2"/>
  <c r="N249" i="2"/>
  <c r="N245" i="2"/>
  <c r="N241" i="2"/>
  <c r="N343" i="2"/>
  <c r="N339" i="2"/>
  <c r="N335" i="2"/>
  <c r="N331" i="2"/>
  <c r="N327" i="2"/>
  <c r="N323" i="2"/>
  <c r="N268" i="2"/>
  <c r="N264" i="2"/>
  <c r="N260" i="2"/>
  <c r="N256" i="2"/>
  <c r="N252" i="2"/>
  <c r="N248" i="2"/>
  <c r="N244" i="2"/>
  <c r="N240" i="2"/>
  <c r="N344" i="2"/>
  <c r="N336" i="2"/>
  <c r="N328" i="2"/>
  <c r="N238" i="2"/>
  <c r="N237" i="2"/>
  <c r="N233" i="2"/>
  <c r="N229" i="2"/>
  <c r="N225" i="2"/>
  <c r="N221" i="2"/>
  <c r="N217" i="2"/>
  <c r="N213" i="2"/>
  <c r="N209" i="2"/>
  <c r="N205" i="2"/>
  <c r="N201" i="2"/>
  <c r="N197" i="2"/>
  <c r="N193" i="2"/>
  <c r="N189" i="2"/>
  <c r="N185" i="2"/>
  <c r="N181" i="2"/>
  <c r="N177" i="2"/>
  <c r="N173" i="2"/>
  <c r="N169" i="2"/>
  <c r="N165" i="2"/>
  <c r="N161" i="2"/>
  <c r="N157" i="2"/>
  <c r="N153" i="2"/>
  <c r="N149" i="2"/>
  <c r="N145" i="2"/>
  <c r="N141" i="2"/>
  <c r="N137" i="2"/>
  <c r="N236" i="2"/>
  <c r="N232" i="2"/>
  <c r="N228" i="2"/>
  <c r="N224" i="2"/>
  <c r="N220" i="2"/>
  <c r="N216" i="2"/>
  <c r="N212" i="2"/>
  <c r="N208" i="2"/>
  <c r="N204" i="2"/>
  <c r="N200" i="2"/>
  <c r="N196" i="2"/>
  <c r="N192" i="2"/>
  <c r="N188" i="2"/>
  <c r="N184" i="2"/>
  <c r="N180" i="2"/>
  <c r="N176" i="2"/>
  <c r="N172" i="2"/>
  <c r="N168" i="2"/>
  <c r="N164" i="2"/>
  <c r="N160" i="2"/>
  <c r="N156" i="2"/>
  <c r="N319" i="2"/>
  <c r="N311" i="2"/>
  <c r="N303" i="2"/>
  <c r="N295" i="2"/>
  <c r="N287" i="2"/>
  <c r="N279" i="2"/>
  <c r="N270" i="2"/>
  <c r="N266" i="2"/>
  <c r="N262" i="2"/>
  <c r="N258" i="2"/>
  <c r="N254" i="2"/>
  <c r="N250" i="2"/>
  <c r="N246" i="2"/>
  <c r="N242" i="2"/>
  <c r="N152" i="2"/>
  <c r="N151" i="2"/>
  <c r="N150" i="2"/>
  <c r="N148" i="2"/>
  <c r="N147" i="2"/>
  <c r="N146" i="2"/>
  <c r="N144" i="2"/>
  <c r="N143" i="2"/>
  <c r="N142" i="2"/>
  <c r="N140" i="2"/>
  <c r="N139" i="2"/>
  <c r="N138" i="2"/>
  <c r="N136" i="2"/>
  <c r="N132" i="2"/>
  <c r="N128" i="2"/>
  <c r="N124" i="2"/>
  <c r="N120" i="2"/>
  <c r="N116" i="2"/>
  <c r="N112" i="2"/>
  <c r="N108" i="2"/>
  <c r="N332" i="2"/>
  <c r="N234" i="2"/>
  <c r="N230" i="2"/>
  <c r="N226" i="2"/>
  <c r="N222" i="2"/>
  <c r="N218" i="2"/>
  <c r="N214" i="2"/>
  <c r="N210" i="2"/>
  <c r="N206" i="2"/>
  <c r="N202" i="2"/>
  <c r="N198" i="2"/>
  <c r="N194" i="2"/>
  <c r="N190" i="2"/>
  <c r="N186" i="2"/>
  <c r="N182" i="2"/>
  <c r="N178" i="2"/>
  <c r="N174" i="2"/>
  <c r="N170" i="2"/>
  <c r="N166" i="2"/>
  <c r="N162" i="2"/>
  <c r="N158" i="2"/>
  <c r="N154" i="2"/>
  <c r="N135" i="2"/>
  <c r="N131" i="2"/>
  <c r="N127" i="2"/>
  <c r="N123" i="2"/>
  <c r="N119" i="2"/>
  <c r="N115" i="2"/>
  <c r="N111" i="2"/>
  <c r="N107" i="2"/>
  <c r="N103" i="2"/>
  <c r="N99" i="2"/>
  <c r="N95" i="2"/>
  <c r="N91" i="2"/>
  <c r="N87" i="2"/>
  <c r="N83" i="2"/>
  <c r="N79" i="2"/>
  <c r="N340" i="2"/>
  <c r="N307" i="2"/>
  <c r="N291" i="2"/>
  <c r="N267" i="2"/>
  <c r="N259" i="2"/>
  <c r="N251" i="2"/>
  <c r="N243" i="2"/>
  <c r="N235" i="2"/>
  <c r="N231" i="2"/>
  <c r="N227" i="2"/>
  <c r="N223" i="2"/>
  <c r="N219" i="2"/>
  <c r="N215" i="2"/>
  <c r="N211" i="2"/>
  <c r="N207" i="2"/>
  <c r="N203" i="2"/>
  <c r="N199" i="2"/>
  <c r="N195" i="2"/>
  <c r="N191" i="2"/>
  <c r="N187" i="2"/>
  <c r="N183" i="2"/>
  <c r="N179" i="2"/>
  <c r="N175" i="2"/>
  <c r="N171" i="2"/>
  <c r="N167" i="2"/>
  <c r="N163" i="2"/>
  <c r="N159" i="2"/>
  <c r="N299" i="2"/>
  <c r="N255" i="2"/>
  <c r="N155" i="2"/>
  <c r="N133" i="2"/>
  <c r="N129" i="2"/>
  <c r="N125" i="2"/>
  <c r="N121" i="2"/>
  <c r="N117" i="2"/>
  <c r="N113" i="2"/>
  <c r="N109" i="2"/>
  <c r="N73" i="2"/>
  <c r="N69" i="2"/>
  <c r="N65" i="2"/>
  <c r="N61" i="2"/>
  <c r="N57" i="2"/>
  <c r="N324" i="2"/>
  <c r="N283" i="2"/>
  <c r="N247" i="2"/>
  <c r="N134" i="2"/>
  <c r="N130" i="2"/>
  <c r="N126" i="2"/>
  <c r="N122" i="2"/>
  <c r="N118" i="2"/>
  <c r="N114" i="2"/>
  <c r="N110" i="2"/>
  <c r="N76" i="2"/>
  <c r="N72" i="2"/>
  <c r="N68" i="2"/>
  <c r="N64" i="2"/>
  <c r="N239" i="2"/>
  <c r="N106" i="2"/>
  <c r="N105" i="2"/>
  <c r="N104" i="2"/>
  <c r="N102" i="2"/>
  <c r="N101" i="2"/>
  <c r="N100" i="2"/>
  <c r="N98" i="2"/>
  <c r="N97" i="2"/>
  <c r="N96" i="2"/>
  <c r="N94" i="2"/>
  <c r="N93" i="2"/>
  <c r="N92" i="2"/>
  <c r="N90" i="2"/>
  <c r="N89" i="2"/>
  <c r="N88" i="2"/>
  <c r="N86" i="2"/>
  <c r="N85" i="2"/>
  <c r="N84" i="2"/>
  <c r="N82" i="2"/>
  <c r="N81" i="2"/>
  <c r="N80" i="2"/>
  <c r="N78" i="2"/>
  <c r="N77" i="2"/>
  <c r="N75" i="2"/>
  <c r="N71" i="2"/>
  <c r="N67" i="2"/>
  <c r="N63" i="2"/>
  <c r="N315" i="2"/>
  <c r="N263" i="2"/>
  <c r="N53" i="2"/>
  <c r="N49" i="2"/>
  <c r="N45" i="2"/>
  <c r="N41" i="2"/>
  <c r="N37" i="2"/>
  <c r="N33" i="2"/>
  <c r="N29" i="2"/>
  <c r="N25" i="2"/>
  <c r="N21" i="2"/>
  <c r="N17" i="2"/>
  <c r="N13" i="2"/>
  <c r="N9" i="2"/>
  <c r="N5" i="2"/>
  <c r="N60" i="2"/>
  <c r="N59" i="2"/>
  <c r="N58" i="2"/>
  <c r="N56" i="2"/>
  <c r="N55" i="2"/>
  <c r="N52" i="2"/>
  <c r="N48" i="2"/>
  <c r="N44" i="2"/>
  <c r="N40" i="2"/>
  <c r="N36" i="2"/>
  <c r="N32" i="2"/>
  <c r="N28" i="2"/>
  <c r="N24" i="2"/>
  <c r="N20" i="2"/>
  <c r="N16" i="2"/>
  <c r="N12" i="2"/>
  <c r="N8" i="2"/>
  <c r="N4" i="2"/>
  <c r="N51" i="2"/>
  <c r="N47" i="2"/>
  <c r="N43" i="2"/>
  <c r="N39" i="2"/>
  <c r="N35" i="2"/>
  <c r="N31" i="2"/>
  <c r="N27" i="2"/>
  <c r="N23" i="2"/>
  <c r="N19" i="2"/>
  <c r="N15" i="2"/>
  <c r="N11" i="2"/>
  <c r="N7" i="2"/>
  <c r="N3" i="2"/>
  <c r="N74" i="2"/>
  <c r="N70" i="2"/>
  <c r="N66" i="2"/>
  <c r="N62" i="2"/>
  <c r="N54" i="2"/>
  <c r="N50" i="2"/>
  <c r="N46" i="2"/>
  <c r="N42" i="2"/>
  <c r="N38" i="2"/>
  <c r="N34" i="2"/>
  <c r="N30" i="2"/>
  <c r="N26" i="2"/>
  <c r="N22" i="2"/>
  <c r="N18" i="2"/>
  <c r="N14" i="2"/>
  <c r="N10" i="2"/>
  <c r="N6" i="2"/>
  <c r="N2" i="2"/>
  <c r="R407" i="2"/>
  <c r="R405" i="2"/>
  <c r="R403" i="2"/>
  <c r="R399" i="2"/>
  <c r="R395" i="2"/>
  <c r="R391" i="2"/>
  <c r="R406" i="2"/>
  <c r="R387" i="2"/>
  <c r="R402" i="2"/>
  <c r="R401" i="2"/>
  <c r="R400" i="2"/>
  <c r="R398" i="2"/>
  <c r="R397" i="2"/>
  <c r="R396" i="2"/>
  <c r="R394" i="2"/>
  <c r="R393" i="2"/>
  <c r="R392" i="2"/>
  <c r="R390" i="2"/>
  <c r="R386" i="2"/>
  <c r="R382" i="2"/>
  <c r="R378" i="2"/>
  <c r="R385" i="2"/>
  <c r="R381" i="2"/>
  <c r="R377" i="2"/>
  <c r="R404" i="2"/>
  <c r="R388" i="2"/>
  <c r="R384" i="2"/>
  <c r="R380" i="2"/>
  <c r="R376" i="2"/>
  <c r="R383" i="2"/>
  <c r="R379" i="2"/>
  <c r="R371" i="2"/>
  <c r="R367" i="2"/>
  <c r="R363" i="2"/>
  <c r="R359" i="2"/>
  <c r="R355" i="2"/>
  <c r="R351" i="2"/>
  <c r="R347" i="2"/>
  <c r="R389" i="2"/>
  <c r="R375" i="2"/>
  <c r="R374" i="2"/>
  <c r="R370" i="2"/>
  <c r="R366" i="2"/>
  <c r="R362" i="2"/>
  <c r="R358" i="2"/>
  <c r="R354" i="2"/>
  <c r="R350" i="2"/>
  <c r="R373" i="2"/>
  <c r="R369" i="2"/>
  <c r="R365" i="2"/>
  <c r="R361" i="2"/>
  <c r="R357" i="2"/>
  <c r="R353" i="2"/>
  <c r="R349" i="2"/>
  <c r="R372" i="2"/>
  <c r="R368" i="2"/>
  <c r="R364" i="2"/>
  <c r="R360" i="2"/>
  <c r="R356" i="2"/>
  <c r="R352" i="2"/>
  <c r="R348" i="2"/>
  <c r="R342" i="2"/>
  <c r="R338" i="2"/>
  <c r="R334" i="2"/>
  <c r="R330" i="2"/>
  <c r="R326" i="2"/>
  <c r="R322" i="2"/>
  <c r="R345" i="2"/>
  <c r="R341" i="2"/>
  <c r="R337" i="2"/>
  <c r="R333" i="2"/>
  <c r="R329" i="2"/>
  <c r="R325" i="2"/>
  <c r="R346" i="2"/>
  <c r="R343" i="2"/>
  <c r="R339" i="2"/>
  <c r="R335" i="2"/>
  <c r="R331" i="2"/>
  <c r="R327" i="2"/>
  <c r="R323" i="2"/>
  <c r="R318" i="2"/>
  <c r="R314" i="2"/>
  <c r="R310" i="2"/>
  <c r="R306" i="2"/>
  <c r="R302" i="2"/>
  <c r="R298" i="2"/>
  <c r="R294" i="2"/>
  <c r="R290" i="2"/>
  <c r="R286" i="2"/>
  <c r="R282" i="2"/>
  <c r="R278" i="2"/>
  <c r="R274" i="2"/>
  <c r="R344" i="2"/>
  <c r="R340" i="2"/>
  <c r="R336" i="2"/>
  <c r="R332" i="2"/>
  <c r="R328" i="2"/>
  <c r="R324" i="2"/>
  <c r="R321" i="2"/>
  <c r="R317" i="2"/>
  <c r="R313" i="2"/>
  <c r="R309" i="2"/>
  <c r="R305" i="2"/>
  <c r="R301" i="2"/>
  <c r="R297" i="2"/>
  <c r="R293" i="2"/>
  <c r="R289" i="2"/>
  <c r="R285" i="2"/>
  <c r="R281" i="2"/>
  <c r="R277" i="2"/>
  <c r="R269" i="2"/>
  <c r="R265" i="2"/>
  <c r="R261" i="2"/>
  <c r="R257" i="2"/>
  <c r="R253" i="2"/>
  <c r="R249" i="2"/>
  <c r="R245" i="2"/>
  <c r="R241" i="2"/>
  <c r="R319" i="2"/>
  <c r="R315" i="2"/>
  <c r="R311" i="2"/>
  <c r="R307" i="2"/>
  <c r="R303" i="2"/>
  <c r="R299" i="2"/>
  <c r="R295" i="2"/>
  <c r="R291" i="2"/>
  <c r="R287" i="2"/>
  <c r="R283" i="2"/>
  <c r="R279" i="2"/>
  <c r="R276" i="2"/>
  <c r="R275" i="2"/>
  <c r="R273" i="2"/>
  <c r="R272" i="2"/>
  <c r="R271" i="2"/>
  <c r="R268" i="2"/>
  <c r="R264" i="2"/>
  <c r="R260" i="2"/>
  <c r="R256" i="2"/>
  <c r="R252" i="2"/>
  <c r="R248" i="2"/>
  <c r="R244" i="2"/>
  <c r="R240" i="2"/>
  <c r="R270" i="2"/>
  <c r="R266" i="2"/>
  <c r="R262" i="2"/>
  <c r="R258" i="2"/>
  <c r="R254" i="2"/>
  <c r="R250" i="2"/>
  <c r="R246" i="2"/>
  <c r="R242" i="2"/>
  <c r="R237" i="2"/>
  <c r="R233" i="2"/>
  <c r="R229" i="2"/>
  <c r="R225" i="2"/>
  <c r="R221" i="2"/>
  <c r="R217" i="2"/>
  <c r="R213" i="2"/>
  <c r="R209" i="2"/>
  <c r="R205" i="2"/>
  <c r="R201" i="2"/>
  <c r="R197" i="2"/>
  <c r="R193" i="2"/>
  <c r="R189" i="2"/>
  <c r="R185" i="2"/>
  <c r="R181" i="2"/>
  <c r="R177" i="2"/>
  <c r="R173" i="2"/>
  <c r="R169" i="2"/>
  <c r="R165" i="2"/>
  <c r="R161" i="2"/>
  <c r="R157" i="2"/>
  <c r="R153" i="2"/>
  <c r="R149" i="2"/>
  <c r="R145" i="2"/>
  <c r="R141" i="2"/>
  <c r="R137" i="2"/>
  <c r="R267" i="2"/>
  <c r="R263" i="2"/>
  <c r="R259" i="2"/>
  <c r="R255" i="2"/>
  <c r="R251" i="2"/>
  <c r="R247" i="2"/>
  <c r="R243" i="2"/>
  <c r="R239" i="2"/>
  <c r="R238" i="2"/>
  <c r="R236" i="2"/>
  <c r="R232" i="2"/>
  <c r="R228" i="2"/>
  <c r="R224" i="2"/>
  <c r="R220" i="2"/>
  <c r="R216" i="2"/>
  <c r="R212" i="2"/>
  <c r="R208" i="2"/>
  <c r="R204" i="2"/>
  <c r="R200" i="2"/>
  <c r="R196" i="2"/>
  <c r="R192" i="2"/>
  <c r="R188" i="2"/>
  <c r="R184" i="2"/>
  <c r="R180" i="2"/>
  <c r="R176" i="2"/>
  <c r="R172" i="2"/>
  <c r="R168" i="2"/>
  <c r="R164" i="2"/>
  <c r="R160" i="2"/>
  <c r="R156" i="2"/>
  <c r="R235" i="2"/>
  <c r="R231" i="2"/>
  <c r="R227" i="2"/>
  <c r="R223" i="2"/>
  <c r="R219" i="2"/>
  <c r="R215" i="2"/>
  <c r="R211" i="2"/>
  <c r="R207" i="2"/>
  <c r="R203" i="2"/>
  <c r="R199" i="2"/>
  <c r="R195" i="2"/>
  <c r="R191" i="2"/>
  <c r="R187" i="2"/>
  <c r="R183" i="2"/>
  <c r="R179" i="2"/>
  <c r="R175" i="2"/>
  <c r="R171" i="2"/>
  <c r="R167" i="2"/>
  <c r="R163" i="2"/>
  <c r="R159" i="2"/>
  <c r="R155" i="2"/>
  <c r="R132" i="2"/>
  <c r="R128" i="2"/>
  <c r="R124" i="2"/>
  <c r="R120" i="2"/>
  <c r="R116" i="2"/>
  <c r="R112" i="2"/>
  <c r="R108" i="2"/>
  <c r="R320" i="2"/>
  <c r="R312" i="2"/>
  <c r="R304" i="2"/>
  <c r="R296" i="2"/>
  <c r="R288" i="2"/>
  <c r="R280" i="2"/>
  <c r="R152" i="2"/>
  <c r="R151" i="2"/>
  <c r="R150" i="2"/>
  <c r="R148" i="2"/>
  <c r="R147" i="2"/>
  <c r="R146" i="2"/>
  <c r="R144" i="2"/>
  <c r="R143" i="2"/>
  <c r="R142" i="2"/>
  <c r="R140" i="2"/>
  <c r="R139" i="2"/>
  <c r="R138" i="2"/>
  <c r="R136" i="2"/>
  <c r="R135" i="2"/>
  <c r="R131" i="2"/>
  <c r="R127" i="2"/>
  <c r="R123" i="2"/>
  <c r="R119" i="2"/>
  <c r="R115" i="2"/>
  <c r="R111" i="2"/>
  <c r="R107" i="2"/>
  <c r="R103" i="2"/>
  <c r="R99" i="2"/>
  <c r="R95" i="2"/>
  <c r="R91" i="2"/>
  <c r="R87" i="2"/>
  <c r="R83" i="2"/>
  <c r="R79" i="2"/>
  <c r="R316" i="2"/>
  <c r="R300" i="2"/>
  <c r="R284" i="2"/>
  <c r="R222" i="2"/>
  <c r="R206" i="2"/>
  <c r="R190" i="2"/>
  <c r="R174" i="2"/>
  <c r="R158" i="2"/>
  <c r="R73" i="2"/>
  <c r="R69" i="2"/>
  <c r="R65" i="2"/>
  <c r="R61" i="2"/>
  <c r="R57" i="2"/>
  <c r="R308" i="2"/>
  <c r="R234" i="2"/>
  <c r="R218" i="2"/>
  <c r="R202" i="2"/>
  <c r="R186" i="2"/>
  <c r="R170" i="2"/>
  <c r="R76" i="2"/>
  <c r="R72" i="2"/>
  <c r="R68" i="2"/>
  <c r="R64" i="2"/>
  <c r="R292" i="2"/>
  <c r="R230" i="2"/>
  <c r="R214" i="2"/>
  <c r="R198" i="2"/>
  <c r="R182" i="2"/>
  <c r="R166" i="2"/>
  <c r="R133" i="2"/>
  <c r="R129" i="2"/>
  <c r="R125" i="2"/>
  <c r="R121" i="2"/>
  <c r="R117" i="2"/>
  <c r="R113" i="2"/>
  <c r="R109" i="2"/>
  <c r="R75" i="2"/>
  <c r="R71" i="2"/>
  <c r="R67" i="2"/>
  <c r="R63" i="2"/>
  <c r="R226" i="2"/>
  <c r="R162" i="2"/>
  <c r="R130" i="2"/>
  <c r="R122" i="2"/>
  <c r="R114" i="2"/>
  <c r="R106" i="2"/>
  <c r="R105" i="2"/>
  <c r="R104" i="2"/>
  <c r="R102" i="2"/>
  <c r="R101" i="2"/>
  <c r="R100" i="2"/>
  <c r="R98" i="2"/>
  <c r="R97" i="2"/>
  <c r="R96" i="2"/>
  <c r="R94" i="2"/>
  <c r="R93" i="2"/>
  <c r="R92" i="2"/>
  <c r="R90" i="2"/>
  <c r="R89" i="2"/>
  <c r="R88" i="2"/>
  <c r="R86" i="2"/>
  <c r="R85" i="2"/>
  <c r="R84" i="2"/>
  <c r="R82" i="2"/>
  <c r="R81" i="2"/>
  <c r="R80" i="2"/>
  <c r="R78" i="2"/>
  <c r="R77" i="2"/>
  <c r="R53" i="2"/>
  <c r="R49" i="2"/>
  <c r="R45" i="2"/>
  <c r="R41" i="2"/>
  <c r="R37" i="2"/>
  <c r="R33" i="2"/>
  <c r="R29" i="2"/>
  <c r="R25" i="2"/>
  <c r="R21" i="2"/>
  <c r="R17" i="2"/>
  <c r="R13" i="2"/>
  <c r="R9" i="2"/>
  <c r="R5" i="2"/>
  <c r="R210" i="2"/>
  <c r="R52" i="2"/>
  <c r="R48" i="2"/>
  <c r="R44" i="2"/>
  <c r="R40" i="2"/>
  <c r="R36" i="2"/>
  <c r="R32" i="2"/>
  <c r="R28" i="2"/>
  <c r="R24" i="2"/>
  <c r="R20" i="2"/>
  <c r="R16" i="2"/>
  <c r="R12" i="2"/>
  <c r="R8" i="2"/>
  <c r="R4" i="2"/>
  <c r="R194" i="2"/>
  <c r="R134" i="2"/>
  <c r="R126" i="2"/>
  <c r="R118" i="2"/>
  <c r="R110" i="2"/>
  <c r="R74" i="2"/>
  <c r="R70" i="2"/>
  <c r="R66" i="2"/>
  <c r="R62" i="2"/>
  <c r="R60" i="2"/>
  <c r="R59" i="2"/>
  <c r="R58" i="2"/>
  <c r="R56" i="2"/>
  <c r="R55" i="2"/>
  <c r="R51" i="2"/>
  <c r="R47" i="2"/>
  <c r="R43" i="2"/>
  <c r="R39" i="2"/>
  <c r="R35" i="2"/>
  <c r="R31" i="2"/>
  <c r="R27" i="2"/>
  <c r="R23" i="2"/>
  <c r="R19" i="2"/>
  <c r="R15" i="2"/>
  <c r="R11" i="2"/>
  <c r="R7" i="2"/>
  <c r="R3" i="2"/>
  <c r="R178" i="2"/>
  <c r="R154" i="2"/>
  <c r="R54" i="2"/>
  <c r="R50" i="2"/>
  <c r="R46" i="2"/>
  <c r="R42" i="2"/>
  <c r="R38" i="2"/>
  <c r="R34" i="2"/>
  <c r="R30" i="2"/>
  <c r="R26" i="2"/>
  <c r="R22" i="2"/>
  <c r="R18" i="2"/>
  <c r="R14" i="2"/>
  <c r="R10" i="2"/>
  <c r="R6" i="2"/>
  <c r="R2" i="2"/>
  <c r="H408" i="2"/>
  <c r="H407" i="2"/>
  <c r="H405" i="2"/>
  <c r="H401" i="2"/>
  <c r="H397" i="2"/>
  <c r="H393" i="2"/>
  <c r="H406" i="2"/>
  <c r="H404" i="2"/>
  <c r="H403" i="2"/>
  <c r="H400" i="2"/>
  <c r="H399" i="2"/>
  <c r="H396" i="2"/>
  <c r="H395" i="2"/>
  <c r="H392" i="2"/>
  <c r="H391" i="2"/>
  <c r="H389" i="2"/>
  <c r="H402" i="2"/>
  <c r="H398" i="2"/>
  <c r="H394" i="2"/>
  <c r="H388" i="2"/>
  <c r="H384" i="2"/>
  <c r="H380" i="2"/>
  <c r="H376" i="2"/>
  <c r="H390" i="2"/>
  <c r="H387" i="2"/>
  <c r="H386" i="2"/>
  <c r="H383" i="2"/>
  <c r="H379" i="2"/>
  <c r="H375" i="2"/>
  <c r="H382" i="2"/>
  <c r="H378" i="2"/>
  <c r="H373" i="2"/>
  <c r="H369" i="2"/>
  <c r="H365" i="2"/>
  <c r="H361" i="2"/>
  <c r="H357" i="2"/>
  <c r="H353" i="2"/>
  <c r="H349" i="2"/>
  <c r="H372" i="2"/>
  <c r="H368" i="2"/>
  <c r="H364" i="2"/>
  <c r="H360" i="2"/>
  <c r="H356" i="2"/>
  <c r="H352" i="2"/>
  <c r="H348" i="2"/>
  <c r="H385" i="2"/>
  <c r="H381" i="2"/>
  <c r="H377" i="2"/>
  <c r="H371" i="2"/>
  <c r="H367" i="2"/>
  <c r="H363" i="2"/>
  <c r="H359" i="2"/>
  <c r="H355" i="2"/>
  <c r="H351" i="2"/>
  <c r="H347" i="2"/>
  <c r="H344" i="2"/>
  <c r="H340" i="2"/>
  <c r="H336" i="2"/>
  <c r="H332" i="2"/>
  <c r="H328" i="2"/>
  <c r="H324" i="2"/>
  <c r="H343" i="2"/>
  <c r="H339" i="2"/>
  <c r="H335" i="2"/>
  <c r="H331" i="2"/>
  <c r="H327" i="2"/>
  <c r="H323" i="2"/>
  <c r="H346" i="2"/>
  <c r="H320" i="2"/>
  <c r="H316" i="2"/>
  <c r="H312" i="2"/>
  <c r="H308" i="2"/>
  <c r="H304" i="2"/>
  <c r="H300" i="2"/>
  <c r="H296" i="2"/>
  <c r="H292" i="2"/>
  <c r="H288" i="2"/>
  <c r="H284" i="2"/>
  <c r="H280" i="2"/>
  <c r="H276" i="2"/>
  <c r="H272" i="2"/>
  <c r="H374" i="2"/>
  <c r="H366" i="2"/>
  <c r="H358" i="2"/>
  <c r="H350" i="2"/>
  <c r="H319" i="2"/>
  <c r="H315" i="2"/>
  <c r="H311" i="2"/>
  <c r="H307" i="2"/>
  <c r="H303" i="2"/>
  <c r="H299" i="2"/>
  <c r="H295" i="2"/>
  <c r="H291" i="2"/>
  <c r="H287" i="2"/>
  <c r="H283" i="2"/>
  <c r="H279" i="2"/>
  <c r="H362" i="2"/>
  <c r="H321" i="2"/>
  <c r="H318" i="2"/>
  <c r="H317" i="2"/>
  <c r="H314" i="2"/>
  <c r="H313" i="2"/>
  <c r="H310" i="2"/>
  <c r="H309" i="2"/>
  <c r="H306" i="2"/>
  <c r="H305" i="2"/>
  <c r="H302" i="2"/>
  <c r="H301" i="2"/>
  <c r="H298" i="2"/>
  <c r="H297" i="2"/>
  <c r="H294" i="2"/>
  <c r="H293" i="2"/>
  <c r="H290" i="2"/>
  <c r="H289" i="2"/>
  <c r="H286" i="2"/>
  <c r="H285" i="2"/>
  <c r="H282" i="2"/>
  <c r="H281" i="2"/>
  <c r="H278" i="2"/>
  <c r="H275" i="2"/>
  <c r="H274" i="2"/>
  <c r="H271" i="2"/>
  <c r="H267" i="2"/>
  <c r="H263" i="2"/>
  <c r="H259" i="2"/>
  <c r="H255" i="2"/>
  <c r="H251" i="2"/>
  <c r="H247" i="2"/>
  <c r="H243" i="2"/>
  <c r="H239" i="2"/>
  <c r="H342" i="2"/>
  <c r="H338" i="2"/>
  <c r="H334" i="2"/>
  <c r="H330" i="2"/>
  <c r="H326" i="2"/>
  <c r="H322" i="2"/>
  <c r="H277" i="2"/>
  <c r="H273" i="2"/>
  <c r="H270" i="2"/>
  <c r="H266" i="2"/>
  <c r="H262" i="2"/>
  <c r="H258" i="2"/>
  <c r="H254" i="2"/>
  <c r="H250" i="2"/>
  <c r="H246" i="2"/>
  <c r="H242" i="2"/>
  <c r="H235" i="2"/>
  <c r="H231" i="2"/>
  <c r="H227" i="2"/>
  <c r="H223" i="2"/>
  <c r="H219" i="2"/>
  <c r="H215" i="2"/>
  <c r="H211" i="2"/>
  <c r="H207" i="2"/>
  <c r="H203" i="2"/>
  <c r="H199" i="2"/>
  <c r="H195" i="2"/>
  <c r="H191" i="2"/>
  <c r="H187" i="2"/>
  <c r="H183" i="2"/>
  <c r="H179" i="2"/>
  <c r="H175" i="2"/>
  <c r="H171" i="2"/>
  <c r="H167" i="2"/>
  <c r="H163" i="2"/>
  <c r="H159" i="2"/>
  <c r="H155" i="2"/>
  <c r="H151" i="2"/>
  <c r="H147" i="2"/>
  <c r="H143" i="2"/>
  <c r="H139" i="2"/>
  <c r="H354" i="2"/>
  <c r="H345" i="2"/>
  <c r="H337" i="2"/>
  <c r="H329" i="2"/>
  <c r="H238" i="2"/>
  <c r="H234" i="2"/>
  <c r="H230" i="2"/>
  <c r="H226" i="2"/>
  <c r="H222" i="2"/>
  <c r="H218" i="2"/>
  <c r="H214" i="2"/>
  <c r="H210" i="2"/>
  <c r="H206" i="2"/>
  <c r="H202" i="2"/>
  <c r="H198" i="2"/>
  <c r="H194" i="2"/>
  <c r="H190" i="2"/>
  <c r="H186" i="2"/>
  <c r="H182" i="2"/>
  <c r="H178" i="2"/>
  <c r="H174" i="2"/>
  <c r="H170" i="2"/>
  <c r="H166" i="2"/>
  <c r="H162" i="2"/>
  <c r="H158" i="2"/>
  <c r="H154" i="2"/>
  <c r="H269" i="2"/>
  <c r="H265" i="2"/>
  <c r="H261" i="2"/>
  <c r="H257" i="2"/>
  <c r="H253" i="2"/>
  <c r="H249" i="2"/>
  <c r="H245" i="2"/>
  <c r="H241" i="2"/>
  <c r="H153" i="2"/>
  <c r="H150" i="2"/>
  <c r="H149" i="2"/>
  <c r="H146" i="2"/>
  <c r="H145" i="2"/>
  <c r="H142" i="2"/>
  <c r="H141" i="2"/>
  <c r="H138" i="2"/>
  <c r="H137" i="2"/>
  <c r="H134" i="2"/>
  <c r="H130" i="2"/>
  <c r="H126" i="2"/>
  <c r="H122" i="2"/>
  <c r="H118" i="2"/>
  <c r="H114" i="2"/>
  <c r="H110" i="2"/>
  <c r="H370" i="2"/>
  <c r="H341" i="2"/>
  <c r="H325" i="2"/>
  <c r="H152" i="2"/>
  <c r="H148" i="2"/>
  <c r="H144" i="2"/>
  <c r="H140" i="2"/>
  <c r="H133" i="2"/>
  <c r="H129" i="2"/>
  <c r="H125" i="2"/>
  <c r="H121" i="2"/>
  <c r="H117" i="2"/>
  <c r="H113" i="2"/>
  <c r="H109" i="2"/>
  <c r="H105" i="2"/>
  <c r="H101" i="2"/>
  <c r="H97" i="2"/>
  <c r="H93" i="2"/>
  <c r="H89" i="2"/>
  <c r="H85" i="2"/>
  <c r="H81" i="2"/>
  <c r="H77" i="2"/>
  <c r="H236" i="2"/>
  <c r="H232" i="2"/>
  <c r="H228" i="2"/>
  <c r="H224" i="2"/>
  <c r="H220" i="2"/>
  <c r="H216" i="2"/>
  <c r="H212" i="2"/>
  <c r="H208" i="2"/>
  <c r="H204" i="2"/>
  <c r="H200" i="2"/>
  <c r="H196" i="2"/>
  <c r="H192" i="2"/>
  <c r="H188" i="2"/>
  <c r="H184" i="2"/>
  <c r="H180" i="2"/>
  <c r="H176" i="2"/>
  <c r="H172" i="2"/>
  <c r="H168" i="2"/>
  <c r="H164" i="2"/>
  <c r="H160" i="2"/>
  <c r="H156" i="2"/>
  <c r="H264" i="2"/>
  <c r="H256" i="2"/>
  <c r="H248" i="2"/>
  <c r="H240" i="2"/>
  <c r="H237" i="2"/>
  <c r="H233" i="2"/>
  <c r="H229" i="2"/>
  <c r="H225" i="2"/>
  <c r="H221" i="2"/>
  <c r="H217" i="2"/>
  <c r="H213" i="2"/>
  <c r="H209" i="2"/>
  <c r="H205" i="2"/>
  <c r="H201" i="2"/>
  <c r="H197" i="2"/>
  <c r="H193" i="2"/>
  <c r="H189" i="2"/>
  <c r="H185" i="2"/>
  <c r="H181" i="2"/>
  <c r="H177" i="2"/>
  <c r="H173" i="2"/>
  <c r="H169" i="2"/>
  <c r="H165" i="2"/>
  <c r="H161" i="2"/>
  <c r="H157" i="2"/>
  <c r="H268" i="2"/>
  <c r="H75" i="2"/>
  <c r="H71" i="2"/>
  <c r="H67" i="2"/>
  <c r="H63" i="2"/>
  <c r="H59" i="2"/>
  <c r="H55" i="2"/>
  <c r="H260" i="2"/>
  <c r="H136" i="2"/>
  <c r="H135" i="2"/>
  <c r="H132" i="2"/>
  <c r="H131" i="2"/>
  <c r="H128" i="2"/>
  <c r="H127" i="2"/>
  <c r="H124" i="2"/>
  <c r="H123" i="2"/>
  <c r="H120" i="2"/>
  <c r="H119" i="2"/>
  <c r="H116" i="2"/>
  <c r="H115" i="2"/>
  <c r="H112" i="2"/>
  <c r="H111" i="2"/>
  <c r="H108" i="2"/>
  <c r="H107" i="2"/>
  <c r="H74" i="2"/>
  <c r="H70" i="2"/>
  <c r="H66" i="2"/>
  <c r="H62" i="2"/>
  <c r="H333" i="2"/>
  <c r="H252" i="2"/>
  <c r="H104" i="2"/>
  <c r="H103" i="2"/>
  <c r="H100" i="2"/>
  <c r="H99" i="2"/>
  <c r="H96" i="2"/>
  <c r="H95" i="2"/>
  <c r="H92" i="2"/>
  <c r="H91" i="2"/>
  <c r="H88" i="2"/>
  <c r="H87" i="2"/>
  <c r="H84" i="2"/>
  <c r="H83" i="2"/>
  <c r="H80" i="2"/>
  <c r="H79" i="2"/>
  <c r="H73" i="2"/>
  <c r="H69" i="2"/>
  <c r="H65" i="2"/>
  <c r="H76" i="2"/>
  <c r="H72" i="2"/>
  <c r="H68" i="2"/>
  <c r="H64" i="2"/>
  <c r="H51" i="2"/>
  <c r="H47" i="2"/>
  <c r="H43" i="2"/>
  <c r="H39" i="2"/>
  <c r="H35" i="2"/>
  <c r="H31" i="2"/>
  <c r="H27" i="2"/>
  <c r="H23" i="2"/>
  <c r="H19" i="2"/>
  <c r="H15" i="2"/>
  <c r="H11" i="2"/>
  <c r="H7" i="2"/>
  <c r="H3" i="2"/>
  <c r="H61" i="2"/>
  <c r="H58" i="2"/>
  <c r="H57" i="2"/>
  <c r="H54" i="2"/>
  <c r="H50" i="2"/>
  <c r="H46" i="2"/>
  <c r="H42" i="2"/>
  <c r="H38" i="2"/>
  <c r="H34" i="2"/>
  <c r="H30" i="2"/>
  <c r="H26" i="2"/>
  <c r="H22" i="2"/>
  <c r="H18" i="2"/>
  <c r="H14" i="2"/>
  <c r="H10" i="2"/>
  <c r="H6" i="2"/>
  <c r="H2" i="2"/>
  <c r="H244" i="2"/>
  <c r="H106" i="2"/>
  <c r="H102" i="2"/>
  <c r="H98" i="2"/>
  <c r="H94" i="2"/>
  <c r="H90" i="2"/>
  <c r="H86" i="2"/>
  <c r="H82" i="2"/>
  <c r="H78" i="2"/>
  <c r="H60" i="2"/>
  <c r="H56" i="2"/>
  <c r="H53" i="2"/>
  <c r="H49" i="2"/>
  <c r="H45" i="2"/>
  <c r="H41" i="2"/>
  <c r="H37" i="2"/>
  <c r="H33" i="2"/>
  <c r="H29" i="2"/>
  <c r="H25" i="2"/>
  <c r="H21" i="2"/>
  <c r="H17" i="2"/>
  <c r="H13" i="2"/>
  <c r="H9" i="2"/>
  <c r="H5" i="2"/>
  <c r="H52" i="2"/>
  <c r="H48" i="2"/>
  <c r="H44" i="2"/>
  <c r="H40" i="2"/>
  <c r="H36" i="2"/>
  <c r="H32" i="2"/>
  <c r="H28" i="2"/>
  <c r="H24" i="2"/>
  <c r="H20" i="2"/>
  <c r="H16" i="2"/>
  <c r="H12" i="2"/>
  <c r="H8" i="2"/>
  <c r="H4" i="2"/>
  <c r="L408" i="2"/>
  <c r="L407" i="2"/>
  <c r="L405" i="2"/>
  <c r="L401" i="2"/>
  <c r="L397" i="2"/>
  <c r="L393" i="2"/>
  <c r="L389" i="2"/>
  <c r="L404" i="2"/>
  <c r="L403" i="2"/>
  <c r="L400" i="2"/>
  <c r="L399" i="2"/>
  <c r="L396" i="2"/>
  <c r="L395" i="2"/>
  <c r="L392" i="2"/>
  <c r="L391" i="2"/>
  <c r="L388" i="2"/>
  <c r="L384" i="2"/>
  <c r="L380" i="2"/>
  <c r="L376" i="2"/>
  <c r="L406" i="2"/>
  <c r="L402" i="2"/>
  <c r="L398" i="2"/>
  <c r="L394" i="2"/>
  <c r="L383" i="2"/>
  <c r="L379" i="2"/>
  <c r="L375" i="2"/>
  <c r="L382" i="2"/>
  <c r="L378" i="2"/>
  <c r="L387" i="2"/>
  <c r="L386" i="2"/>
  <c r="L373" i="2"/>
  <c r="L369" i="2"/>
  <c r="L365" i="2"/>
  <c r="L361" i="2"/>
  <c r="L357" i="2"/>
  <c r="L353" i="2"/>
  <c r="L349" i="2"/>
  <c r="L385" i="2"/>
  <c r="L381" i="2"/>
  <c r="L377" i="2"/>
  <c r="L372" i="2"/>
  <c r="L368" i="2"/>
  <c r="L364" i="2"/>
  <c r="L360" i="2"/>
  <c r="L356" i="2"/>
  <c r="L352" i="2"/>
  <c r="L348" i="2"/>
  <c r="L390" i="2"/>
  <c r="L371" i="2"/>
  <c r="L367" i="2"/>
  <c r="L363" i="2"/>
  <c r="L359" i="2"/>
  <c r="L355" i="2"/>
  <c r="L351" i="2"/>
  <c r="L347" i="2"/>
  <c r="L346" i="2"/>
  <c r="L344" i="2"/>
  <c r="L340" i="2"/>
  <c r="L336" i="2"/>
  <c r="L332" i="2"/>
  <c r="L328" i="2"/>
  <c r="L324" i="2"/>
  <c r="L374" i="2"/>
  <c r="L370" i="2"/>
  <c r="L366" i="2"/>
  <c r="L362" i="2"/>
  <c r="L358" i="2"/>
  <c r="L354" i="2"/>
  <c r="L350" i="2"/>
  <c r="L343" i="2"/>
  <c r="L339" i="2"/>
  <c r="L335" i="2"/>
  <c r="L331" i="2"/>
  <c r="L327" i="2"/>
  <c r="L323" i="2"/>
  <c r="L320" i="2"/>
  <c r="L316" i="2"/>
  <c r="L312" i="2"/>
  <c r="L308" i="2"/>
  <c r="L304" i="2"/>
  <c r="L300" i="2"/>
  <c r="L296" i="2"/>
  <c r="L292" i="2"/>
  <c r="L288" i="2"/>
  <c r="L284" i="2"/>
  <c r="L280" i="2"/>
  <c r="L276" i="2"/>
  <c r="L272" i="2"/>
  <c r="L345" i="2"/>
  <c r="L342" i="2"/>
  <c r="L341" i="2"/>
  <c r="L338" i="2"/>
  <c r="L337" i="2"/>
  <c r="L334" i="2"/>
  <c r="L333" i="2"/>
  <c r="L330" i="2"/>
  <c r="L329" i="2"/>
  <c r="L326" i="2"/>
  <c r="L325" i="2"/>
  <c r="L322" i="2"/>
  <c r="L319" i="2"/>
  <c r="L315" i="2"/>
  <c r="L311" i="2"/>
  <c r="L307" i="2"/>
  <c r="L303" i="2"/>
  <c r="L299" i="2"/>
  <c r="L295" i="2"/>
  <c r="L291" i="2"/>
  <c r="L287" i="2"/>
  <c r="L283" i="2"/>
  <c r="L279" i="2"/>
  <c r="L267" i="2"/>
  <c r="L263" i="2"/>
  <c r="L259" i="2"/>
  <c r="L255" i="2"/>
  <c r="L251" i="2"/>
  <c r="L247" i="2"/>
  <c r="L243" i="2"/>
  <c r="L239" i="2"/>
  <c r="L275" i="2"/>
  <c r="L274" i="2"/>
  <c r="L271" i="2"/>
  <c r="L270" i="2"/>
  <c r="L266" i="2"/>
  <c r="L262" i="2"/>
  <c r="L258" i="2"/>
  <c r="L254" i="2"/>
  <c r="L250" i="2"/>
  <c r="L246" i="2"/>
  <c r="L242" i="2"/>
  <c r="L238" i="2"/>
  <c r="L318" i="2"/>
  <c r="L314" i="2"/>
  <c r="L310" i="2"/>
  <c r="L306" i="2"/>
  <c r="L302" i="2"/>
  <c r="L298" i="2"/>
  <c r="L294" i="2"/>
  <c r="L290" i="2"/>
  <c r="L286" i="2"/>
  <c r="L282" i="2"/>
  <c r="L278" i="2"/>
  <c r="L235" i="2"/>
  <c r="L231" i="2"/>
  <c r="L227" i="2"/>
  <c r="L223" i="2"/>
  <c r="L219" i="2"/>
  <c r="L215" i="2"/>
  <c r="L211" i="2"/>
  <c r="L207" i="2"/>
  <c r="L203" i="2"/>
  <c r="L199" i="2"/>
  <c r="L195" i="2"/>
  <c r="L191" i="2"/>
  <c r="L187" i="2"/>
  <c r="L183" i="2"/>
  <c r="L179" i="2"/>
  <c r="L175" i="2"/>
  <c r="L171" i="2"/>
  <c r="L167" i="2"/>
  <c r="L163" i="2"/>
  <c r="L159" i="2"/>
  <c r="L155" i="2"/>
  <c r="L151" i="2"/>
  <c r="L147" i="2"/>
  <c r="L143" i="2"/>
  <c r="L139" i="2"/>
  <c r="L269" i="2"/>
  <c r="L268" i="2"/>
  <c r="L265" i="2"/>
  <c r="L264" i="2"/>
  <c r="L261" i="2"/>
  <c r="L260" i="2"/>
  <c r="L257" i="2"/>
  <c r="L256" i="2"/>
  <c r="L253" i="2"/>
  <c r="L252" i="2"/>
  <c r="L249" i="2"/>
  <c r="L248" i="2"/>
  <c r="L245" i="2"/>
  <c r="L244" i="2"/>
  <c r="L241" i="2"/>
  <c r="L240" i="2"/>
  <c r="L234" i="2"/>
  <c r="L230" i="2"/>
  <c r="L226" i="2"/>
  <c r="L222" i="2"/>
  <c r="L218" i="2"/>
  <c r="L214" i="2"/>
  <c r="L210" i="2"/>
  <c r="L206" i="2"/>
  <c r="L202" i="2"/>
  <c r="L198" i="2"/>
  <c r="L194" i="2"/>
  <c r="L190" i="2"/>
  <c r="L186" i="2"/>
  <c r="L182" i="2"/>
  <c r="L178" i="2"/>
  <c r="L174" i="2"/>
  <c r="L170" i="2"/>
  <c r="L166" i="2"/>
  <c r="L162" i="2"/>
  <c r="L158" i="2"/>
  <c r="L154" i="2"/>
  <c r="L237" i="2"/>
  <c r="L236" i="2"/>
  <c r="L233" i="2"/>
  <c r="L232" i="2"/>
  <c r="L229" i="2"/>
  <c r="L228" i="2"/>
  <c r="L225" i="2"/>
  <c r="L224" i="2"/>
  <c r="L221" i="2"/>
  <c r="L220" i="2"/>
  <c r="L217" i="2"/>
  <c r="L216" i="2"/>
  <c r="L213" i="2"/>
  <c r="L212" i="2"/>
  <c r="L209" i="2"/>
  <c r="L208" i="2"/>
  <c r="L205" i="2"/>
  <c r="L204" i="2"/>
  <c r="L201" i="2"/>
  <c r="L200" i="2"/>
  <c r="L197" i="2"/>
  <c r="L196" i="2"/>
  <c r="L193" i="2"/>
  <c r="L192" i="2"/>
  <c r="L189" i="2"/>
  <c r="L188" i="2"/>
  <c r="L185" i="2"/>
  <c r="L184" i="2"/>
  <c r="L181" i="2"/>
  <c r="L180" i="2"/>
  <c r="L177" i="2"/>
  <c r="L176" i="2"/>
  <c r="L173" i="2"/>
  <c r="L172" i="2"/>
  <c r="L169" i="2"/>
  <c r="L168" i="2"/>
  <c r="L165" i="2"/>
  <c r="L164" i="2"/>
  <c r="L161" i="2"/>
  <c r="L160" i="2"/>
  <c r="L157" i="2"/>
  <c r="L156" i="2"/>
  <c r="L134" i="2"/>
  <c r="L130" i="2"/>
  <c r="L126" i="2"/>
  <c r="L122" i="2"/>
  <c r="L118" i="2"/>
  <c r="L114" i="2"/>
  <c r="L110" i="2"/>
  <c r="L317" i="2"/>
  <c r="L309" i="2"/>
  <c r="L301" i="2"/>
  <c r="L293" i="2"/>
  <c r="L285" i="2"/>
  <c r="L277" i="2"/>
  <c r="L273" i="2"/>
  <c r="L153" i="2"/>
  <c r="L150" i="2"/>
  <c r="L149" i="2"/>
  <c r="L146" i="2"/>
  <c r="L145" i="2"/>
  <c r="L142" i="2"/>
  <c r="L141" i="2"/>
  <c r="L138" i="2"/>
  <c r="L137" i="2"/>
  <c r="L133" i="2"/>
  <c r="L129" i="2"/>
  <c r="L125" i="2"/>
  <c r="L121" i="2"/>
  <c r="L117" i="2"/>
  <c r="L113" i="2"/>
  <c r="L109" i="2"/>
  <c r="L105" i="2"/>
  <c r="L101" i="2"/>
  <c r="L97" i="2"/>
  <c r="L93" i="2"/>
  <c r="L89" i="2"/>
  <c r="L85" i="2"/>
  <c r="L81" i="2"/>
  <c r="L77" i="2"/>
  <c r="L321" i="2"/>
  <c r="L305" i="2"/>
  <c r="L289" i="2"/>
  <c r="L313" i="2"/>
  <c r="L297" i="2"/>
  <c r="L281" i="2"/>
  <c r="L152" i="2"/>
  <c r="L106" i="2"/>
  <c r="L102" i="2"/>
  <c r="L98" i="2"/>
  <c r="L94" i="2"/>
  <c r="L90" i="2"/>
  <c r="L86" i="2"/>
  <c r="L82" i="2"/>
  <c r="L78" i="2"/>
  <c r="L75" i="2"/>
  <c r="L71" i="2"/>
  <c r="L67" i="2"/>
  <c r="L63" i="2"/>
  <c r="L59" i="2"/>
  <c r="L55" i="2"/>
  <c r="L74" i="2"/>
  <c r="L70" i="2"/>
  <c r="L66" i="2"/>
  <c r="L62" i="2"/>
  <c r="L73" i="2"/>
  <c r="L69" i="2"/>
  <c r="L65" i="2"/>
  <c r="L51" i="2"/>
  <c r="L47" i="2"/>
  <c r="L43" i="2"/>
  <c r="L39" i="2"/>
  <c r="L35" i="2"/>
  <c r="L31" i="2"/>
  <c r="L27" i="2"/>
  <c r="L23" i="2"/>
  <c r="L19" i="2"/>
  <c r="L15" i="2"/>
  <c r="L11" i="2"/>
  <c r="L7" i="2"/>
  <c r="L3" i="2"/>
  <c r="L148" i="2"/>
  <c r="L132" i="2"/>
  <c r="L131" i="2"/>
  <c r="L124" i="2"/>
  <c r="L123" i="2"/>
  <c r="L116" i="2"/>
  <c r="L115" i="2"/>
  <c r="L108" i="2"/>
  <c r="L107" i="2"/>
  <c r="L104" i="2"/>
  <c r="L103" i="2"/>
  <c r="L100" i="2"/>
  <c r="L99" i="2"/>
  <c r="L96" i="2"/>
  <c r="L95" i="2"/>
  <c r="L92" i="2"/>
  <c r="L91" i="2"/>
  <c r="L88" i="2"/>
  <c r="L87" i="2"/>
  <c r="L84" i="2"/>
  <c r="L83" i="2"/>
  <c r="L80" i="2"/>
  <c r="L79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L2" i="2"/>
  <c r="L61" i="2"/>
  <c r="L58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5" i="2"/>
  <c r="L144" i="2"/>
  <c r="L140" i="2"/>
  <c r="L136" i="2"/>
  <c r="L135" i="2"/>
  <c r="L128" i="2"/>
  <c r="L127" i="2"/>
  <c r="L120" i="2"/>
  <c r="L119" i="2"/>
  <c r="L112" i="2"/>
  <c r="L111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O407" i="2"/>
  <c r="O402" i="2"/>
  <c r="O398" i="2"/>
  <c r="O394" i="2"/>
  <c r="O406" i="2"/>
  <c r="O405" i="2"/>
  <c r="O408" i="2"/>
  <c r="O404" i="2"/>
  <c r="O403" i="2"/>
  <c r="O401" i="2"/>
  <c r="O400" i="2"/>
  <c r="O399" i="2"/>
  <c r="O397" i="2"/>
  <c r="O396" i="2"/>
  <c r="O395" i="2"/>
  <c r="O393" i="2"/>
  <c r="O392" i="2"/>
  <c r="O390" i="2"/>
  <c r="O386" i="2"/>
  <c r="O389" i="2"/>
  <c r="O391" i="2"/>
  <c r="O385" i="2"/>
  <c r="O381" i="2"/>
  <c r="O377" i="2"/>
  <c r="O384" i="2"/>
  <c r="O380" i="2"/>
  <c r="O376" i="2"/>
  <c r="O387" i="2"/>
  <c r="O383" i="2"/>
  <c r="O379" i="2"/>
  <c r="O375" i="2"/>
  <c r="O388" i="2"/>
  <c r="O374" i="2"/>
  <c r="O370" i="2"/>
  <c r="O366" i="2"/>
  <c r="O362" i="2"/>
  <c r="O358" i="2"/>
  <c r="O354" i="2"/>
  <c r="O350" i="2"/>
  <c r="O346" i="2"/>
  <c r="O373" i="2"/>
  <c r="O369" i="2"/>
  <c r="O365" i="2"/>
  <c r="O361" i="2"/>
  <c r="O357" i="2"/>
  <c r="O353" i="2"/>
  <c r="O349" i="2"/>
  <c r="O382" i="2"/>
  <c r="O378" i="2"/>
  <c r="O372" i="2"/>
  <c r="O368" i="2"/>
  <c r="O364" i="2"/>
  <c r="O360" i="2"/>
  <c r="O356" i="2"/>
  <c r="O352" i="2"/>
  <c r="O348" i="2"/>
  <c r="O345" i="2"/>
  <c r="O341" i="2"/>
  <c r="O337" i="2"/>
  <c r="O333" i="2"/>
  <c r="O329" i="2"/>
  <c r="O325" i="2"/>
  <c r="O344" i="2"/>
  <c r="O340" i="2"/>
  <c r="O336" i="2"/>
  <c r="O332" i="2"/>
  <c r="O328" i="2"/>
  <c r="O324" i="2"/>
  <c r="O342" i="2"/>
  <c r="O338" i="2"/>
  <c r="O334" i="2"/>
  <c r="O330" i="2"/>
  <c r="O326" i="2"/>
  <c r="O322" i="2"/>
  <c r="O321" i="2"/>
  <c r="O317" i="2"/>
  <c r="O313" i="2"/>
  <c r="O309" i="2"/>
  <c r="O305" i="2"/>
  <c r="O301" i="2"/>
  <c r="O297" i="2"/>
  <c r="O293" i="2"/>
  <c r="O289" i="2"/>
  <c r="O285" i="2"/>
  <c r="O281" i="2"/>
  <c r="O277" i="2"/>
  <c r="O273" i="2"/>
  <c r="O367" i="2"/>
  <c r="O359" i="2"/>
  <c r="O351" i="2"/>
  <c r="O343" i="2"/>
  <c r="O339" i="2"/>
  <c r="O335" i="2"/>
  <c r="O331" i="2"/>
  <c r="O327" i="2"/>
  <c r="O323" i="2"/>
  <c r="O320" i="2"/>
  <c r="O316" i="2"/>
  <c r="O312" i="2"/>
  <c r="O308" i="2"/>
  <c r="O304" i="2"/>
  <c r="O300" i="2"/>
  <c r="O296" i="2"/>
  <c r="O292" i="2"/>
  <c r="O288" i="2"/>
  <c r="O284" i="2"/>
  <c r="O280" i="2"/>
  <c r="O268" i="2"/>
  <c r="O264" i="2"/>
  <c r="O260" i="2"/>
  <c r="O256" i="2"/>
  <c r="O252" i="2"/>
  <c r="O248" i="2"/>
  <c r="O244" i="2"/>
  <c r="O240" i="2"/>
  <c r="O363" i="2"/>
  <c r="O347" i="2"/>
  <c r="O318" i="2"/>
  <c r="O314" i="2"/>
  <c r="O310" i="2"/>
  <c r="O306" i="2"/>
  <c r="O302" i="2"/>
  <c r="O298" i="2"/>
  <c r="O294" i="2"/>
  <c r="O290" i="2"/>
  <c r="O286" i="2"/>
  <c r="O282" i="2"/>
  <c r="O278" i="2"/>
  <c r="O267" i="2"/>
  <c r="O263" i="2"/>
  <c r="O259" i="2"/>
  <c r="O255" i="2"/>
  <c r="O251" i="2"/>
  <c r="O247" i="2"/>
  <c r="O243" i="2"/>
  <c r="O239" i="2"/>
  <c r="O275" i="2"/>
  <c r="O271" i="2"/>
  <c r="O269" i="2"/>
  <c r="O265" i="2"/>
  <c r="O261" i="2"/>
  <c r="O257" i="2"/>
  <c r="O253" i="2"/>
  <c r="O249" i="2"/>
  <c r="O245" i="2"/>
  <c r="O241" i="2"/>
  <c r="O236" i="2"/>
  <c r="O232" i="2"/>
  <c r="O228" i="2"/>
  <c r="O224" i="2"/>
  <c r="O220" i="2"/>
  <c r="O216" i="2"/>
  <c r="O212" i="2"/>
  <c r="O208" i="2"/>
  <c r="O204" i="2"/>
  <c r="O200" i="2"/>
  <c r="O196" i="2"/>
  <c r="O192" i="2"/>
  <c r="O188" i="2"/>
  <c r="O184" i="2"/>
  <c r="O180" i="2"/>
  <c r="O176" i="2"/>
  <c r="O172" i="2"/>
  <c r="O168" i="2"/>
  <c r="O164" i="2"/>
  <c r="O160" i="2"/>
  <c r="O156" i="2"/>
  <c r="O152" i="2"/>
  <c r="O148" i="2"/>
  <c r="O144" i="2"/>
  <c r="O140" i="2"/>
  <c r="O136" i="2"/>
  <c r="O371" i="2"/>
  <c r="O319" i="2"/>
  <c r="O315" i="2"/>
  <c r="O311" i="2"/>
  <c r="O307" i="2"/>
  <c r="O303" i="2"/>
  <c r="O299" i="2"/>
  <c r="O295" i="2"/>
  <c r="O291" i="2"/>
  <c r="O287" i="2"/>
  <c r="O283" i="2"/>
  <c r="O279" i="2"/>
  <c r="O274" i="2"/>
  <c r="O270" i="2"/>
  <c r="O266" i="2"/>
  <c r="O262" i="2"/>
  <c r="O258" i="2"/>
  <c r="O254" i="2"/>
  <c r="O250" i="2"/>
  <c r="O246" i="2"/>
  <c r="O242" i="2"/>
  <c r="O235" i="2"/>
  <c r="O231" i="2"/>
  <c r="O227" i="2"/>
  <c r="O223" i="2"/>
  <c r="O219" i="2"/>
  <c r="O215" i="2"/>
  <c r="O211" i="2"/>
  <c r="O207" i="2"/>
  <c r="O203" i="2"/>
  <c r="O199" i="2"/>
  <c r="O195" i="2"/>
  <c r="O191" i="2"/>
  <c r="O187" i="2"/>
  <c r="O183" i="2"/>
  <c r="O179" i="2"/>
  <c r="O175" i="2"/>
  <c r="O171" i="2"/>
  <c r="O167" i="2"/>
  <c r="O163" i="2"/>
  <c r="O159" i="2"/>
  <c r="O155" i="2"/>
  <c r="O234" i="2"/>
  <c r="O230" i="2"/>
  <c r="O226" i="2"/>
  <c r="O222" i="2"/>
  <c r="O218" i="2"/>
  <c r="O214" i="2"/>
  <c r="O210" i="2"/>
  <c r="O206" i="2"/>
  <c r="O202" i="2"/>
  <c r="O198" i="2"/>
  <c r="O194" i="2"/>
  <c r="O190" i="2"/>
  <c r="O186" i="2"/>
  <c r="O182" i="2"/>
  <c r="O178" i="2"/>
  <c r="O174" i="2"/>
  <c r="O170" i="2"/>
  <c r="O166" i="2"/>
  <c r="O162" i="2"/>
  <c r="O158" i="2"/>
  <c r="O154" i="2"/>
  <c r="O135" i="2"/>
  <c r="O131" i="2"/>
  <c r="O127" i="2"/>
  <c r="O123" i="2"/>
  <c r="O119" i="2"/>
  <c r="O115" i="2"/>
  <c r="O111" i="2"/>
  <c r="O107" i="2"/>
  <c r="O355" i="2"/>
  <c r="O276" i="2"/>
  <c r="O272" i="2"/>
  <c r="O238" i="2"/>
  <c r="O134" i="2"/>
  <c r="O130" i="2"/>
  <c r="O126" i="2"/>
  <c r="O122" i="2"/>
  <c r="O118" i="2"/>
  <c r="O114" i="2"/>
  <c r="O110" i="2"/>
  <c r="O106" i="2"/>
  <c r="O102" i="2"/>
  <c r="O98" i="2"/>
  <c r="O94" i="2"/>
  <c r="O90" i="2"/>
  <c r="O86" i="2"/>
  <c r="O82" i="2"/>
  <c r="O78" i="2"/>
  <c r="O237" i="2"/>
  <c r="O233" i="2"/>
  <c r="O229" i="2"/>
  <c r="O225" i="2"/>
  <c r="O221" i="2"/>
  <c r="O217" i="2"/>
  <c r="O213" i="2"/>
  <c r="O209" i="2"/>
  <c r="O205" i="2"/>
  <c r="O201" i="2"/>
  <c r="O197" i="2"/>
  <c r="O193" i="2"/>
  <c r="O189" i="2"/>
  <c r="O185" i="2"/>
  <c r="O181" i="2"/>
  <c r="O177" i="2"/>
  <c r="O173" i="2"/>
  <c r="O169" i="2"/>
  <c r="O165" i="2"/>
  <c r="O161" i="2"/>
  <c r="O157" i="2"/>
  <c r="O150" i="2"/>
  <c r="O146" i="2"/>
  <c r="O142" i="2"/>
  <c r="O138" i="2"/>
  <c r="O76" i="2"/>
  <c r="O72" i="2"/>
  <c r="O68" i="2"/>
  <c r="O64" i="2"/>
  <c r="O60" i="2"/>
  <c r="O56" i="2"/>
  <c r="O151" i="2"/>
  <c r="O147" i="2"/>
  <c r="O141" i="2"/>
  <c r="O137" i="2"/>
  <c r="O105" i="2"/>
  <c r="O104" i="2"/>
  <c r="O103" i="2"/>
  <c r="O101" i="2"/>
  <c r="O100" i="2"/>
  <c r="O99" i="2"/>
  <c r="O97" i="2"/>
  <c r="O96" i="2"/>
  <c r="O95" i="2"/>
  <c r="O93" i="2"/>
  <c r="O92" i="2"/>
  <c r="O91" i="2"/>
  <c r="O89" i="2"/>
  <c r="O88" i="2"/>
  <c r="O87" i="2"/>
  <c r="O85" i="2"/>
  <c r="O84" i="2"/>
  <c r="O83" i="2"/>
  <c r="O81" i="2"/>
  <c r="O80" i="2"/>
  <c r="O79" i="2"/>
  <c r="O77" i="2"/>
  <c r="O75" i="2"/>
  <c r="O71" i="2"/>
  <c r="O67" i="2"/>
  <c r="O63" i="2"/>
  <c r="O153" i="2"/>
  <c r="O132" i="2"/>
  <c r="O128" i="2"/>
  <c r="O124" i="2"/>
  <c r="O120" i="2"/>
  <c r="O116" i="2"/>
  <c r="O112" i="2"/>
  <c r="O108" i="2"/>
  <c r="O74" i="2"/>
  <c r="O70" i="2"/>
  <c r="O66" i="2"/>
  <c r="O62" i="2"/>
  <c r="O73" i="2"/>
  <c r="O69" i="2"/>
  <c r="O65" i="2"/>
  <c r="O61" i="2"/>
  <c r="O59" i="2"/>
  <c r="O58" i="2"/>
  <c r="O57" i="2"/>
  <c r="O55" i="2"/>
  <c r="O52" i="2"/>
  <c r="O48" i="2"/>
  <c r="O44" i="2"/>
  <c r="O40" i="2"/>
  <c r="O36" i="2"/>
  <c r="O32" i="2"/>
  <c r="O28" i="2"/>
  <c r="O24" i="2"/>
  <c r="O20" i="2"/>
  <c r="O16" i="2"/>
  <c r="O12" i="2"/>
  <c r="O8" i="2"/>
  <c r="O4" i="2"/>
  <c r="O145" i="2"/>
  <c r="O143" i="2"/>
  <c r="O139" i="2"/>
  <c r="O133" i="2"/>
  <c r="O125" i="2"/>
  <c r="O117" i="2"/>
  <c r="O109" i="2"/>
  <c r="O51" i="2"/>
  <c r="O47" i="2"/>
  <c r="O43" i="2"/>
  <c r="O39" i="2"/>
  <c r="O35" i="2"/>
  <c r="O31" i="2"/>
  <c r="O27" i="2"/>
  <c r="O23" i="2"/>
  <c r="O19" i="2"/>
  <c r="O15" i="2"/>
  <c r="O11" i="2"/>
  <c r="O7" i="2"/>
  <c r="O3" i="2"/>
  <c r="O54" i="2"/>
  <c r="O50" i="2"/>
  <c r="O46" i="2"/>
  <c r="O42" i="2"/>
  <c r="O38" i="2"/>
  <c r="O34" i="2"/>
  <c r="O30" i="2"/>
  <c r="O26" i="2"/>
  <c r="O22" i="2"/>
  <c r="O18" i="2"/>
  <c r="O14" i="2"/>
  <c r="O10" i="2"/>
  <c r="O6" i="2"/>
  <c r="O2" i="2"/>
  <c r="O149" i="2"/>
  <c r="O129" i="2"/>
  <c r="O121" i="2"/>
  <c r="O113" i="2"/>
  <c r="O53" i="2"/>
  <c r="O49" i="2"/>
  <c r="O45" i="2"/>
  <c r="O41" i="2"/>
  <c r="O37" i="2"/>
  <c r="O33" i="2"/>
  <c r="O29" i="2"/>
  <c r="O25" i="2"/>
  <c r="O21" i="2"/>
  <c r="O17" i="2"/>
  <c r="O13" i="2"/>
  <c r="O9" i="2"/>
  <c r="O5" i="2"/>
  <c r="S402" i="2"/>
  <c r="S398" i="2"/>
  <c r="S394" i="2"/>
  <c r="S390" i="2"/>
  <c r="S408" i="2"/>
  <c r="S407" i="2"/>
  <c r="S405" i="2"/>
  <c r="S406" i="2"/>
  <c r="S403" i="2"/>
  <c r="S401" i="2"/>
  <c r="S400" i="2"/>
  <c r="S399" i="2"/>
  <c r="S397" i="2"/>
  <c r="S396" i="2"/>
  <c r="S395" i="2"/>
  <c r="S393" i="2"/>
  <c r="S392" i="2"/>
  <c r="S391" i="2"/>
  <c r="S386" i="2"/>
  <c r="S404" i="2"/>
  <c r="S389" i="2"/>
  <c r="S387" i="2"/>
  <c r="S385" i="2"/>
  <c r="S381" i="2"/>
  <c r="S377" i="2"/>
  <c r="S388" i="2"/>
  <c r="S384" i="2"/>
  <c r="S380" i="2"/>
  <c r="S376" i="2"/>
  <c r="S383" i="2"/>
  <c r="S379" i="2"/>
  <c r="S375" i="2"/>
  <c r="S374" i="2"/>
  <c r="S370" i="2"/>
  <c r="S366" i="2"/>
  <c r="S362" i="2"/>
  <c r="S358" i="2"/>
  <c r="S354" i="2"/>
  <c r="S350" i="2"/>
  <c r="S346" i="2"/>
  <c r="S382" i="2"/>
  <c r="S378" i="2"/>
  <c r="S373" i="2"/>
  <c r="S369" i="2"/>
  <c r="S365" i="2"/>
  <c r="S361" i="2"/>
  <c r="S357" i="2"/>
  <c r="S353" i="2"/>
  <c r="S349" i="2"/>
  <c r="S372" i="2"/>
  <c r="S368" i="2"/>
  <c r="S364" i="2"/>
  <c r="S360" i="2"/>
  <c r="S356" i="2"/>
  <c r="S352" i="2"/>
  <c r="S348" i="2"/>
  <c r="S345" i="2"/>
  <c r="S341" i="2"/>
  <c r="S337" i="2"/>
  <c r="S333" i="2"/>
  <c r="S329" i="2"/>
  <c r="S325" i="2"/>
  <c r="S371" i="2"/>
  <c r="S367" i="2"/>
  <c r="S363" i="2"/>
  <c r="S359" i="2"/>
  <c r="S355" i="2"/>
  <c r="S351" i="2"/>
  <c r="S347" i="2"/>
  <c r="S344" i="2"/>
  <c r="S340" i="2"/>
  <c r="S336" i="2"/>
  <c r="S332" i="2"/>
  <c r="S328" i="2"/>
  <c r="S324" i="2"/>
  <c r="S321" i="2"/>
  <c r="S317" i="2"/>
  <c r="S313" i="2"/>
  <c r="S309" i="2"/>
  <c r="S305" i="2"/>
  <c r="S301" i="2"/>
  <c r="S297" i="2"/>
  <c r="S293" i="2"/>
  <c r="S289" i="2"/>
  <c r="S285" i="2"/>
  <c r="S281" i="2"/>
  <c r="S277" i="2"/>
  <c r="S273" i="2"/>
  <c r="S320" i="2"/>
  <c r="S316" i="2"/>
  <c r="S312" i="2"/>
  <c r="S308" i="2"/>
  <c r="S304" i="2"/>
  <c r="S300" i="2"/>
  <c r="S296" i="2"/>
  <c r="S292" i="2"/>
  <c r="S288" i="2"/>
  <c r="S284" i="2"/>
  <c r="S280" i="2"/>
  <c r="S343" i="2"/>
  <c r="S339" i="2"/>
  <c r="S335" i="2"/>
  <c r="S331" i="2"/>
  <c r="S327" i="2"/>
  <c r="S323" i="2"/>
  <c r="S319" i="2"/>
  <c r="S315" i="2"/>
  <c r="S311" i="2"/>
  <c r="S307" i="2"/>
  <c r="S303" i="2"/>
  <c r="S299" i="2"/>
  <c r="S295" i="2"/>
  <c r="S291" i="2"/>
  <c r="S287" i="2"/>
  <c r="S283" i="2"/>
  <c r="S279" i="2"/>
  <c r="S276" i="2"/>
  <c r="S275" i="2"/>
  <c r="S274" i="2"/>
  <c r="S272" i="2"/>
  <c r="S271" i="2"/>
  <c r="S268" i="2"/>
  <c r="S264" i="2"/>
  <c r="S260" i="2"/>
  <c r="S256" i="2"/>
  <c r="S252" i="2"/>
  <c r="S248" i="2"/>
  <c r="S244" i="2"/>
  <c r="S240" i="2"/>
  <c r="S267" i="2"/>
  <c r="S263" i="2"/>
  <c r="S259" i="2"/>
  <c r="S255" i="2"/>
  <c r="S251" i="2"/>
  <c r="S247" i="2"/>
  <c r="S243" i="2"/>
  <c r="S239" i="2"/>
  <c r="S338" i="2"/>
  <c r="S330" i="2"/>
  <c r="S322" i="2"/>
  <c r="S238" i="2"/>
  <c r="S236" i="2"/>
  <c r="S232" i="2"/>
  <c r="S228" i="2"/>
  <c r="S224" i="2"/>
  <c r="S220" i="2"/>
  <c r="S216" i="2"/>
  <c r="S212" i="2"/>
  <c r="S208" i="2"/>
  <c r="S204" i="2"/>
  <c r="S200" i="2"/>
  <c r="S196" i="2"/>
  <c r="S192" i="2"/>
  <c r="S188" i="2"/>
  <c r="S184" i="2"/>
  <c r="S180" i="2"/>
  <c r="S176" i="2"/>
  <c r="S172" i="2"/>
  <c r="S168" i="2"/>
  <c r="S164" i="2"/>
  <c r="S160" i="2"/>
  <c r="S156" i="2"/>
  <c r="S152" i="2"/>
  <c r="S148" i="2"/>
  <c r="S144" i="2"/>
  <c r="S140" i="2"/>
  <c r="S136" i="2"/>
  <c r="S235" i="2"/>
  <c r="S231" i="2"/>
  <c r="S227" i="2"/>
  <c r="S223" i="2"/>
  <c r="S219" i="2"/>
  <c r="S215" i="2"/>
  <c r="S211" i="2"/>
  <c r="S207" i="2"/>
  <c r="S203" i="2"/>
  <c r="S199" i="2"/>
  <c r="S195" i="2"/>
  <c r="S191" i="2"/>
  <c r="S187" i="2"/>
  <c r="S183" i="2"/>
  <c r="S179" i="2"/>
  <c r="S175" i="2"/>
  <c r="S171" i="2"/>
  <c r="S167" i="2"/>
  <c r="S163" i="2"/>
  <c r="S159" i="2"/>
  <c r="S155" i="2"/>
  <c r="S318" i="2"/>
  <c r="S310" i="2"/>
  <c r="S302" i="2"/>
  <c r="S294" i="2"/>
  <c r="S286" i="2"/>
  <c r="S278" i="2"/>
  <c r="S151" i="2"/>
  <c r="S150" i="2"/>
  <c r="S149" i="2"/>
  <c r="S147" i="2"/>
  <c r="S146" i="2"/>
  <c r="S145" i="2"/>
  <c r="S143" i="2"/>
  <c r="S142" i="2"/>
  <c r="S141" i="2"/>
  <c r="S139" i="2"/>
  <c r="S138" i="2"/>
  <c r="S137" i="2"/>
  <c r="S135" i="2"/>
  <c r="S131" i="2"/>
  <c r="S127" i="2"/>
  <c r="S123" i="2"/>
  <c r="S119" i="2"/>
  <c r="S115" i="2"/>
  <c r="S111" i="2"/>
  <c r="S107" i="2"/>
  <c r="S342" i="2"/>
  <c r="S326" i="2"/>
  <c r="S269" i="2"/>
  <c r="S265" i="2"/>
  <c r="S261" i="2"/>
  <c r="S257" i="2"/>
  <c r="S253" i="2"/>
  <c r="S249" i="2"/>
  <c r="S245" i="2"/>
  <c r="S241" i="2"/>
  <c r="S237" i="2"/>
  <c r="S233" i="2"/>
  <c r="S229" i="2"/>
  <c r="S225" i="2"/>
  <c r="S221" i="2"/>
  <c r="S217" i="2"/>
  <c r="S213" i="2"/>
  <c r="S209" i="2"/>
  <c r="S205" i="2"/>
  <c r="S201" i="2"/>
  <c r="S197" i="2"/>
  <c r="S193" i="2"/>
  <c r="S189" i="2"/>
  <c r="S185" i="2"/>
  <c r="S181" i="2"/>
  <c r="S177" i="2"/>
  <c r="S173" i="2"/>
  <c r="S169" i="2"/>
  <c r="S165" i="2"/>
  <c r="S161" i="2"/>
  <c r="S157" i="2"/>
  <c r="S153" i="2"/>
  <c r="S134" i="2"/>
  <c r="S130" i="2"/>
  <c r="S126" i="2"/>
  <c r="S122" i="2"/>
  <c r="S118" i="2"/>
  <c r="S114" i="2"/>
  <c r="S110" i="2"/>
  <c r="S106" i="2"/>
  <c r="S102" i="2"/>
  <c r="S98" i="2"/>
  <c r="S94" i="2"/>
  <c r="S90" i="2"/>
  <c r="S86" i="2"/>
  <c r="S82" i="2"/>
  <c r="S78" i="2"/>
  <c r="S306" i="2"/>
  <c r="S290" i="2"/>
  <c r="S334" i="2"/>
  <c r="S266" i="2"/>
  <c r="S258" i="2"/>
  <c r="S250" i="2"/>
  <c r="S242" i="2"/>
  <c r="S314" i="2"/>
  <c r="S298" i="2"/>
  <c r="S282" i="2"/>
  <c r="S234" i="2"/>
  <c r="S230" i="2"/>
  <c r="S226" i="2"/>
  <c r="S222" i="2"/>
  <c r="S218" i="2"/>
  <c r="S214" i="2"/>
  <c r="S210" i="2"/>
  <c r="S206" i="2"/>
  <c r="S202" i="2"/>
  <c r="S198" i="2"/>
  <c r="S194" i="2"/>
  <c r="S190" i="2"/>
  <c r="S186" i="2"/>
  <c r="S182" i="2"/>
  <c r="S178" i="2"/>
  <c r="S174" i="2"/>
  <c r="S170" i="2"/>
  <c r="S166" i="2"/>
  <c r="S162" i="2"/>
  <c r="S158" i="2"/>
  <c r="S154" i="2"/>
  <c r="S270" i="2"/>
  <c r="S132" i="2"/>
  <c r="S128" i="2"/>
  <c r="S124" i="2"/>
  <c r="S120" i="2"/>
  <c r="S116" i="2"/>
  <c r="S112" i="2"/>
  <c r="S108" i="2"/>
  <c r="S76" i="2"/>
  <c r="S72" i="2"/>
  <c r="S68" i="2"/>
  <c r="S64" i="2"/>
  <c r="S60" i="2"/>
  <c r="S56" i="2"/>
  <c r="S262" i="2"/>
  <c r="S133" i="2"/>
  <c r="S129" i="2"/>
  <c r="S125" i="2"/>
  <c r="S121" i="2"/>
  <c r="S117" i="2"/>
  <c r="S113" i="2"/>
  <c r="S109" i="2"/>
  <c r="S75" i="2"/>
  <c r="S71" i="2"/>
  <c r="S67" i="2"/>
  <c r="S63" i="2"/>
  <c r="S254" i="2"/>
  <c r="S105" i="2"/>
  <c r="S104" i="2"/>
  <c r="S103" i="2"/>
  <c r="S101" i="2"/>
  <c r="S100" i="2"/>
  <c r="S99" i="2"/>
  <c r="S97" i="2"/>
  <c r="S96" i="2"/>
  <c r="S95" i="2"/>
  <c r="S93" i="2"/>
  <c r="S92" i="2"/>
  <c r="S91" i="2"/>
  <c r="S89" i="2"/>
  <c r="S88" i="2"/>
  <c r="S87" i="2"/>
  <c r="S85" i="2"/>
  <c r="S84" i="2"/>
  <c r="S83" i="2"/>
  <c r="S81" i="2"/>
  <c r="S80" i="2"/>
  <c r="S79" i="2"/>
  <c r="S77" i="2"/>
  <c r="S74" i="2"/>
  <c r="S70" i="2"/>
  <c r="S66" i="2"/>
  <c r="S62" i="2"/>
  <c r="S52" i="2"/>
  <c r="S48" i="2"/>
  <c r="S44" i="2"/>
  <c r="S40" i="2"/>
  <c r="S36" i="2"/>
  <c r="S32" i="2"/>
  <c r="S28" i="2"/>
  <c r="S24" i="2"/>
  <c r="S20" i="2"/>
  <c r="S16" i="2"/>
  <c r="S12" i="2"/>
  <c r="S8" i="2"/>
  <c r="S4" i="2"/>
  <c r="S61" i="2"/>
  <c r="S59" i="2"/>
  <c r="S58" i="2"/>
  <c r="S57" i="2"/>
  <c r="S55" i="2"/>
  <c r="S51" i="2"/>
  <c r="S47" i="2"/>
  <c r="S43" i="2"/>
  <c r="S39" i="2"/>
  <c r="S35" i="2"/>
  <c r="S31" i="2"/>
  <c r="S27" i="2"/>
  <c r="S23" i="2"/>
  <c r="S19" i="2"/>
  <c r="S15" i="2"/>
  <c r="S11" i="2"/>
  <c r="S7" i="2"/>
  <c r="S3" i="2"/>
  <c r="S54" i="2"/>
  <c r="S50" i="2"/>
  <c r="S46" i="2"/>
  <c r="S42" i="2"/>
  <c r="S38" i="2"/>
  <c r="S34" i="2"/>
  <c r="S30" i="2"/>
  <c r="S26" i="2"/>
  <c r="S22" i="2"/>
  <c r="S18" i="2"/>
  <c r="S14" i="2"/>
  <c r="S10" i="2"/>
  <c r="S6" i="2"/>
  <c r="S2" i="2"/>
  <c r="S246" i="2"/>
  <c r="S73" i="2"/>
  <c r="S69" i="2"/>
  <c r="S65" i="2"/>
  <c r="S53" i="2"/>
  <c r="S49" i="2"/>
  <c r="S45" i="2"/>
  <c r="S41" i="2"/>
  <c r="S37" i="2"/>
  <c r="S33" i="2"/>
  <c r="S29" i="2"/>
  <c r="S25" i="2"/>
  <c r="S21" i="2"/>
  <c r="S17" i="2"/>
  <c r="S13" i="2"/>
  <c r="S9" i="2"/>
  <c r="S5" i="2"/>
  <c r="V401" i="2"/>
  <c r="V397" i="2"/>
  <c r="V393" i="2"/>
  <c r="V388" i="2"/>
  <c r="V400" i="2"/>
  <c r="V396" i="2"/>
  <c r="V392" i="2"/>
  <c r="V390" i="2"/>
  <c r="V402" i="2"/>
  <c r="V398" i="2"/>
  <c r="V394" i="2"/>
  <c r="V379" i="2"/>
  <c r="V383" i="2"/>
  <c r="V368" i="2"/>
  <c r="V360" i="2"/>
  <c r="V352" i="2"/>
  <c r="V375" i="2"/>
  <c r="V372" i="2"/>
  <c r="V356" i="2"/>
  <c r="V344" i="2"/>
  <c r="V340" i="2"/>
  <c r="V336" i="2"/>
  <c r="V332" i="2"/>
  <c r="V328" i="2"/>
  <c r="V324" i="2"/>
  <c r="V364" i="2"/>
  <c r="V339" i="2"/>
  <c r="V331" i="2"/>
  <c r="V323" i="2"/>
  <c r="V319" i="2"/>
  <c r="V315" i="2"/>
  <c r="V311" i="2"/>
  <c r="V307" i="2"/>
  <c r="V303" i="2"/>
  <c r="V299" i="2"/>
  <c r="V295" i="2"/>
  <c r="V291" i="2"/>
  <c r="V287" i="2"/>
  <c r="V283" i="2"/>
  <c r="V279" i="2"/>
  <c r="V276" i="2"/>
  <c r="V272" i="2"/>
  <c r="V275" i="2"/>
  <c r="V335" i="2"/>
  <c r="V267" i="2"/>
  <c r="V263" i="2"/>
  <c r="V259" i="2"/>
  <c r="V255" i="2"/>
  <c r="V251" i="2"/>
  <c r="V247" i="2"/>
  <c r="V243" i="2"/>
  <c r="V239" i="2"/>
  <c r="V348" i="2"/>
  <c r="V343" i="2"/>
  <c r="V327" i="2"/>
  <c r="V266" i="2"/>
  <c r="V258" i="2"/>
  <c r="V250" i="2"/>
  <c r="V242" i="2"/>
  <c r="V273" i="2"/>
  <c r="V270" i="2"/>
  <c r="V262" i="2"/>
  <c r="V254" i="2"/>
  <c r="V246" i="2"/>
  <c r="V227" i="2"/>
  <c r="V211" i="2"/>
  <c r="V195" i="2"/>
  <c r="V179" i="2"/>
  <c r="V163" i="2"/>
  <c r="V148" i="2"/>
  <c r="V144" i="2"/>
  <c r="V143" i="2"/>
  <c r="V139" i="2"/>
  <c r="V223" i="2"/>
  <c r="V207" i="2"/>
  <c r="V191" i="2"/>
  <c r="V175" i="2"/>
  <c r="V159" i="2"/>
  <c r="V142" i="2"/>
  <c r="V138" i="2"/>
  <c r="V235" i="2"/>
  <c r="V219" i="2"/>
  <c r="V203" i="2"/>
  <c r="V187" i="2"/>
  <c r="V171" i="2"/>
  <c r="V152" i="2"/>
  <c r="V150" i="2"/>
  <c r="V146" i="2"/>
  <c r="V199" i="2"/>
  <c r="V183" i="2"/>
  <c r="V155" i="2"/>
  <c r="V151" i="2"/>
  <c r="V231" i="2"/>
  <c r="V167" i="2"/>
  <c r="V140" i="2"/>
  <c r="V136" i="2"/>
  <c r="V215" i="2"/>
  <c r="V147" i="2"/>
  <c r="V60" i="2"/>
  <c r="V59" i="2"/>
  <c r="V58" i="2"/>
  <c r="V56" i="2"/>
  <c r="V55" i="2"/>
  <c r="A3" i="3"/>
  <c r="V2" i="2"/>
  <c r="V6" i="2"/>
  <c r="V10" i="2"/>
  <c r="V14" i="2"/>
  <c r="V18" i="2"/>
  <c r="V22" i="2"/>
  <c r="V26" i="2"/>
  <c r="V30" i="2"/>
  <c r="V34" i="2"/>
  <c r="V38" i="2"/>
  <c r="V42" i="2"/>
  <c r="V48" i="2"/>
  <c r="V52" i="2"/>
  <c r="E409" i="3"/>
  <c r="D408" i="2" s="1"/>
  <c r="D410" i="3"/>
  <c r="V3" i="2"/>
  <c r="V5" i="2"/>
  <c r="V7" i="2"/>
  <c r="V9" i="2"/>
  <c r="V11" i="2"/>
  <c r="V13" i="2"/>
  <c r="V15" i="2"/>
  <c r="V17" i="2"/>
  <c r="V19" i="2"/>
  <c r="V21" i="2"/>
  <c r="V23" i="2"/>
  <c r="V25" i="2"/>
  <c r="V27" i="2"/>
  <c r="V29" i="2"/>
  <c r="V31" i="2"/>
  <c r="V33" i="2"/>
  <c r="V35" i="2"/>
  <c r="V37" i="2"/>
  <c r="V39" i="2"/>
  <c r="V41" i="2"/>
  <c r="V43" i="2"/>
  <c r="V45" i="2"/>
  <c r="V49" i="2"/>
  <c r="V53" i="2"/>
  <c r="V46" i="2"/>
  <c r="V50" i="2"/>
  <c r="V54" i="2"/>
  <c r="V62" i="2"/>
  <c r="V66" i="2"/>
  <c r="V70" i="2"/>
  <c r="V74" i="2"/>
  <c r="V4" i="2"/>
  <c r="V8" i="2"/>
  <c r="V12" i="2"/>
  <c r="V16" i="2"/>
  <c r="V20" i="2"/>
  <c r="V24" i="2"/>
  <c r="V28" i="2"/>
  <c r="V32" i="2"/>
  <c r="V36" i="2"/>
  <c r="V40" i="2"/>
  <c r="V44" i="2"/>
  <c r="V47" i="2"/>
  <c r="V51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9" i="2"/>
  <c r="V117" i="2"/>
  <c r="V125" i="2"/>
  <c r="V133" i="2"/>
  <c r="V182" i="2"/>
  <c r="V57" i="2"/>
  <c r="V61" i="2"/>
  <c r="V64" i="2"/>
  <c r="V68" i="2"/>
  <c r="V72" i="2"/>
  <c r="V76" i="2"/>
  <c r="V114" i="2"/>
  <c r="V122" i="2"/>
  <c r="V130" i="2"/>
  <c r="V198" i="2"/>
  <c r="V113" i="2"/>
  <c r="V121" i="2"/>
  <c r="V129" i="2"/>
  <c r="V214" i="2"/>
  <c r="V63" i="2"/>
  <c r="V65" i="2"/>
  <c r="V67" i="2"/>
  <c r="V69" i="2"/>
  <c r="V71" i="2"/>
  <c r="V73" i="2"/>
  <c r="V75" i="2"/>
  <c r="V77" i="2"/>
  <c r="V110" i="2"/>
  <c r="V118" i="2"/>
  <c r="V126" i="2"/>
  <c r="V134" i="2"/>
  <c r="V166" i="2"/>
  <c r="V230" i="2"/>
  <c r="V249" i="2"/>
  <c r="V304" i="2"/>
  <c r="V170" i="2"/>
  <c r="V186" i="2"/>
  <c r="V202" i="2"/>
  <c r="V218" i="2"/>
  <c r="V234" i="2"/>
  <c r="V257" i="2"/>
  <c r="V320" i="2"/>
  <c r="V108" i="2"/>
  <c r="V112" i="2"/>
  <c r="V116" i="2"/>
  <c r="V120" i="2"/>
  <c r="V124" i="2"/>
  <c r="V128" i="2"/>
  <c r="V132" i="2"/>
  <c r="V154" i="2"/>
  <c r="V158" i="2"/>
  <c r="V174" i="2"/>
  <c r="V190" i="2"/>
  <c r="V206" i="2"/>
  <c r="V222" i="2"/>
  <c r="V238" i="2"/>
  <c r="V265" i="2"/>
  <c r="V107" i="2"/>
  <c r="V111" i="2"/>
  <c r="V115" i="2"/>
  <c r="V119" i="2"/>
  <c r="V123" i="2"/>
  <c r="V127" i="2"/>
  <c r="V131" i="2"/>
  <c r="V135" i="2"/>
  <c r="V162" i="2"/>
  <c r="V178" i="2"/>
  <c r="V194" i="2"/>
  <c r="V210" i="2"/>
  <c r="V226" i="2"/>
  <c r="V241" i="2"/>
  <c r="V288" i="2"/>
  <c r="V240" i="2"/>
  <c r="V248" i="2"/>
  <c r="V256" i="2"/>
  <c r="V264" i="2"/>
  <c r="V293" i="2"/>
  <c r="V309" i="2"/>
  <c r="V245" i="2"/>
  <c r="V253" i="2"/>
  <c r="V261" i="2"/>
  <c r="V269" i="2"/>
  <c r="V280" i="2"/>
  <c r="V296" i="2"/>
  <c r="V312" i="2"/>
  <c r="V351" i="2"/>
  <c r="V157" i="2"/>
  <c r="V161" i="2"/>
  <c r="V165" i="2"/>
  <c r="V169" i="2"/>
  <c r="V173" i="2"/>
  <c r="V177" i="2"/>
  <c r="V181" i="2"/>
  <c r="V185" i="2"/>
  <c r="V189" i="2"/>
  <c r="V193" i="2"/>
  <c r="V197" i="2"/>
  <c r="V201" i="2"/>
  <c r="V205" i="2"/>
  <c r="V209" i="2"/>
  <c r="V213" i="2"/>
  <c r="V217" i="2"/>
  <c r="V221" i="2"/>
  <c r="V225" i="2"/>
  <c r="V229" i="2"/>
  <c r="V233" i="2"/>
  <c r="V237" i="2"/>
  <c r="V244" i="2"/>
  <c r="V252" i="2"/>
  <c r="V260" i="2"/>
  <c r="V268" i="2"/>
  <c r="V285" i="2"/>
  <c r="V301" i="2"/>
  <c r="V317" i="2"/>
  <c r="V330" i="2"/>
  <c r="V346" i="2"/>
  <c r="V137" i="2"/>
  <c r="V141" i="2"/>
  <c r="V145" i="2"/>
  <c r="V149" i="2"/>
  <c r="V153" i="2"/>
  <c r="V156" i="2"/>
  <c r="V160" i="2"/>
  <c r="V164" i="2"/>
  <c r="V168" i="2"/>
  <c r="V172" i="2"/>
  <c r="V176" i="2"/>
  <c r="V180" i="2"/>
  <c r="V184" i="2"/>
  <c r="V188" i="2"/>
  <c r="V192" i="2"/>
  <c r="V196" i="2"/>
  <c r="V200" i="2"/>
  <c r="V204" i="2"/>
  <c r="V208" i="2"/>
  <c r="V212" i="2"/>
  <c r="V216" i="2"/>
  <c r="V220" i="2"/>
  <c r="V224" i="2"/>
  <c r="V228" i="2"/>
  <c r="V232" i="2"/>
  <c r="V236" i="2"/>
  <c r="V271" i="2"/>
  <c r="V284" i="2"/>
  <c r="V292" i="2"/>
  <c r="V300" i="2"/>
  <c r="V308" i="2"/>
  <c r="V316" i="2"/>
  <c r="V281" i="2"/>
  <c r="V289" i="2"/>
  <c r="V297" i="2"/>
  <c r="V305" i="2"/>
  <c r="V313" i="2"/>
  <c r="V321" i="2"/>
  <c r="V338" i="2"/>
  <c r="V365" i="2"/>
  <c r="V326" i="2"/>
  <c r="V334" i="2"/>
  <c r="V342" i="2"/>
  <c r="V349" i="2"/>
  <c r="V367" i="2"/>
  <c r="V347" i="2"/>
  <c r="V274" i="2"/>
  <c r="V277" i="2"/>
  <c r="V359" i="2"/>
  <c r="V278" i="2"/>
  <c r="V282" i="2"/>
  <c r="V286" i="2"/>
  <c r="V290" i="2"/>
  <c r="V294" i="2"/>
  <c r="V298" i="2"/>
  <c r="V302" i="2"/>
  <c r="V306" i="2"/>
  <c r="V310" i="2"/>
  <c r="V314" i="2"/>
  <c r="V318" i="2"/>
  <c r="V325" i="2"/>
  <c r="V329" i="2"/>
  <c r="V333" i="2"/>
  <c r="V337" i="2"/>
  <c r="V341" i="2"/>
  <c r="V345" i="2"/>
  <c r="V357" i="2"/>
  <c r="V373" i="2"/>
  <c r="V355" i="2"/>
  <c r="V363" i="2"/>
  <c r="V371" i="2"/>
  <c r="V322" i="2"/>
  <c r="V353" i="2"/>
  <c r="V361" i="2"/>
  <c r="V369" i="2"/>
  <c r="V350" i="2"/>
  <c r="V354" i="2"/>
  <c r="V358" i="2"/>
  <c r="V362" i="2"/>
  <c r="V366" i="2"/>
  <c r="V370" i="2"/>
  <c r="V374" i="2"/>
  <c r="V389" i="2"/>
  <c r="V376" i="2"/>
  <c r="V378" i="2"/>
  <c r="V380" i="2"/>
  <c r="V382" i="2"/>
  <c r="V384" i="2"/>
  <c r="V377" i="2"/>
  <c r="V381" i="2"/>
  <c r="V385" i="2"/>
  <c r="V406" i="2"/>
  <c r="V387" i="2"/>
  <c r="V404" i="2"/>
  <c r="V386" i="2"/>
  <c r="V391" i="2"/>
  <c r="V395" i="2"/>
  <c r="V399" i="2"/>
  <c r="V403" i="2"/>
  <c r="V405" i="2"/>
  <c r="V407" i="2"/>
  <c r="R408" i="2"/>
  <c r="V409" i="2"/>
  <c r="V408" i="2"/>
  <c r="S409" i="2"/>
  <c r="F408" i="2"/>
  <c r="J408" i="2"/>
  <c r="N408" i="2"/>
  <c r="H409" i="2"/>
  <c r="L409" i="2"/>
  <c r="P409" i="2"/>
  <c r="T409" i="2"/>
  <c r="B410" i="2"/>
  <c r="F409" i="2"/>
  <c r="J409" i="2"/>
  <c r="N409" i="2"/>
  <c r="R409" i="2"/>
  <c r="C409" i="2"/>
  <c r="G409" i="2"/>
  <c r="K409" i="2"/>
  <c r="O409" i="2"/>
  <c r="J6" i="2" l="1"/>
  <c r="J22" i="2"/>
  <c r="J38" i="2"/>
  <c r="J54" i="2"/>
  <c r="J134" i="2"/>
  <c r="J15" i="2"/>
  <c r="J31" i="2"/>
  <c r="J47" i="2"/>
  <c r="J8" i="2"/>
  <c r="J24" i="2"/>
  <c r="J40" i="2"/>
  <c r="J62" i="2"/>
  <c r="J5" i="2"/>
  <c r="J21" i="2"/>
  <c r="J37" i="2"/>
  <c r="J53" i="2"/>
  <c r="J59" i="2"/>
  <c r="J63" i="2"/>
  <c r="J113" i="2"/>
  <c r="J133" i="2"/>
  <c r="J76" i="2"/>
  <c r="J82" i="2"/>
  <c r="J89" i="2"/>
  <c r="J97" i="2"/>
  <c r="J104" i="2"/>
  <c r="J57" i="2"/>
  <c r="J144" i="2"/>
  <c r="J158" i="2"/>
  <c r="J178" i="2"/>
  <c r="J202" i="2"/>
  <c r="J222" i="2"/>
  <c r="J152" i="2"/>
  <c r="J91" i="2"/>
  <c r="J111" i="2"/>
  <c r="J131" i="2"/>
  <c r="J124" i="2"/>
  <c r="J159" i="2"/>
  <c r="J179" i="2"/>
  <c r="J203" i="2"/>
  <c r="J223" i="2"/>
  <c r="J156" i="2"/>
  <c r="J180" i="2"/>
  <c r="J200" i="2"/>
  <c r="J220" i="2"/>
  <c r="J243" i="2"/>
  <c r="J263" i="2"/>
  <c r="J284" i="2"/>
  <c r="J308" i="2"/>
  <c r="J141" i="2"/>
  <c r="J161" i="2"/>
  <c r="J185" i="2"/>
  <c r="J205" i="2"/>
  <c r="J225" i="2"/>
  <c r="J250" i="2"/>
  <c r="J270" i="2"/>
  <c r="J244" i="2"/>
  <c r="J268" i="2"/>
  <c r="J295" i="2"/>
  <c r="J315" i="2"/>
  <c r="J253" i="2"/>
  <c r="J281" i="2"/>
  <c r="J301" i="2"/>
  <c r="J324" i="2"/>
  <c r="J344" i="2"/>
  <c r="J290" i="2"/>
  <c r="J314" i="2"/>
  <c r="J335" i="2"/>
  <c r="J364" i="2"/>
  <c r="J341" i="2"/>
  <c r="J330" i="2"/>
  <c r="J353" i="2"/>
  <c r="J379" i="2"/>
  <c r="J358" i="2"/>
  <c r="J375" i="2"/>
  <c r="J367" i="2"/>
  <c r="J388" i="2"/>
  <c r="J382" i="2"/>
  <c r="J394" i="2"/>
  <c r="J401" i="2"/>
  <c r="J395" i="2"/>
  <c r="J404" i="2"/>
  <c r="J398" i="2"/>
  <c r="J393" i="2"/>
  <c r="J386" i="2"/>
  <c r="J381" i="2"/>
  <c r="J380" i="2"/>
  <c r="J363" i="2"/>
  <c r="J347" i="2"/>
  <c r="J366" i="2"/>
  <c r="J350" i="2"/>
  <c r="J373" i="2"/>
  <c r="J357" i="2"/>
  <c r="J338" i="2"/>
  <c r="J322" i="2"/>
  <c r="J337" i="2"/>
  <c r="J372" i="2"/>
  <c r="J343" i="2"/>
  <c r="J327" i="2"/>
  <c r="J310" i="2"/>
  <c r="J294" i="2"/>
  <c r="J278" i="2"/>
  <c r="J336" i="2"/>
  <c r="J321" i="2"/>
  <c r="J305" i="2"/>
  <c r="J289" i="2"/>
  <c r="J265" i="2"/>
  <c r="J249" i="2"/>
  <c r="J319" i="2"/>
  <c r="J303" i="2"/>
  <c r="J287" i="2"/>
  <c r="J264" i="2"/>
  <c r="J248" i="2"/>
  <c r="J277" i="2"/>
  <c r="J262" i="2"/>
  <c r="J246" i="2"/>
  <c r="J229" i="2"/>
  <c r="J213" i="2"/>
  <c r="J197" i="2"/>
  <c r="J181" i="2"/>
  <c r="J165" i="2"/>
  <c r="J149" i="2"/>
  <c r="J320" i="2"/>
  <c r="J304" i="2"/>
  <c r="J288" i="2"/>
  <c r="J272" i="2"/>
  <c r="J255" i="2"/>
  <c r="J239" i="2"/>
  <c r="J224" i="2"/>
  <c r="J208" i="2"/>
  <c r="J192" i="2"/>
  <c r="J176" i="2"/>
  <c r="J160" i="2"/>
  <c r="J231" i="2"/>
  <c r="J215" i="2"/>
  <c r="J199" i="2"/>
  <c r="J183" i="2"/>
  <c r="J167" i="2"/>
  <c r="J136" i="2"/>
  <c r="J120" i="2"/>
  <c r="J135" i="2"/>
  <c r="J119" i="2"/>
  <c r="J103" i="2"/>
  <c r="J87" i="2"/>
  <c r="J271" i="2"/>
  <c r="J230" i="2"/>
  <c r="J214" i="2"/>
  <c r="J198" i="2"/>
  <c r="J182" i="2"/>
  <c r="J166" i="2"/>
  <c r="J146" i="2"/>
  <c r="J140" i="2"/>
  <c r="J61" i="2"/>
  <c r="J106" i="2"/>
  <c r="J101" i="2"/>
  <c r="J96" i="2"/>
  <c r="J90" i="2"/>
  <c r="J85" i="2"/>
  <c r="J80" i="2"/>
  <c r="J72" i="2"/>
  <c r="J138" i="2"/>
  <c r="J121" i="2"/>
  <c r="J75" i="2"/>
  <c r="J147" i="2"/>
  <c r="J60" i="2"/>
  <c r="J10" i="2"/>
  <c r="J26" i="2"/>
  <c r="J42" i="2"/>
  <c r="J110" i="2"/>
  <c r="J3" i="2"/>
  <c r="J19" i="2"/>
  <c r="J35" i="2"/>
  <c r="J51" i="2"/>
  <c r="J12" i="2"/>
  <c r="J28" i="2"/>
  <c r="J44" i="2"/>
  <c r="J114" i="2"/>
  <c r="J9" i="2"/>
  <c r="J25" i="2"/>
  <c r="J41" i="2"/>
  <c r="J55" i="2"/>
  <c r="J66" i="2"/>
  <c r="J67" i="2"/>
  <c r="J117" i="2"/>
  <c r="J142" i="2"/>
  <c r="J77" i="2"/>
  <c r="J84" i="2"/>
  <c r="J92" i="2"/>
  <c r="J98" i="2"/>
  <c r="J105" i="2"/>
  <c r="J65" i="2"/>
  <c r="J148" i="2"/>
  <c r="J162" i="2"/>
  <c r="J186" i="2"/>
  <c r="J206" i="2"/>
  <c r="J226" i="2"/>
  <c r="J275" i="2"/>
  <c r="J95" i="2"/>
  <c r="J115" i="2"/>
  <c r="J108" i="2"/>
  <c r="J128" i="2"/>
  <c r="J163" i="2"/>
  <c r="J187" i="2"/>
  <c r="J207" i="2"/>
  <c r="J227" i="2"/>
  <c r="J164" i="2"/>
  <c r="J184" i="2"/>
  <c r="J204" i="2"/>
  <c r="J228" i="2"/>
  <c r="J247" i="2"/>
  <c r="J267" i="2"/>
  <c r="J292" i="2"/>
  <c r="J312" i="2"/>
  <c r="J145" i="2"/>
  <c r="J169" i="2"/>
  <c r="J189" i="2"/>
  <c r="J209" i="2"/>
  <c r="J233" i="2"/>
  <c r="J254" i="2"/>
  <c r="J273" i="2"/>
  <c r="J252" i="2"/>
  <c r="J279" i="2"/>
  <c r="J299" i="2"/>
  <c r="J360" i="2"/>
  <c r="J257" i="2"/>
  <c r="J285" i="2"/>
  <c r="J309" i="2"/>
  <c r="J328" i="2"/>
  <c r="J274" i="2"/>
  <c r="J298" i="2"/>
  <c r="J318" i="2"/>
  <c r="J339" i="2"/>
  <c r="J325" i="2"/>
  <c r="J345" i="2"/>
  <c r="J334" i="2"/>
  <c r="J361" i="2"/>
  <c r="J383" i="2"/>
  <c r="J362" i="2"/>
  <c r="J351" i="2"/>
  <c r="J371" i="2"/>
  <c r="J377" i="2"/>
  <c r="J390" i="2"/>
  <c r="J396" i="2"/>
  <c r="J402" i="2"/>
  <c r="J399" i="2"/>
  <c r="G394" i="2"/>
  <c r="G390" i="2"/>
  <c r="G401" i="2"/>
  <c r="G396" i="2"/>
  <c r="G391" i="2"/>
  <c r="G377" i="2"/>
  <c r="G387" i="2"/>
  <c r="G382" i="2"/>
  <c r="G366" i="2"/>
  <c r="G350" i="2"/>
  <c r="G369" i="2"/>
  <c r="G353" i="2"/>
  <c r="G364" i="2"/>
  <c r="G348" i="2"/>
  <c r="G359" i="2"/>
  <c r="G345" i="2"/>
  <c r="G329" i="2"/>
  <c r="G336" i="2"/>
  <c r="G342" i="2"/>
  <c r="G326" i="2"/>
  <c r="G313" i="2"/>
  <c r="G297" i="2"/>
  <c r="G281" i="2"/>
  <c r="G339" i="2"/>
  <c r="G323" i="2"/>
  <c r="G308" i="2"/>
  <c r="G292" i="2"/>
  <c r="G268" i="2"/>
  <c r="G252" i="2"/>
  <c r="G318" i="2"/>
  <c r="G302" i="2"/>
  <c r="G286" i="2"/>
  <c r="G275" i="2"/>
  <c r="G267" i="2"/>
  <c r="G251" i="2"/>
  <c r="G269" i="2"/>
  <c r="G253" i="2"/>
  <c r="G236" i="2"/>
  <c r="G220" i="2"/>
  <c r="G204" i="2"/>
  <c r="G188" i="2"/>
  <c r="G172" i="2"/>
  <c r="G156" i="2"/>
  <c r="G140" i="2"/>
  <c r="G258" i="2"/>
  <c r="G242" i="2"/>
  <c r="G223" i="2"/>
  <c r="G207" i="2"/>
  <c r="G191" i="2"/>
  <c r="G175" i="2"/>
  <c r="G159" i="2"/>
  <c r="G230" i="2"/>
  <c r="G214" i="2"/>
  <c r="G198" i="2"/>
  <c r="G182" i="2"/>
  <c r="G166" i="2"/>
  <c r="G135" i="2"/>
  <c r="G119" i="2"/>
  <c r="G319" i="2"/>
  <c r="G287" i="2"/>
  <c r="G150" i="2"/>
  <c r="G145" i="2"/>
  <c r="G139" i="2"/>
  <c r="G130" i="2"/>
  <c r="G114" i="2"/>
  <c r="G98" i="2"/>
  <c r="G82" i="2"/>
  <c r="G283" i="2"/>
  <c r="G213" i="2"/>
  <c r="G76" i="2"/>
  <c r="G60" i="2"/>
  <c r="G193" i="2"/>
  <c r="G71" i="2"/>
  <c r="G221" i="2"/>
  <c r="G157" i="2"/>
  <c r="G124" i="2"/>
  <c r="G108" i="2"/>
  <c r="G217" i="2"/>
  <c r="G52" i="2"/>
  <c r="G36" i="2"/>
  <c r="G20" i="2"/>
  <c r="G4" i="2"/>
  <c r="G43" i="2"/>
  <c r="G27" i="2"/>
  <c r="G11" i="2"/>
  <c r="G407" i="2"/>
  <c r="G408" i="2"/>
  <c r="G386" i="2"/>
  <c r="G400" i="2"/>
  <c r="G395" i="2"/>
  <c r="G389" i="2"/>
  <c r="G384" i="2"/>
  <c r="G383" i="2"/>
  <c r="G378" i="2"/>
  <c r="G362" i="2"/>
  <c r="G346" i="2"/>
  <c r="G365" i="2"/>
  <c r="G349" i="2"/>
  <c r="G360" i="2"/>
  <c r="G371" i="2"/>
  <c r="G355" i="2"/>
  <c r="G341" i="2"/>
  <c r="G325" i="2"/>
  <c r="G332" i="2"/>
  <c r="G338" i="2"/>
  <c r="G322" i="2"/>
  <c r="G309" i="2"/>
  <c r="G293" i="2"/>
  <c r="G277" i="2"/>
  <c r="G335" i="2"/>
  <c r="G320" i="2"/>
  <c r="G304" i="2"/>
  <c r="G288" i="2"/>
  <c r="G264" i="2"/>
  <c r="G248" i="2"/>
  <c r="G314" i="2"/>
  <c r="G298" i="2"/>
  <c r="G282" i="2"/>
  <c r="G274" i="2"/>
  <c r="G263" i="2"/>
  <c r="G247" i="2"/>
  <c r="G265" i="2"/>
  <c r="G249" i="2"/>
  <c r="G232" i="2"/>
  <c r="G216" i="2"/>
  <c r="G200" i="2"/>
  <c r="G184" i="2"/>
  <c r="G168" i="2"/>
  <c r="G152" i="2"/>
  <c r="G270" i="2"/>
  <c r="G254" i="2"/>
  <c r="G235" i="2"/>
  <c r="G219" i="2"/>
  <c r="G203" i="2"/>
  <c r="G187" i="2"/>
  <c r="G171" i="2"/>
  <c r="G155" i="2"/>
  <c r="G226" i="2"/>
  <c r="G210" i="2"/>
  <c r="G194" i="2"/>
  <c r="G178" i="2"/>
  <c r="G162" i="2"/>
  <c r="G131" i="2"/>
  <c r="G115" i="2"/>
  <c r="G311" i="2"/>
  <c r="G279" i="2"/>
  <c r="G149" i="2"/>
  <c r="G143" i="2"/>
  <c r="G138" i="2"/>
  <c r="G126" i="2"/>
  <c r="G110" i="2"/>
  <c r="G94" i="2"/>
  <c r="G78" i="2"/>
  <c r="G307" i="2"/>
  <c r="G197" i="2"/>
  <c r="G72" i="2"/>
  <c r="G56" i="2"/>
  <c r="G177" i="2"/>
  <c r="G67" i="2"/>
  <c r="G205" i="2"/>
  <c r="G136" i="2"/>
  <c r="G120" i="2"/>
  <c r="G74" i="2"/>
  <c r="G129" i="2"/>
  <c r="G48" i="2"/>
  <c r="G32" i="2"/>
  <c r="G16" i="2"/>
  <c r="G201" i="2"/>
  <c r="G39" i="2"/>
  <c r="G23" i="2"/>
  <c r="U410" i="2"/>
  <c r="Q410" i="2"/>
  <c r="M410" i="2"/>
  <c r="I410" i="2"/>
  <c r="E410" i="2"/>
  <c r="A410" i="2"/>
  <c r="V410" i="2" s="1"/>
  <c r="B411" i="2"/>
  <c r="T410" i="2"/>
  <c r="P410" i="2"/>
  <c r="L410" i="2"/>
  <c r="H410" i="2"/>
  <c r="S410" i="2"/>
  <c r="O410" i="2"/>
  <c r="K410" i="2"/>
  <c r="G410" i="2"/>
  <c r="C410" i="2"/>
  <c r="R410" i="2"/>
  <c r="N410" i="2"/>
  <c r="J410" i="2"/>
  <c r="F410" i="2"/>
  <c r="E410" i="3"/>
  <c r="D409" i="2" s="1"/>
  <c r="D411" i="3"/>
  <c r="E446" i="3"/>
  <c r="E96" i="3"/>
  <c r="D95" i="2" s="1"/>
  <c r="E86" i="3"/>
  <c r="D85" i="2" s="1"/>
  <c r="E80" i="3"/>
  <c r="D79" i="2" s="1"/>
  <c r="E76" i="3"/>
  <c r="D75" i="2" s="1"/>
  <c r="E72" i="3"/>
  <c r="D71" i="2" s="1"/>
  <c r="E68" i="3"/>
  <c r="D67" i="2" s="1"/>
  <c r="E64" i="3"/>
  <c r="D63" i="2" s="1"/>
  <c r="E60" i="3"/>
  <c r="D59" i="2" s="1"/>
  <c r="E56" i="3"/>
  <c r="D55" i="2" s="1"/>
  <c r="E52" i="3"/>
  <c r="D51" i="2" s="1"/>
  <c r="E48" i="3"/>
  <c r="D47" i="2" s="1"/>
  <c r="E44" i="3"/>
  <c r="D43" i="2" s="1"/>
  <c r="E40" i="3"/>
  <c r="D39" i="2" s="1"/>
  <c r="E36" i="3"/>
  <c r="D35" i="2" s="1"/>
  <c r="E32" i="3"/>
  <c r="D31" i="2" s="1"/>
  <c r="E28" i="3"/>
  <c r="D27" i="2" s="1"/>
  <c r="E24" i="3"/>
  <c r="D23" i="2" s="1"/>
  <c r="E22" i="3"/>
  <c r="D21" i="2" s="1"/>
  <c r="E16" i="3"/>
  <c r="D15" i="2" s="1"/>
  <c r="E12" i="3"/>
  <c r="D11" i="2" s="1"/>
  <c r="E8" i="3"/>
  <c r="D7" i="2" s="1"/>
  <c r="E4" i="3"/>
  <c r="D3" i="2" s="1"/>
  <c r="E333" i="3"/>
  <c r="D332" i="2" s="1"/>
  <c r="E323" i="3"/>
  <c r="D322" i="2" s="1"/>
  <c r="E317" i="3"/>
  <c r="D316" i="2" s="1"/>
  <c r="E311" i="3"/>
  <c r="D310" i="2" s="1"/>
  <c r="E305" i="3"/>
  <c r="D304" i="2" s="1"/>
  <c r="E301" i="3"/>
  <c r="D300" i="2" s="1"/>
  <c r="E297" i="3"/>
  <c r="D296" i="2" s="1"/>
  <c r="E293" i="3"/>
  <c r="D292" i="2" s="1"/>
  <c r="E289" i="3"/>
  <c r="D288" i="2" s="1"/>
  <c r="E285" i="3"/>
  <c r="D284" i="2" s="1"/>
  <c r="E281" i="3"/>
  <c r="D280" i="2" s="1"/>
  <c r="E277" i="3"/>
  <c r="D276" i="2" s="1"/>
  <c r="E271" i="3"/>
  <c r="D270" i="2" s="1"/>
  <c r="E265" i="3"/>
  <c r="D264" i="2" s="1"/>
  <c r="E259" i="3"/>
  <c r="D258" i="2" s="1"/>
  <c r="E253" i="3"/>
  <c r="D252" i="2" s="1"/>
  <c r="E247" i="3"/>
  <c r="D246" i="2" s="1"/>
  <c r="E241" i="3"/>
  <c r="D240" i="2" s="1"/>
  <c r="E237" i="3"/>
  <c r="D236" i="2" s="1"/>
  <c r="E233" i="3"/>
  <c r="D232" i="2" s="1"/>
  <c r="E229" i="3"/>
  <c r="D228" i="2" s="1"/>
  <c r="E225" i="3"/>
  <c r="D224" i="2" s="1"/>
  <c r="E221" i="3"/>
  <c r="D220" i="2" s="1"/>
  <c r="E217" i="3"/>
  <c r="D216" i="2" s="1"/>
  <c r="E213" i="3"/>
  <c r="D212" i="2" s="1"/>
  <c r="E207" i="3"/>
  <c r="D206" i="2" s="1"/>
  <c r="E201" i="3"/>
  <c r="D200" i="2" s="1"/>
  <c r="E195" i="3"/>
  <c r="D194" i="2" s="1"/>
  <c r="E189" i="3"/>
  <c r="D188" i="2" s="1"/>
  <c r="E183" i="3"/>
  <c r="D182" i="2" s="1"/>
  <c r="E177" i="3"/>
  <c r="D176" i="2" s="1"/>
  <c r="E173" i="3"/>
  <c r="D172" i="2" s="1"/>
  <c r="E167" i="3"/>
  <c r="D166" i="2" s="1"/>
  <c r="E163" i="3"/>
  <c r="D162" i="2" s="1"/>
  <c r="E159" i="3"/>
  <c r="D158" i="2" s="1"/>
  <c r="E155" i="3"/>
  <c r="D154" i="2" s="1"/>
  <c r="E151" i="3"/>
  <c r="D150" i="2" s="1"/>
  <c r="E147" i="3"/>
  <c r="D146" i="2" s="1"/>
  <c r="E141" i="3"/>
  <c r="D140" i="2" s="1"/>
  <c r="E137" i="3"/>
  <c r="D136" i="2" s="1"/>
  <c r="E133" i="3"/>
  <c r="D132" i="2" s="1"/>
  <c r="E127" i="3"/>
  <c r="D126" i="2" s="1"/>
  <c r="E121" i="3"/>
  <c r="D120" i="2" s="1"/>
  <c r="E115" i="3"/>
  <c r="D114" i="2" s="1"/>
  <c r="E109" i="3"/>
  <c r="D108" i="2" s="1"/>
  <c r="E103" i="3"/>
  <c r="D102" i="2" s="1"/>
  <c r="E97" i="3"/>
  <c r="D96" i="2" s="1"/>
  <c r="E91" i="3"/>
  <c r="D90" i="2" s="1"/>
  <c r="E85" i="3"/>
  <c r="D84" i="2" s="1"/>
  <c r="E79" i="3"/>
  <c r="D78" i="2" s="1"/>
  <c r="E73" i="3"/>
  <c r="D72" i="2" s="1"/>
  <c r="E67" i="3"/>
  <c r="D66" i="2" s="1"/>
  <c r="E61" i="3"/>
  <c r="D60" i="2" s="1"/>
  <c r="E55" i="3"/>
  <c r="D54" i="2" s="1"/>
  <c r="E49" i="3"/>
  <c r="D48" i="2" s="1"/>
  <c r="E45" i="3"/>
  <c r="D44" i="2" s="1"/>
  <c r="E41" i="3"/>
  <c r="D40" i="2" s="1"/>
  <c r="E37" i="3"/>
  <c r="D36" i="2" s="1"/>
  <c r="E33" i="3"/>
  <c r="D32" i="2" s="1"/>
  <c r="E29" i="3"/>
  <c r="D28" i="2" s="1"/>
  <c r="E25" i="3"/>
  <c r="D24" i="2" s="1"/>
  <c r="E21" i="3"/>
  <c r="D20" i="2" s="1"/>
  <c r="E17" i="3"/>
  <c r="D16" i="2" s="1"/>
  <c r="E11" i="3"/>
  <c r="D10" i="2" s="1"/>
  <c r="E5" i="3"/>
  <c r="D4" i="2" s="1"/>
  <c r="E444" i="3"/>
  <c r="E442" i="3"/>
  <c r="E440" i="3"/>
  <c r="E438" i="3"/>
  <c r="E436" i="3"/>
  <c r="E434" i="3"/>
  <c r="E432" i="3"/>
  <c r="E430" i="3"/>
  <c r="E428" i="3"/>
  <c r="E426" i="3"/>
  <c r="E424" i="3"/>
  <c r="E408" i="3"/>
  <c r="D407" i="2" s="1"/>
  <c r="E406" i="3"/>
  <c r="D405" i="2" s="1"/>
  <c r="E404" i="3"/>
  <c r="D403" i="2" s="1"/>
  <c r="E402" i="3"/>
  <c r="D401" i="2" s="1"/>
  <c r="E400" i="3"/>
  <c r="D399" i="2" s="1"/>
  <c r="E398" i="3"/>
  <c r="D397" i="2" s="1"/>
  <c r="E396" i="3"/>
  <c r="D395" i="2" s="1"/>
  <c r="E394" i="3"/>
  <c r="D393" i="2" s="1"/>
  <c r="E392" i="3"/>
  <c r="D391" i="2" s="1"/>
  <c r="E390" i="3"/>
  <c r="D389" i="2" s="1"/>
  <c r="E388" i="3"/>
  <c r="D387" i="2" s="1"/>
  <c r="E386" i="3"/>
  <c r="D385" i="2" s="1"/>
  <c r="E384" i="3"/>
  <c r="D383" i="2" s="1"/>
  <c r="E382" i="3"/>
  <c r="D381" i="2" s="1"/>
  <c r="E380" i="3"/>
  <c r="D379" i="2" s="1"/>
  <c r="E378" i="3"/>
  <c r="D377" i="2" s="1"/>
  <c r="E376" i="3"/>
  <c r="D375" i="2" s="1"/>
  <c r="E374" i="3"/>
  <c r="D373" i="2" s="1"/>
  <c r="E372" i="3"/>
  <c r="D371" i="2" s="1"/>
  <c r="E370" i="3"/>
  <c r="D369" i="2" s="1"/>
  <c r="E368" i="3"/>
  <c r="D367" i="2" s="1"/>
  <c r="E366" i="3"/>
  <c r="D365" i="2" s="1"/>
  <c r="E364" i="3"/>
  <c r="D363" i="2" s="1"/>
  <c r="E362" i="3"/>
  <c r="D361" i="2" s="1"/>
  <c r="E360" i="3"/>
  <c r="D359" i="2" s="1"/>
  <c r="E358" i="3"/>
  <c r="D357" i="2" s="1"/>
  <c r="E356" i="3"/>
  <c r="D355" i="2" s="1"/>
  <c r="E354" i="3"/>
  <c r="D353" i="2" s="1"/>
  <c r="E352" i="3"/>
  <c r="D351" i="2" s="1"/>
  <c r="E350" i="3"/>
  <c r="D349" i="2" s="1"/>
  <c r="E348" i="3"/>
  <c r="D347" i="2" s="1"/>
  <c r="E346" i="3"/>
  <c r="D345" i="2" s="1"/>
  <c r="E344" i="3"/>
  <c r="D343" i="2" s="1"/>
  <c r="E342" i="3"/>
  <c r="D341" i="2" s="1"/>
  <c r="E340" i="3"/>
  <c r="D339" i="2" s="1"/>
  <c r="E338" i="3"/>
  <c r="D337" i="2" s="1"/>
  <c r="E336" i="3"/>
  <c r="D335" i="2" s="1"/>
  <c r="E334" i="3"/>
  <c r="D333" i="2" s="1"/>
  <c r="E332" i="3"/>
  <c r="D331" i="2" s="1"/>
  <c r="E330" i="3"/>
  <c r="D329" i="2" s="1"/>
  <c r="E328" i="3"/>
  <c r="D327" i="2" s="1"/>
  <c r="E326" i="3"/>
  <c r="D325" i="2" s="1"/>
  <c r="E324" i="3"/>
  <c r="D323" i="2" s="1"/>
  <c r="E322" i="3"/>
  <c r="D321" i="2" s="1"/>
  <c r="E320" i="3"/>
  <c r="D319" i="2" s="1"/>
  <c r="E318" i="3"/>
  <c r="D317" i="2" s="1"/>
  <c r="E316" i="3"/>
  <c r="D315" i="2" s="1"/>
  <c r="E314" i="3"/>
  <c r="D313" i="2" s="1"/>
  <c r="E312" i="3"/>
  <c r="D311" i="2" s="1"/>
  <c r="E310" i="3"/>
  <c r="D309" i="2" s="1"/>
  <c r="E308" i="3"/>
  <c r="D307" i="2" s="1"/>
  <c r="E306" i="3"/>
  <c r="D305" i="2" s="1"/>
  <c r="E304" i="3"/>
  <c r="D303" i="2" s="1"/>
  <c r="E302" i="3"/>
  <c r="D301" i="2" s="1"/>
  <c r="E300" i="3"/>
  <c r="D299" i="2" s="1"/>
  <c r="E298" i="3"/>
  <c r="D297" i="2" s="1"/>
  <c r="E296" i="3"/>
  <c r="D295" i="2" s="1"/>
  <c r="E294" i="3"/>
  <c r="D293" i="2" s="1"/>
  <c r="E292" i="3"/>
  <c r="D291" i="2" s="1"/>
  <c r="E290" i="3"/>
  <c r="D289" i="2" s="1"/>
  <c r="E288" i="3"/>
  <c r="D287" i="2" s="1"/>
  <c r="E286" i="3"/>
  <c r="D285" i="2" s="1"/>
  <c r="E284" i="3"/>
  <c r="D283" i="2" s="1"/>
  <c r="E282" i="3"/>
  <c r="D281" i="2" s="1"/>
  <c r="E280" i="3"/>
  <c r="D279" i="2" s="1"/>
  <c r="E278" i="3"/>
  <c r="D277" i="2" s="1"/>
  <c r="E276" i="3"/>
  <c r="D275" i="2" s="1"/>
  <c r="E274" i="3"/>
  <c r="D273" i="2" s="1"/>
  <c r="E272" i="3"/>
  <c r="D271" i="2" s="1"/>
  <c r="E270" i="3"/>
  <c r="D269" i="2" s="1"/>
  <c r="E268" i="3"/>
  <c r="D267" i="2" s="1"/>
  <c r="E266" i="3"/>
  <c r="D265" i="2" s="1"/>
  <c r="E264" i="3"/>
  <c r="D263" i="2" s="1"/>
  <c r="E262" i="3"/>
  <c r="D261" i="2" s="1"/>
  <c r="E260" i="3"/>
  <c r="D259" i="2" s="1"/>
  <c r="E258" i="3"/>
  <c r="D257" i="2" s="1"/>
  <c r="E256" i="3"/>
  <c r="D255" i="2" s="1"/>
  <c r="E254" i="3"/>
  <c r="D253" i="2" s="1"/>
  <c r="E252" i="3"/>
  <c r="D251" i="2" s="1"/>
  <c r="E250" i="3"/>
  <c r="D249" i="2" s="1"/>
  <c r="E248" i="3"/>
  <c r="D247" i="2" s="1"/>
  <c r="E246" i="3"/>
  <c r="D245" i="2" s="1"/>
  <c r="E244" i="3"/>
  <c r="D243" i="2" s="1"/>
  <c r="E242" i="3"/>
  <c r="D241" i="2" s="1"/>
  <c r="E240" i="3"/>
  <c r="D239" i="2" s="1"/>
  <c r="E238" i="3"/>
  <c r="D237" i="2" s="1"/>
  <c r="E236" i="3"/>
  <c r="D235" i="2" s="1"/>
  <c r="E234" i="3"/>
  <c r="D233" i="2" s="1"/>
  <c r="E232" i="3"/>
  <c r="D231" i="2" s="1"/>
  <c r="E230" i="3"/>
  <c r="D229" i="2" s="1"/>
  <c r="E228" i="3"/>
  <c r="D227" i="2" s="1"/>
  <c r="E226" i="3"/>
  <c r="D225" i="2" s="1"/>
  <c r="E224" i="3"/>
  <c r="D223" i="2" s="1"/>
  <c r="E222" i="3"/>
  <c r="D221" i="2" s="1"/>
  <c r="E220" i="3"/>
  <c r="D219" i="2" s="1"/>
  <c r="E218" i="3"/>
  <c r="D217" i="2" s="1"/>
  <c r="E216" i="3"/>
  <c r="D215" i="2" s="1"/>
  <c r="E214" i="3"/>
  <c r="D213" i="2" s="1"/>
  <c r="E212" i="3"/>
  <c r="D211" i="2" s="1"/>
  <c r="E210" i="3"/>
  <c r="D209" i="2" s="1"/>
  <c r="E208" i="3"/>
  <c r="D207" i="2" s="1"/>
  <c r="E206" i="3"/>
  <c r="D205" i="2" s="1"/>
  <c r="E204" i="3"/>
  <c r="D203" i="2" s="1"/>
  <c r="E202" i="3"/>
  <c r="D201" i="2" s="1"/>
  <c r="E200" i="3"/>
  <c r="D199" i="2" s="1"/>
  <c r="E198" i="3"/>
  <c r="D197" i="2" s="1"/>
  <c r="E196" i="3"/>
  <c r="D195" i="2" s="1"/>
  <c r="E194" i="3"/>
  <c r="D193" i="2" s="1"/>
  <c r="E192" i="3"/>
  <c r="D191" i="2" s="1"/>
  <c r="E190" i="3"/>
  <c r="D189" i="2" s="1"/>
  <c r="E188" i="3"/>
  <c r="D187" i="2" s="1"/>
  <c r="E186" i="3"/>
  <c r="D185" i="2" s="1"/>
  <c r="E184" i="3"/>
  <c r="D183" i="2" s="1"/>
  <c r="E182" i="3"/>
  <c r="D181" i="2" s="1"/>
  <c r="E180" i="3"/>
  <c r="D179" i="2" s="1"/>
  <c r="E178" i="3"/>
  <c r="D177" i="2" s="1"/>
  <c r="E176" i="3"/>
  <c r="D175" i="2" s="1"/>
  <c r="E174" i="3"/>
  <c r="D173" i="2" s="1"/>
  <c r="E172" i="3"/>
  <c r="D171" i="2" s="1"/>
  <c r="E170" i="3"/>
  <c r="D169" i="2" s="1"/>
  <c r="E168" i="3"/>
  <c r="D167" i="2" s="1"/>
  <c r="E166" i="3"/>
  <c r="D165" i="2" s="1"/>
  <c r="E164" i="3"/>
  <c r="D163" i="2" s="1"/>
  <c r="E162" i="3"/>
  <c r="D161" i="2" s="1"/>
  <c r="E160" i="3"/>
  <c r="D159" i="2" s="1"/>
  <c r="E158" i="3"/>
  <c r="D157" i="2" s="1"/>
  <c r="E156" i="3"/>
  <c r="D155" i="2" s="1"/>
  <c r="E154" i="3"/>
  <c r="D153" i="2" s="1"/>
  <c r="E152" i="3"/>
  <c r="D151" i="2" s="1"/>
  <c r="E150" i="3"/>
  <c r="D149" i="2" s="1"/>
  <c r="E148" i="3"/>
  <c r="D147" i="2" s="1"/>
  <c r="E146" i="3"/>
  <c r="D145" i="2" s="1"/>
  <c r="E144" i="3"/>
  <c r="D143" i="2" s="1"/>
  <c r="E142" i="3"/>
  <c r="D141" i="2" s="1"/>
  <c r="E140" i="3"/>
  <c r="D139" i="2" s="1"/>
  <c r="E138" i="3"/>
  <c r="D137" i="2" s="1"/>
  <c r="E136" i="3"/>
  <c r="D135" i="2" s="1"/>
  <c r="E134" i="3"/>
  <c r="D133" i="2" s="1"/>
  <c r="E132" i="3"/>
  <c r="D131" i="2" s="1"/>
  <c r="E130" i="3"/>
  <c r="D129" i="2" s="1"/>
  <c r="E128" i="3"/>
  <c r="D127" i="2" s="1"/>
  <c r="E126" i="3"/>
  <c r="D125" i="2" s="1"/>
  <c r="E124" i="3"/>
  <c r="D123" i="2" s="1"/>
  <c r="E122" i="3"/>
  <c r="D121" i="2" s="1"/>
  <c r="E120" i="3"/>
  <c r="D119" i="2" s="1"/>
  <c r="E118" i="3"/>
  <c r="D117" i="2" s="1"/>
  <c r="E116" i="3"/>
  <c r="D115" i="2" s="1"/>
  <c r="E114" i="3"/>
  <c r="D113" i="2" s="1"/>
  <c r="E112" i="3"/>
  <c r="D111" i="2" s="1"/>
  <c r="E110" i="3"/>
  <c r="D109" i="2" s="1"/>
  <c r="E108" i="3"/>
  <c r="D107" i="2" s="1"/>
  <c r="E106" i="3"/>
  <c r="D105" i="2" s="1"/>
  <c r="E104" i="3"/>
  <c r="D103" i="2" s="1"/>
  <c r="E102" i="3"/>
  <c r="D101" i="2" s="1"/>
  <c r="E100" i="3"/>
  <c r="D99" i="2" s="1"/>
  <c r="E98" i="3"/>
  <c r="D97" i="2" s="1"/>
  <c r="E94" i="3"/>
  <c r="D93" i="2" s="1"/>
  <c r="E92" i="3"/>
  <c r="D91" i="2" s="1"/>
  <c r="E90" i="3"/>
  <c r="D89" i="2" s="1"/>
  <c r="E88" i="3"/>
  <c r="D87" i="2" s="1"/>
  <c r="E84" i="3"/>
  <c r="D83" i="2" s="1"/>
  <c r="E82" i="3"/>
  <c r="D81" i="2" s="1"/>
  <c r="E78" i="3"/>
  <c r="D77" i="2" s="1"/>
  <c r="E74" i="3"/>
  <c r="D73" i="2" s="1"/>
  <c r="E70" i="3"/>
  <c r="D69" i="2" s="1"/>
  <c r="E66" i="3"/>
  <c r="D65" i="2" s="1"/>
  <c r="E62" i="3"/>
  <c r="D61" i="2" s="1"/>
  <c r="E58" i="3"/>
  <c r="D57" i="2" s="1"/>
  <c r="E54" i="3"/>
  <c r="D53" i="2" s="1"/>
  <c r="E50" i="3"/>
  <c r="D49" i="2" s="1"/>
  <c r="E46" i="3"/>
  <c r="D45" i="2" s="1"/>
  <c r="E42" i="3"/>
  <c r="D41" i="2" s="1"/>
  <c r="E38" i="3"/>
  <c r="D37" i="2" s="1"/>
  <c r="E34" i="3"/>
  <c r="D33" i="2" s="1"/>
  <c r="E30" i="3"/>
  <c r="D29" i="2" s="1"/>
  <c r="E26" i="3"/>
  <c r="D25" i="2" s="1"/>
  <c r="E20" i="3"/>
  <c r="D19" i="2" s="1"/>
  <c r="E18" i="3"/>
  <c r="D17" i="2" s="1"/>
  <c r="E14" i="3"/>
  <c r="D13" i="2" s="1"/>
  <c r="E10" i="3"/>
  <c r="D9" i="2" s="1"/>
  <c r="E6" i="3"/>
  <c r="D5" i="2" s="1"/>
  <c r="E331" i="3"/>
  <c r="D330" i="2" s="1"/>
  <c r="E321" i="3"/>
  <c r="D320" i="2" s="1"/>
  <c r="E315" i="3"/>
  <c r="D314" i="2" s="1"/>
  <c r="E309" i="3"/>
  <c r="D308" i="2" s="1"/>
  <c r="E303" i="3"/>
  <c r="D302" i="2" s="1"/>
  <c r="E299" i="3"/>
  <c r="D298" i="2" s="1"/>
  <c r="E295" i="3"/>
  <c r="D294" i="2" s="1"/>
  <c r="E291" i="3"/>
  <c r="D290" i="2" s="1"/>
  <c r="E287" i="3"/>
  <c r="D286" i="2" s="1"/>
  <c r="E283" i="3"/>
  <c r="D282" i="2" s="1"/>
  <c r="E279" i="3"/>
  <c r="D278" i="2" s="1"/>
  <c r="E275" i="3"/>
  <c r="D274" i="2" s="1"/>
  <c r="E269" i="3"/>
  <c r="D268" i="2" s="1"/>
  <c r="E263" i="3"/>
  <c r="D262" i="2" s="1"/>
  <c r="E257" i="3"/>
  <c r="D256" i="2" s="1"/>
  <c r="E251" i="3"/>
  <c r="D250" i="2" s="1"/>
  <c r="E245" i="3"/>
  <c r="D244" i="2" s="1"/>
  <c r="E239" i="3"/>
  <c r="D238" i="2" s="1"/>
  <c r="E235" i="3"/>
  <c r="D234" i="2" s="1"/>
  <c r="E231" i="3"/>
  <c r="D230" i="2" s="1"/>
  <c r="E227" i="3"/>
  <c r="D226" i="2" s="1"/>
  <c r="E223" i="3"/>
  <c r="D222" i="2" s="1"/>
  <c r="E219" i="3"/>
  <c r="D218" i="2" s="1"/>
  <c r="E215" i="3"/>
  <c r="D214" i="2" s="1"/>
  <c r="E211" i="3"/>
  <c r="D210" i="2" s="1"/>
  <c r="E205" i="3"/>
  <c r="D204" i="2" s="1"/>
  <c r="E199" i="3"/>
  <c r="D198" i="2" s="1"/>
  <c r="E193" i="3"/>
  <c r="D192" i="2" s="1"/>
  <c r="E187" i="3"/>
  <c r="D186" i="2" s="1"/>
  <c r="E181" i="3"/>
  <c r="D180" i="2" s="1"/>
  <c r="E175" i="3"/>
  <c r="D174" i="2" s="1"/>
  <c r="E171" i="3"/>
  <c r="D170" i="2" s="1"/>
  <c r="E169" i="3"/>
  <c r="D168" i="2" s="1"/>
  <c r="E165" i="3"/>
  <c r="D164" i="2" s="1"/>
  <c r="E161" i="3"/>
  <c r="D160" i="2" s="1"/>
  <c r="E157" i="3"/>
  <c r="D156" i="2" s="1"/>
  <c r="E153" i="3"/>
  <c r="D152" i="2" s="1"/>
  <c r="E149" i="3"/>
  <c r="D148" i="2" s="1"/>
  <c r="E143" i="3"/>
  <c r="D142" i="2" s="1"/>
  <c r="E139" i="3"/>
  <c r="D138" i="2" s="1"/>
  <c r="E135" i="3"/>
  <c r="D134" i="2" s="1"/>
  <c r="E129" i="3"/>
  <c r="D128" i="2" s="1"/>
  <c r="E123" i="3"/>
  <c r="D122" i="2" s="1"/>
  <c r="E117" i="3"/>
  <c r="D116" i="2" s="1"/>
  <c r="E111" i="3"/>
  <c r="D110" i="2" s="1"/>
  <c r="E105" i="3"/>
  <c r="D104" i="2" s="1"/>
  <c r="E99" i="3"/>
  <c r="D98" i="2" s="1"/>
  <c r="E93" i="3"/>
  <c r="D92" i="2" s="1"/>
  <c r="E87" i="3"/>
  <c r="D86" i="2" s="1"/>
  <c r="E81" i="3"/>
  <c r="D80" i="2" s="1"/>
  <c r="E75" i="3"/>
  <c r="D74" i="2" s="1"/>
  <c r="E69" i="3"/>
  <c r="D68" i="2" s="1"/>
  <c r="E63" i="3"/>
  <c r="D62" i="2" s="1"/>
  <c r="E57" i="3"/>
  <c r="D56" i="2" s="1"/>
  <c r="E51" i="3"/>
  <c r="D50" i="2" s="1"/>
  <c r="E47" i="3"/>
  <c r="D46" i="2" s="1"/>
  <c r="E43" i="3"/>
  <c r="D42" i="2" s="1"/>
  <c r="E39" i="3"/>
  <c r="D38" i="2" s="1"/>
  <c r="E35" i="3"/>
  <c r="D34" i="2" s="1"/>
  <c r="E31" i="3"/>
  <c r="D30" i="2" s="1"/>
  <c r="E27" i="3"/>
  <c r="D26" i="2" s="1"/>
  <c r="E23" i="3"/>
  <c r="D22" i="2" s="1"/>
  <c r="E19" i="3"/>
  <c r="D18" i="2" s="1"/>
  <c r="E13" i="3"/>
  <c r="D12" i="2" s="1"/>
  <c r="E7" i="3"/>
  <c r="D6" i="2" s="1"/>
  <c r="E433" i="3"/>
  <c r="E431" i="3"/>
  <c r="E429" i="3"/>
  <c r="E427" i="3"/>
  <c r="E425" i="3"/>
  <c r="E423" i="3"/>
  <c r="E407" i="3"/>
  <c r="D406" i="2" s="1"/>
  <c r="E405" i="3"/>
  <c r="D404" i="2" s="1"/>
  <c r="E403" i="3"/>
  <c r="D402" i="2" s="1"/>
  <c r="E401" i="3"/>
  <c r="D400" i="2" s="1"/>
  <c r="E399" i="3"/>
  <c r="D398" i="2" s="1"/>
  <c r="E397" i="3"/>
  <c r="D396" i="2" s="1"/>
  <c r="E395" i="3"/>
  <c r="D394" i="2" s="1"/>
  <c r="E393" i="3"/>
  <c r="D392" i="2" s="1"/>
  <c r="E391" i="3"/>
  <c r="D390" i="2" s="1"/>
  <c r="E389" i="3"/>
  <c r="D388" i="2" s="1"/>
  <c r="E387" i="3"/>
  <c r="D386" i="2" s="1"/>
  <c r="E385" i="3"/>
  <c r="D384" i="2" s="1"/>
  <c r="E383" i="3"/>
  <c r="D382" i="2" s="1"/>
  <c r="E381" i="3"/>
  <c r="D380" i="2" s="1"/>
  <c r="E379" i="3"/>
  <c r="D378" i="2" s="1"/>
  <c r="E377" i="3"/>
  <c r="D376" i="2" s="1"/>
  <c r="E375" i="3"/>
  <c r="D374" i="2" s="1"/>
  <c r="E373" i="3"/>
  <c r="D372" i="2" s="1"/>
  <c r="E371" i="3"/>
  <c r="D370" i="2" s="1"/>
  <c r="E369" i="3"/>
  <c r="D368" i="2" s="1"/>
  <c r="E367" i="3"/>
  <c r="D366" i="2" s="1"/>
  <c r="E365" i="3"/>
  <c r="D364" i="2" s="1"/>
  <c r="E363" i="3"/>
  <c r="D362" i="2" s="1"/>
  <c r="E361" i="3"/>
  <c r="D360" i="2" s="1"/>
  <c r="E359" i="3"/>
  <c r="D358" i="2" s="1"/>
  <c r="E357" i="3"/>
  <c r="D356" i="2" s="1"/>
  <c r="E355" i="3"/>
  <c r="D354" i="2" s="1"/>
  <c r="E353" i="3"/>
  <c r="D352" i="2" s="1"/>
  <c r="E351" i="3"/>
  <c r="D350" i="2" s="1"/>
  <c r="E349" i="3"/>
  <c r="D348" i="2" s="1"/>
  <c r="E347" i="3"/>
  <c r="D346" i="2" s="1"/>
  <c r="E345" i="3"/>
  <c r="D344" i="2" s="1"/>
  <c r="E343" i="3"/>
  <c r="D342" i="2" s="1"/>
  <c r="E341" i="3"/>
  <c r="D340" i="2" s="1"/>
  <c r="E339" i="3"/>
  <c r="D338" i="2" s="1"/>
  <c r="E337" i="3"/>
  <c r="D336" i="2" s="1"/>
  <c r="E335" i="3"/>
  <c r="D334" i="2" s="1"/>
  <c r="E329" i="3"/>
  <c r="D328" i="2" s="1"/>
  <c r="E327" i="3"/>
  <c r="D326" i="2" s="1"/>
  <c r="E325" i="3"/>
  <c r="D324" i="2" s="1"/>
  <c r="E319" i="3"/>
  <c r="D318" i="2" s="1"/>
  <c r="E313" i="3"/>
  <c r="D312" i="2" s="1"/>
  <c r="E307" i="3"/>
  <c r="D306" i="2" s="1"/>
  <c r="E273" i="3"/>
  <c r="D272" i="2" s="1"/>
  <c r="E267" i="3"/>
  <c r="D266" i="2" s="1"/>
  <c r="E261" i="3"/>
  <c r="D260" i="2" s="1"/>
  <c r="E255" i="3"/>
  <c r="D254" i="2" s="1"/>
  <c r="E249" i="3"/>
  <c r="D248" i="2" s="1"/>
  <c r="E243" i="3"/>
  <c r="D242" i="2" s="1"/>
  <c r="E209" i="3"/>
  <c r="D208" i="2" s="1"/>
  <c r="E203" i="3"/>
  <c r="D202" i="2" s="1"/>
  <c r="E197" i="3"/>
  <c r="D196" i="2" s="1"/>
  <c r="E191" i="3"/>
  <c r="D190" i="2" s="1"/>
  <c r="E185" i="3"/>
  <c r="D184" i="2" s="1"/>
  <c r="E179" i="3"/>
  <c r="D178" i="2" s="1"/>
  <c r="E145" i="3"/>
  <c r="D144" i="2" s="1"/>
  <c r="E131" i="3"/>
  <c r="D130" i="2" s="1"/>
  <c r="E125" i="3"/>
  <c r="D124" i="2" s="1"/>
  <c r="E119" i="3"/>
  <c r="D118" i="2" s="1"/>
  <c r="E113" i="3"/>
  <c r="D112" i="2" s="1"/>
  <c r="E107" i="3"/>
  <c r="D106" i="2" s="1"/>
  <c r="E101" i="3"/>
  <c r="D100" i="2" s="1"/>
  <c r="E95" i="3"/>
  <c r="D94" i="2" s="1"/>
  <c r="E89" i="3"/>
  <c r="D88" i="2" s="1"/>
  <c r="E83" i="3"/>
  <c r="D82" i="2" s="1"/>
  <c r="E77" i="3"/>
  <c r="D76" i="2" s="1"/>
  <c r="E71" i="3"/>
  <c r="D70" i="2" s="1"/>
  <c r="E65" i="3"/>
  <c r="D64" i="2" s="1"/>
  <c r="E59" i="3"/>
  <c r="D58" i="2" s="1"/>
  <c r="E53" i="3"/>
  <c r="D52" i="2" s="1"/>
  <c r="E15" i="3"/>
  <c r="D14" i="2" s="1"/>
  <c r="E9" i="3"/>
  <c r="D8" i="2" s="1"/>
  <c r="E3" i="3"/>
  <c r="D2" i="2" s="1"/>
  <c r="E445" i="3"/>
  <c r="E443" i="3"/>
  <c r="E441" i="3"/>
  <c r="E439" i="3"/>
  <c r="E437" i="3"/>
  <c r="E435" i="3"/>
  <c r="D412" i="3" l="1"/>
  <c r="E411" i="3"/>
  <c r="D410" i="2" s="1"/>
  <c r="B412" i="2"/>
  <c r="T411" i="2"/>
  <c r="P411" i="2"/>
  <c r="L411" i="2"/>
  <c r="H411" i="2"/>
  <c r="C411" i="2"/>
  <c r="S411" i="2"/>
  <c r="O411" i="2"/>
  <c r="K411" i="2"/>
  <c r="G411" i="2"/>
  <c r="R411" i="2"/>
  <c r="N411" i="2"/>
  <c r="J411" i="2"/>
  <c r="F411" i="2"/>
  <c r="A411" i="2"/>
  <c r="V411" i="2" s="1"/>
  <c r="U411" i="2"/>
  <c r="Q411" i="2"/>
  <c r="M411" i="2"/>
  <c r="I411" i="2"/>
  <c r="E411" i="2"/>
  <c r="S412" i="2" l="1"/>
  <c r="O412" i="2"/>
  <c r="K412" i="2"/>
  <c r="G412" i="2"/>
  <c r="R412" i="2"/>
  <c r="N412" i="2"/>
  <c r="J412" i="2"/>
  <c r="F412" i="2"/>
  <c r="A412" i="2"/>
  <c r="V412" i="2" s="1"/>
  <c r="U412" i="2"/>
  <c r="Q412" i="2"/>
  <c r="M412" i="2"/>
  <c r="I412" i="2"/>
  <c r="E412" i="2"/>
  <c r="B413" i="2"/>
  <c r="T412" i="2"/>
  <c r="P412" i="2"/>
  <c r="L412" i="2"/>
  <c r="H412" i="2"/>
  <c r="C412" i="2"/>
  <c r="E412" i="3"/>
  <c r="D413" i="3"/>
  <c r="R413" i="2" l="1"/>
  <c r="N413" i="2"/>
  <c r="J413" i="2"/>
  <c r="F413" i="2"/>
  <c r="A413" i="2"/>
  <c r="V413" i="2" s="1"/>
  <c r="U413" i="2"/>
  <c r="Q413" i="2"/>
  <c r="M413" i="2"/>
  <c r="I413" i="2"/>
  <c r="E413" i="2"/>
  <c r="B414" i="2"/>
  <c r="T413" i="2"/>
  <c r="P413" i="2"/>
  <c r="L413" i="2"/>
  <c r="H413" i="2"/>
  <c r="C413" i="2"/>
  <c r="S413" i="2"/>
  <c r="O413" i="2"/>
  <c r="K413" i="2"/>
  <c r="G413" i="2"/>
  <c r="E413" i="3"/>
  <c r="D414" i="3"/>
  <c r="U414" i="2" l="1"/>
  <c r="Q414" i="2"/>
  <c r="M414" i="2"/>
  <c r="I414" i="2"/>
  <c r="E414" i="2"/>
  <c r="B415" i="2"/>
  <c r="T414" i="2"/>
  <c r="P414" i="2"/>
  <c r="L414" i="2"/>
  <c r="H414" i="2"/>
  <c r="C414" i="2"/>
  <c r="S414" i="2"/>
  <c r="O414" i="2"/>
  <c r="K414" i="2"/>
  <c r="G414" i="2"/>
  <c r="R414" i="2"/>
  <c r="N414" i="2"/>
  <c r="J414" i="2"/>
  <c r="F414" i="2"/>
  <c r="A414" i="2"/>
  <c r="V414" i="2" s="1"/>
  <c r="E414" i="3"/>
  <c r="D415" i="3"/>
  <c r="D416" i="3" l="1"/>
  <c r="E415" i="3"/>
  <c r="B416" i="2"/>
  <c r="T415" i="2"/>
  <c r="P415" i="2"/>
  <c r="L415" i="2"/>
  <c r="H415" i="2"/>
  <c r="C415" i="2"/>
  <c r="S415" i="2"/>
  <c r="O415" i="2"/>
  <c r="K415" i="2"/>
  <c r="G415" i="2"/>
  <c r="R415" i="2"/>
  <c r="N415" i="2"/>
  <c r="J415" i="2"/>
  <c r="F415" i="2"/>
  <c r="A415" i="2"/>
  <c r="V415" i="2" s="1"/>
  <c r="U415" i="2"/>
  <c r="Q415" i="2"/>
  <c r="M415" i="2"/>
  <c r="I415" i="2"/>
  <c r="E415" i="2"/>
  <c r="S416" i="2" l="1"/>
  <c r="O416" i="2"/>
  <c r="K416" i="2"/>
  <c r="G416" i="2"/>
  <c r="R416" i="2"/>
  <c r="N416" i="2"/>
  <c r="J416" i="2"/>
  <c r="F416" i="2"/>
  <c r="A416" i="2"/>
  <c r="V416" i="2" s="1"/>
  <c r="U416" i="2"/>
  <c r="Q416" i="2"/>
  <c r="M416" i="2"/>
  <c r="I416" i="2"/>
  <c r="E416" i="2"/>
  <c r="B417" i="2"/>
  <c r="T416" i="2"/>
  <c r="P416" i="2"/>
  <c r="L416" i="2"/>
  <c r="H416" i="2"/>
  <c r="C416" i="2"/>
  <c r="E416" i="3"/>
  <c r="D417" i="3"/>
  <c r="R417" i="2" l="1"/>
  <c r="N417" i="2"/>
  <c r="J417" i="2"/>
  <c r="F417" i="2"/>
  <c r="A417" i="2"/>
  <c r="V417" i="2" s="1"/>
  <c r="U417" i="2"/>
  <c r="Q417" i="2"/>
  <c r="M417" i="2"/>
  <c r="I417" i="2"/>
  <c r="E417" i="2"/>
  <c r="B418" i="2"/>
  <c r="T417" i="2"/>
  <c r="P417" i="2"/>
  <c r="L417" i="2"/>
  <c r="H417" i="2"/>
  <c r="C417" i="2"/>
  <c r="S417" i="2"/>
  <c r="O417" i="2"/>
  <c r="K417" i="2"/>
  <c r="G417" i="2"/>
  <c r="E417" i="3"/>
  <c r="D418" i="3"/>
  <c r="U418" i="2" l="1"/>
  <c r="Q418" i="2"/>
  <c r="M418" i="2"/>
  <c r="I418" i="2"/>
  <c r="E418" i="2"/>
  <c r="B419" i="2"/>
  <c r="T418" i="2"/>
  <c r="P418" i="2"/>
  <c r="L418" i="2"/>
  <c r="H418" i="2"/>
  <c r="C418" i="2"/>
  <c r="S418" i="2"/>
  <c r="O418" i="2"/>
  <c r="K418" i="2"/>
  <c r="G418" i="2"/>
  <c r="R418" i="2"/>
  <c r="N418" i="2"/>
  <c r="J418" i="2"/>
  <c r="F418" i="2"/>
  <c r="A418" i="2"/>
  <c r="V418" i="2" s="1"/>
  <c r="E418" i="3"/>
  <c r="D419" i="3"/>
  <c r="D420" i="3" l="1"/>
  <c r="E419" i="3"/>
  <c r="B420" i="2"/>
  <c r="T419" i="2"/>
  <c r="P419" i="2"/>
  <c r="L419" i="2"/>
  <c r="H419" i="2"/>
  <c r="C419" i="2"/>
  <c r="S419" i="2"/>
  <c r="O419" i="2"/>
  <c r="K419" i="2"/>
  <c r="G419" i="2"/>
  <c r="R419" i="2"/>
  <c r="N419" i="2"/>
  <c r="J419" i="2"/>
  <c r="F419" i="2"/>
  <c r="A419" i="2"/>
  <c r="V419" i="2" s="1"/>
  <c r="U419" i="2"/>
  <c r="Q419" i="2"/>
  <c r="M419" i="2"/>
  <c r="I419" i="2"/>
  <c r="E419" i="2"/>
  <c r="S420" i="2" l="1"/>
  <c r="O420" i="2"/>
  <c r="K420" i="2"/>
  <c r="G420" i="2"/>
  <c r="R420" i="2"/>
  <c r="N420" i="2"/>
  <c r="J420" i="2"/>
  <c r="F420" i="2"/>
  <c r="A420" i="2"/>
  <c r="V420" i="2" s="1"/>
  <c r="U420" i="2"/>
  <c r="Q420" i="2"/>
  <c r="M420" i="2"/>
  <c r="I420" i="2"/>
  <c r="E420" i="2"/>
  <c r="B421" i="2"/>
  <c r="T420" i="2"/>
  <c r="P420" i="2"/>
  <c r="L420" i="2"/>
  <c r="H420" i="2"/>
  <c r="C420" i="2"/>
  <c r="E420" i="3"/>
  <c r="D421" i="3"/>
  <c r="R421" i="2" l="1"/>
  <c r="N421" i="2"/>
  <c r="J421" i="2"/>
  <c r="F421" i="2"/>
  <c r="A421" i="2"/>
  <c r="V421" i="2" s="1"/>
  <c r="U421" i="2"/>
  <c r="Q421" i="2"/>
  <c r="M421" i="2"/>
  <c r="I421" i="2"/>
  <c r="E421" i="2"/>
  <c r="T421" i="2"/>
  <c r="P421" i="2"/>
  <c r="L421" i="2"/>
  <c r="H421" i="2"/>
  <c r="C421" i="2"/>
  <c r="S421" i="2"/>
  <c r="O421" i="2"/>
  <c r="K421" i="2"/>
  <c r="G421" i="2"/>
  <c r="E421" i="3"/>
  <c r="D422" i="3"/>
  <c r="E4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<sst xmlns="http://schemas.openxmlformats.org/spreadsheetml/2006/main" count="87" uniqueCount="67">
  <si>
    <t>DOEASCRD Index</t>
  </si>
  <si>
    <t>US Variação no Estoque Total de Crude Oil</t>
  </si>
  <si>
    <t>CROMUS Index</t>
  </si>
  <si>
    <t>Produção Crude Oil Mil Barris por dia</t>
  </si>
  <si>
    <t>CHENCOIL Index</t>
  </si>
  <si>
    <t>China Produção de Crude Oil (NBSC) (10,000 mn ton)</t>
  </si>
  <si>
    <t>OPCRTOTL Index</t>
  </si>
  <si>
    <t>Opep Produção Crude Oil (Estimativa Bloomberg) mil barris por dia</t>
  </si>
  <si>
    <t>Arábia Saudita Produção Crude Oil</t>
  </si>
  <si>
    <t>OPCRSAUD Index</t>
  </si>
  <si>
    <t>OPCRIRAN Index</t>
  </si>
  <si>
    <t>OPCRNIGE Index</t>
  </si>
  <si>
    <t>OPCRVENZ Index</t>
  </si>
  <si>
    <t>OPCRUAE Index</t>
  </si>
  <si>
    <t>OPCRKUWA Index</t>
  </si>
  <si>
    <t>OPCRLIBY Index</t>
  </si>
  <si>
    <t>OPCRIRAQ Index</t>
  </si>
  <si>
    <t>Emirados Árabes Produção Crude Oil</t>
  </si>
  <si>
    <t>Iraq Produção Crude Oil</t>
  </si>
  <si>
    <t>Líbia Produção Crude Oil</t>
  </si>
  <si>
    <t>Nigeria Pordução Crude Oil</t>
  </si>
  <si>
    <t>Venezuela Produção Crude Oil</t>
  </si>
  <si>
    <t>Kuwait Produção Crude Oil</t>
  </si>
  <si>
    <t>DWOPSAUD Index</t>
  </si>
  <si>
    <t>DWOPRUSS Index</t>
  </si>
  <si>
    <t>DWOPVENE Index</t>
  </si>
  <si>
    <t>DWOPIRAQ Index</t>
  </si>
  <si>
    <t xml:space="preserve">Irã Produção Crude Oil </t>
  </si>
  <si>
    <t>DWOPIRAN Index</t>
  </si>
  <si>
    <t>DWOPLIBY Index</t>
  </si>
  <si>
    <t>DWOPNIGE Index</t>
  </si>
  <si>
    <t>Arábia Saudita (Crude Oil Production)</t>
  </si>
  <si>
    <t>Iraq (crude oil production)</t>
  </si>
  <si>
    <t>Líbia (crude oil production)</t>
  </si>
  <si>
    <t>Nigéria (crude oil production)</t>
  </si>
  <si>
    <t>Rússia (crude oil production)</t>
  </si>
  <si>
    <t>Venezuela (crude oil production)</t>
  </si>
  <si>
    <t>China (crude oil production)</t>
  </si>
  <si>
    <t>DWOPCHIN Index</t>
  </si>
  <si>
    <t>Brent Preço US$/Barril</t>
  </si>
  <si>
    <t>CO1 Comdty</t>
  </si>
  <si>
    <t>Doe_US_Invent</t>
  </si>
  <si>
    <t>Irã (crude oil production)</t>
  </si>
  <si>
    <t>Doe_ira_prod</t>
  </si>
  <si>
    <t>Doe_AS_prod</t>
  </si>
  <si>
    <t>Doe_US_Prod</t>
  </si>
  <si>
    <t>Doe_irq_prod</t>
  </si>
  <si>
    <t>Doe_lib_prod</t>
  </si>
  <si>
    <t>Doe_nig_prod</t>
  </si>
  <si>
    <t>rus_prod</t>
  </si>
  <si>
    <t>Doe_Ven_prod</t>
  </si>
  <si>
    <t>Doe_chi_prod</t>
  </si>
  <si>
    <t>Bbg_opep_prod</t>
  </si>
  <si>
    <t>Bbg_SA_prod</t>
  </si>
  <si>
    <t>Bbg_ira_prod</t>
  </si>
  <si>
    <t>Bbg_irq_prod</t>
  </si>
  <si>
    <t>Bbg_lib_prod</t>
  </si>
  <si>
    <t>Bbg_nig_prod</t>
  </si>
  <si>
    <t>Bbg_ven_prod</t>
  </si>
  <si>
    <t>Bbg_kuw_prod</t>
  </si>
  <si>
    <t>P_brent</t>
  </si>
  <si>
    <t>Bbg_Ae_prod</t>
  </si>
  <si>
    <t>Doe_rus_prod</t>
  </si>
  <si>
    <t>Estoques de Petróleo Bruto (Semanal)</t>
  </si>
  <si>
    <t>Estoques de Petróleo Bruto (Mensal)</t>
  </si>
  <si>
    <t>Brazil (Crude Oil Productin)</t>
  </si>
  <si>
    <t>DWOPBRAZ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</si>
</sst>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164" fontId="0" fillId="0" borderId="0" xfId="0" applyNumberFormat="1"/>
    <xf numFmtId="164" fontId="0" fillId="4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BDH|13459487163171251892</stp>
        <tr r="AD3" s="1"/>
      </tp>
      <tp t="e">
        <v>#N/A</v>
        <stp/>
        <stp>BDH|11337339691415266009</stp>
        <tr r="V3" s="1"/>
      </tp>
      <tp t="e">
        <v>#N/A</v>
        <stp/>
        <stp>BDH|15663322242434758913</stp>
        <tr r="P3" s="1"/>
      </tp>
      <tp t="e">
        <v>#N/A</v>
        <stp/>
        <stp>BDH|11878227189774041059</stp>
        <tr r="AH3" s="1"/>
      </tp>
      <tp t="e">
        <v>#N/A</v>
        <stp/>
        <stp>BDH|17802998939346814729</stp>
        <tr r="AN3" s="1"/>
      </tp>
      <tp t="e">
        <v>#N/A</v>
        <stp/>
        <stp>BDH|13986495488717103457</stp>
        <tr r="AB3" s="1"/>
      </tp>
      <tp t="e">
        <v>#N/A</v>
        <stp/>
        <stp>BDH|16592806160402601727</stp>
        <tr r="X3" s="1"/>
      </tp>
      <tp t="e">
        <v>#N/A</v>
        <stp/>
        <stp>BDH|14701418844926642039</stp>
        <tr r="B3" s="3"/>
      </tp>
      <tp t="e">
        <v>#N/A</v>
        <stp/>
        <stp>BDH|17370152061533075064</stp>
        <tr r="J3" s="1"/>
      </tp>
      <tp t="e">
        <v>#N/A</v>
        <stp/>
        <stp>BDH|14110179842451350375</stp>
        <tr r="F3" s="1"/>
      </tp>
      <tp t="e">
        <v>#N/A</v>
        <stp/>
        <stp>BDH|17905112948072543038</stp>
        <tr r="T3" s="1"/>
      </tp>
      <tp t="e">
        <v>#N/A</v>
        <stp/>
        <stp>BDH|11651691630615145105</stp>
        <tr r="H3" s="1"/>
      </tp>
      <tp t="e">
        <v>#N/A</v>
        <stp/>
        <stp>BDH|16143033017702123458</stp>
        <tr r="Z3" s="1"/>
      </tp>
      <tp t="e">
        <v>#N/A</v>
        <stp/>
        <stp>BDH|12182022460475833042</stp>
        <tr r="N3" s="1"/>
      </tp>
      <tp t="e">
        <v>#N/A</v>
        <stp/>
        <stp>BDH|11197416930242495281</stp>
        <tr r="AR3" s="1"/>
      </tp>
      <tp t="e">
        <v>#N/A</v>
        <stp/>
        <stp>BDH|10191937517897853835</stp>
        <tr r="R3" s="1"/>
      </tp>
      <tp t="e">
        <v>#N/A</v>
        <stp/>
        <stp>BDH|17868454338235027172</stp>
        <tr r="AP3" s="1"/>
      </tp>
    </main>
    <main first="bofaddin.rtdserver">
      <tp t="e">
        <v>#N/A</v>
        <stp/>
        <stp>BDH|4527896885459305400</stp>
        <tr r="A3" s="1"/>
      </tp>
      <tp t="e">
        <v>#N/A</v>
        <stp/>
        <stp>BDH|5134205965448390341</stp>
        <tr r="L3" s="1"/>
      </tp>
      <tp t="e">
        <v>#N/A</v>
        <stp/>
        <stp>BDH|3920195825183805773</stp>
        <tr r="AL3" s="1"/>
      </tp>
      <tp t="e">
        <v>#N/A</v>
        <stp/>
        <stp>BDH|5807970389427408560</stp>
        <tr r="AS3" s="1"/>
      </tp>
      <tp t="e">
        <v>#N/A</v>
        <stp/>
        <stp>BDH|2425975193607506220</stp>
        <tr r="AF3" s="1"/>
      </tp>
      <tp t="e">
        <v>#N/A</v>
        <stp/>
        <stp>BDH|8126739003128504762</stp>
        <tr r="AJ3" s="1"/>
      </tp>
      <tp t="e">
        <v>#N/A</v>
        <stp/>
        <stp>BDH|3199069055302716746</stp>
        <tr r="D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453B-D223-4FE6-B83E-DB0B57091D90}">
  <dimension ref="A1:AT915"/>
  <sheetViews>
    <sheetView tabSelected="1" workbookViewId="0">
      <pane xSplit="1" ySplit="2" topLeftCell="B509" activePane="bottomRight" state="frozen"/>
      <selection pane="topRight" activeCell="B1" sqref="B1"/>
      <selection pane="bottomLeft" activeCell="A3" sqref="A3"/>
      <selection pane="bottomRight" activeCell="B527" sqref="B527"/>
    </sheetView>
  </sheetViews>
  <sheetFormatPr defaultRowHeight="15" x14ac:dyDescent="0.25"/>
  <cols>
    <col min="1" max="1" width="16" style="1" customWidth="1"/>
    <col min="2" max="2" width="10.7109375" style="1" customWidth="1"/>
    <col min="3" max="3" width="10.7109375" style="12" customWidth="1"/>
    <col min="4" max="4" width="16" style="1" customWidth="1"/>
    <col min="5" max="23" width="16.7109375" style="1" customWidth="1"/>
    <col min="24" max="24" width="18.5703125" style="8" customWidth="1"/>
    <col min="25" max="25" width="9.28515625" style="8" customWidth="1"/>
    <col min="26" max="26" width="18.5703125" style="8" customWidth="1"/>
    <col min="27" max="27" width="9.28515625" style="8" customWidth="1"/>
    <col min="28" max="28" width="18.5703125" style="8" customWidth="1"/>
    <col min="29" max="29" width="9.28515625" style="8" customWidth="1"/>
    <col min="30" max="30" width="18.5703125" style="8" customWidth="1"/>
    <col min="31" max="31" width="9.28515625" style="8" customWidth="1"/>
    <col min="32" max="32" width="18.5703125" style="8" customWidth="1"/>
    <col min="33" max="33" width="9.28515625" style="8" customWidth="1"/>
    <col min="34" max="34" width="18.5703125" style="8" customWidth="1"/>
    <col min="35" max="35" width="9.28515625" style="8" customWidth="1"/>
    <col min="36" max="36" width="18.5703125" style="8" customWidth="1"/>
    <col min="37" max="37" width="9.28515625" style="8" customWidth="1"/>
    <col min="38" max="38" width="18.5703125" style="8" customWidth="1"/>
    <col min="39" max="39" width="9.28515625" style="8" customWidth="1"/>
    <col min="40" max="40" width="18.5703125" style="8" customWidth="1"/>
    <col min="41" max="41" width="9.28515625" style="8" customWidth="1"/>
    <col min="42" max="42" width="14" style="4" customWidth="1"/>
    <col min="43" max="43" width="14.42578125" style="4" customWidth="1"/>
    <col min="44" max="44" width="12.140625" style="10" customWidth="1"/>
    <col min="45" max="45" width="12.140625" style="11" customWidth="1"/>
    <col min="46" max="46" width="9.140625" style="10"/>
  </cols>
  <sheetData>
    <row r="1" spans="1:46" x14ac:dyDescent="0.25">
      <c r="A1" s="3" t="s">
        <v>3</v>
      </c>
      <c r="D1" s="3" t="s">
        <v>1</v>
      </c>
      <c r="F1" s="3" t="s">
        <v>31</v>
      </c>
      <c r="G1" s="3"/>
      <c r="H1" s="3" t="s">
        <v>42</v>
      </c>
      <c r="I1" s="3"/>
      <c r="J1" s="3" t="s">
        <v>32</v>
      </c>
      <c r="K1" s="3"/>
      <c r="L1" s="3" t="s">
        <v>33</v>
      </c>
      <c r="M1" s="3"/>
      <c r="N1" s="3" t="s">
        <v>34</v>
      </c>
      <c r="O1" s="3"/>
      <c r="P1" s="3" t="s">
        <v>35</v>
      </c>
      <c r="Q1" s="3"/>
      <c r="R1" s="3" t="s">
        <v>36</v>
      </c>
      <c r="S1" s="3"/>
      <c r="T1" s="3" t="s">
        <v>37</v>
      </c>
      <c r="V1" s="3" t="s">
        <v>65</v>
      </c>
      <c r="X1" s="7" t="s">
        <v>7</v>
      </c>
      <c r="Z1" s="7" t="s">
        <v>8</v>
      </c>
      <c r="AB1" s="7" t="s">
        <v>17</v>
      </c>
      <c r="AD1" s="7" t="s">
        <v>27</v>
      </c>
      <c r="AF1" s="7" t="s">
        <v>18</v>
      </c>
      <c r="AH1" s="7" t="s">
        <v>19</v>
      </c>
      <c r="AJ1" s="7" t="s">
        <v>20</v>
      </c>
      <c r="AL1" s="7" t="s">
        <v>21</v>
      </c>
      <c r="AN1" s="7" t="s">
        <v>22</v>
      </c>
      <c r="AP1" s="6" t="s">
        <v>5</v>
      </c>
      <c r="AS1" s="11" t="s">
        <v>39</v>
      </c>
    </row>
    <row r="2" spans="1:46" x14ac:dyDescent="0.25">
      <c r="A2" s="1" t="s">
        <v>2</v>
      </c>
      <c r="D2" s="1" t="s">
        <v>0</v>
      </c>
      <c r="F2" s="1" t="s">
        <v>23</v>
      </c>
      <c r="H2" s="1" t="s">
        <v>28</v>
      </c>
      <c r="J2" s="1" t="s">
        <v>26</v>
      </c>
      <c r="L2" s="1" t="s">
        <v>29</v>
      </c>
      <c r="N2" s="1" t="s">
        <v>30</v>
      </c>
      <c r="P2" s="1" t="s">
        <v>24</v>
      </c>
      <c r="R2" s="1" t="s">
        <v>25</v>
      </c>
      <c r="T2" s="1" t="s">
        <v>38</v>
      </c>
      <c r="V2" s="1" t="s">
        <v>66</v>
      </c>
      <c r="X2" s="8" t="s">
        <v>6</v>
      </c>
      <c r="Z2" s="8" t="s">
        <v>9</v>
      </c>
      <c r="AB2" s="8" t="s">
        <v>13</v>
      </c>
      <c r="AD2" s="8" t="s">
        <v>10</v>
      </c>
      <c r="AF2" s="8" t="s">
        <v>16</v>
      </c>
      <c r="AH2" s="8" t="s">
        <v>15</v>
      </c>
      <c r="AJ2" s="8" t="s">
        <v>11</v>
      </c>
      <c r="AL2" s="8" t="s">
        <v>12</v>
      </c>
      <c r="AN2" s="8" t="s">
        <v>14</v>
      </c>
      <c r="AP2" s="4" t="s">
        <v>4</v>
      </c>
      <c r="AS2" s="11" t="s">
        <v>40</v>
      </c>
    </row>
    <row r="3" spans="1:46" x14ac:dyDescent="0.25">
      <c r="A3" s="16" cm="1">
        <f t="array" ref="A3:B915">_xll.BDH(A2, "PX_LAST", "01/01/1950", "", "Period", "M")</f>
        <v>18294</v>
      </c>
      <c r="B3" s="1">
        <v>4933</v>
      </c>
      <c r="D3" s="2" cm="1">
        <f t="array" ref="D3:E527">_xll.BDH(D2, "PX_LAST", "01/01/1950", "", "Period", "M")</f>
        <v>30194</v>
      </c>
      <c r="E3" s="1">
        <v>-2626</v>
      </c>
      <c r="F3" s="16" cm="1">
        <f t="array" ref="F3:G386">_xll.BDH(F2, "PX_LAST", "01/01/1950", "", "Period", "M")</f>
        <v>34365</v>
      </c>
      <c r="G3" s="1">
        <v>8068</v>
      </c>
      <c r="H3" s="16" cm="1">
        <f t="array" ref="H3:I386">_xll.BDH(H2, "PX_LAST", "01/01/1950", "", "Period", "M")</f>
        <v>34365</v>
      </c>
      <c r="I3" s="1">
        <v>3618</v>
      </c>
      <c r="J3" s="16" cm="1">
        <f t="array" ref="J3:K386">_xll.BDH(J2, "PX_LAST", "01/01/1950", "", "Period", "M")</f>
        <v>34365</v>
      </c>
      <c r="K3" s="1">
        <v>545</v>
      </c>
      <c r="L3" s="16" cm="1">
        <f t="array" ref="L3:M386">_xll.BDH(L2, "PX_LAST", "01/01/1950", "", "Period", "M")</f>
        <v>34365</v>
      </c>
      <c r="M3" s="1">
        <v>1370</v>
      </c>
      <c r="N3" s="16" cm="1">
        <f t="array" ref="N3:O386">_xll.BDH(N2, "PX_LAST", "01/01/1950", "", "Period", "M")</f>
        <v>34365</v>
      </c>
      <c r="O3" s="1">
        <v>2085</v>
      </c>
      <c r="P3" s="16" cm="1">
        <f t="array" ref="P3:Q386">_xll.BDH(P2, "PX_LAST", "01/01/1950", "", "Period", "M")</f>
        <v>34365</v>
      </c>
      <c r="Q3" s="1">
        <v>6482</v>
      </c>
      <c r="R3" s="16" cm="1">
        <f t="array" ref="R3:S386">_xll.BDH(R2, "PX_LAST", "01/01/1950", "", "Period", "M")</f>
        <v>34365</v>
      </c>
      <c r="S3" s="1">
        <v>2564</v>
      </c>
      <c r="T3" s="16" cm="1">
        <f t="array" ref="T3:U386">_xll.BDH(T2, "PX_LAST", "01/01/1950", "", "Period", "M")</f>
        <v>34365</v>
      </c>
      <c r="U3" s="1">
        <v>2900</v>
      </c>
      <c r="V3" s="16" cm="1">
        <f t="array" ref="V3:W386">_xll.BDH(V2, "PX_LAST", "01/01/1950", "", "Period", "M")</f>
        <v>34365</v>
      </c>
      <c r="W3" s="1">
        <v>680</v>
      </c>
      <c r="X3" s="15" cm="1">
        <f t="array" ref="X3:Y475">_xll.BDH(X2, "PX_LAST", "01/01/1950", "", "Period", "M")</f>
        <v>23011</v>
      </c>
      <c r="Y3" s="8">
        <v>10501</v>
      </c>
      <c r="Z3" s="15" cm="1">
        <f t="array" ref="Z3:AA476">_xll.BDH(Z2, "PX_LAST", "01/01/1950", "", "Period", "M")</f>
        <v>23011</v>
      </c>
      <c r="AA3" s="8">
        <v>1643</v>
      </c>
      <c r="AB3" s="15" cm="1">
        <f t="array" ref="AB3:AC476">_xll.BDH(AB2, "PX_LAST", "01/01/1950", "", "Period", "M")</f>
        <v>23011</v>
      </c>
      <c r="AC3" s="8">
        <v>14</v>
      </c>
      <c r="AD3" s="15" cm="1">
        <f t="array" ref="AD3:AE476">_xll.BDH(AD2, "PX_LAST", "01/01/1950", "", "Period", "M")</f>
        <v>23011</v>
      </c>
      <c r="AE3" s="8">
        <v>1335</v>
      </c>
      <c r="AF3" s="15" cm="1">
        <f t="array" ref="AF3:AG476">_xll.BDH(AF2, "PX_LAST", "01/01/1950", "", "Period", "M")</f>
        <v>23011</v>
      </c>
      <c r="AG3" s="8">
        <v>1009</v>
      </c>
      <c r="AH3" s="15" cm="1">
        <f t="array" ref="AH3:AI476">_xll.BDH(AH2, "PX_LAST", "01/01/1950", "", "Period", "M")</f>
        <v>23011</v>
      </c>
      <c r="AI3" s="8">
        <v>182</v>
      </c>
      <c r="AJ3" s="15" cm="1">
        <f t="array" ref="AJ3:AK476">_xll.BDH(AJ2, "PX_LAST", "01/01/1950", "", "Period", "M")</f>
        <v>23011</v>
      </c>
      <c r="AK3" s="8">
        <v>68</v>
      </c>
      <c r="AL3" s="15" cm="1">
        <f t="array" ref="AL3:AM476">_xll.BDH(AL2, "PX_LAST", "01/01/1950", "", "Period", "M")</f>
        <v>23011</v>
      </c>
      <c r="AM3" s="8">
        <v>3200</v>
      </c>
      <c r="AN3" s="15" cm="1">
        <f t="array" ref="AN3:AO476">_xll.BDH(AN2, "PX_LAST", "01/01/1950", "", "Period", "M")</f>
        <v>23011</v>
      </c>
      <c r="AO3" s="8">
        <v>1958</v>
      </c>
      <c r="AP3" s="5" cm="1">
        <f t="array" ref="AP3:AQ307">_xll.BDH(AP2, "PX_LAST", "01/01/1950", "", "Period", "M")</f>
        <v>36191</v>
      </c>
      <c r="AQ3" s="4">
        <v>13.63</v>
      </c>
      <c r="AR3" s="11" t="str" cm="1">
        <f t="array" ref="AR3">_xll.BDH(AR2, "PX_LAST", "01/01/1950", "", "Period", "M")</f>
        <v>#N/A Mandatory parameter [SECURITY] cannot be empty</v>
      </c>
      <c r="AS3" s="11" cm="1">
        <f t="array" ref="AS3:AT457">_xll.BDH(AS2, "PX_LAST", "01/01/1950", "", "Period", "M")</f>
        <v>32324</v>
      </c>
      <c r="AT3" s="10">
        <v>14.85</v>
      </c>
    </row>
    <row r="4" spans="1:46" x14ac:dyDescent="0.25">
      <c r="A4" s="16">
        <v>18322</v>
      </c>
      <c r="B4" s="1">
        <v>4969</v>
      </c>
      <c r="C4" s="13" t="str">
        <f>MONTH(D4)&amp;YEAR(D4)</f>
        <v>91982</v>
      </c>
      <c r="D4" s="2">
        <v>30224</v>
      </c>
      <c r="E4" s="1">
        <v>-1065</v>
      </c>
      <c r="F4" s="16">
        <v>34393</v>
      </c>
      <c r="G4" s="1">
        <v>8061</v>
      </c>
      <c r="H4" s="16">
        <v>34393</v>
      </c>
      <c r="I4" s="1">
        <v>3568</v>
      </c>
      <c r="J4" s="16">
        <v>34393</v>
      </c>
      <c r="K4" s="1">
        <v>545</v>
      </c>
      <c r="L4" s="16">
        <v>34393</v>
      </c>
      <c r="M4" s="1">
        <v>1370</v>
      </c>
      <c r="N4" s="16">
        <v>34393</v>
      </c>
      <c r="O4" s="1">
        <v>2085</v>
      </c>
      <c r="P4" s="16">
        <v>34393</v>
      </c>
      <c r="Q4" s="1">
        <v>6232</v>
      </c>
      <c r="R4" s="16">
        <v>34393</v>
      </c>
      <c r="S4" s="1">
        <v>2564</v>
      </c>
      <c r="T4" s="16">
        <v>34393</v>
      </c>
      <c r="U4" s="1">
        <v>2920</v>
      </c>
      <c r="V4" s="16">
        <v>34393</v>
      </c>
      <c r="W4" s="1">
        <v>670</v>
      </c>
      <c r="X4" s="15">
        <v>23376</v>
      </c>
      <c r="Y4" s="8">
        <v>11407</v>
      </c>
      <c r="Z4" s="15">
        <v>23376</v>
      </c>
      <c r="AA4" s="8">
        <v>1786</v>
      </c>
      <c r="AB4" s="15">
        <v>23376</v>
      </c>
      <c r="AC4" s="8">
        <v>48</v>
      </c>
      <c r="AD4" s="15">
        <v>23376</v>
      </c>
      <c r="AE4" s="8">
        <v>1491</v>
      </c>
      <c r="AF4" s="15">
        <v>23376</v>
      </c>
      <c r="AG4" s="8">
        <v>1062</v>
      </c>
      <c r="AH4" s="15">
        <v>23376</v>
      </c>
      <c r="AI4" s="8">
        <v>442</v>
      </c>
      <c r="AJ4" s="15">
        <v>23376</v>
      </c>
      <c r="AK4" s="8">
        <v>77</v>
      </c>
      <c r="AL4" s="15">
        <v>23376</v>
      </c>
      <c r="AM4" s="8">
        <v>3248</v>
      </c>
      <c r="AN4" s="15">
        <v>23376</v>
      </c>
      <c r="AO4" s="8">
        <v>2096</v>
      </c>
      <c r="AP4" s="5">
        <v>36219</v>
      </c>
      <c r="AQ4" s="4">
        <v>12.33</v>
      </c>
      <c r="AR4" s="11">
        <v>32353</v>
      </c>
      <c r="AS4" s="11">
        <v>32353</v>
      </c>
      <c r="AT4" s="10">
        <v>15.7</v>
      </c>
    </row>
    <row r="5" spans="1:46" x14ac:dyDescent="0.25">
      <c r="A5" s="16">
        <v>18353</v>
      </c>
      <c r="B5" s="1">
        <v>4881</v>
      </c>
      <c r="C5" s="13" t="str">
        <f t="shared" ref="C5:C68" si="0">MONTH(D5)&amp;YEAR(D5)</f>
        <v>101982</v>
      </c>
      <c r="D5" s="2">
        <v>30253</v>
      </c>
      <c r="E5" s="1">
        <v>-1303</v>
      </c>
      <c r="F5" s="16">
        <v>34424</v>
      </c>
      <c r="G5" s="1">
        <v>8068</v>
      </c>
      <c r="H5" s="16">
        <v>34424</v>
      </c>
      <c r="I5" s="1">
        <v>3668</v>
      </c>
      <c r="J5" s="16">
        <v>34424</v>
      </c>
      <c r="K5" s="1">
        <v>545</v>
      </c>
      <c r="L5" s="16">
        <v>34424</v>
      </c>
      <c r="M5" s="1">
        <v>1370</v>
      </c>
      <c r="N5" s="16">
        <v>34424</v>
      </c>
      <c r="O5" s="1">
        <v>2038</v>
      </c>
      <c r="P5" s="16">
        <v>34424</v>
      </c>
      <c r="Q5" s="1">
        <v>6181</v>
      </c>
      <c r="R5" s="16">
        <v>34424</v>
      </c>
      <c r="S5" s="1">
        <v>2564</v>
      </c>
      <c r="T5" s="16">
        <v>34424</v>
      </c>
      <c r="U5" s="1">
        <v>2920</v>
      </c>
      <c r="V5" s="16">
        <v>34424</v>
      </c>
      <c r="W5" s="1">
        <v>670</v>
      </c>
      <c r="X5" s="15">
        <v>23742</v>
      </c>
      <c r="Y5" s="8">
        <v>12976</v>
      </c>
      <c r="Z5" s="15">
        <v>23742</v>
      </c>
      <c r="AA5" s="8">
        <v>1897</v>
      </c>
      <c r="AB5" s="15">
        <v>23742</v>
      </c>
      <c r="AC5" s="8">
        <v>187</v>
      </c>
      <c r="AD5" s="15">
        <v>23742</v>
      </c>
      <c r="AE5" s="8">
        <v>1711</v>
      </c>
      <c r="AF5" s="15">
        <v>23742</v>
      </c>
      <c r="AG5" s="8">
        <v>1255</v>
      </c>
      <c r="AH5" s="15">
        <v>23742</v>
      </c>
      <c r="AI5" s="8">
        <v>862</v>
      </c>
      <c r="AJ5" s="15">
        <v>23742</v>
      </c>
      <c r="AK5" s="8">
        <v>120</v>
      </c>
      <c r="AL5" s="15">
        <v>23742</v>
      </c>
      <c r="AM5" s="8">
        <v>3393</v>
      </c>
      <c r="AN5" s="15">
        <v>23742</v>
      </c>
      <c r="AO5" s="8">
        <v>2301</v>
      </c>
      <c r="AP5" s="5">
        <v>36250</v>
      </c>
      <c r="AQ5" s="4">
        <v>13.55</v>
      </c>
      <c r="AR5" s="11">
        <v>32386</v>
      </c>
      <c r="AS5" s="11">
        <v>32386</v>
      </c>
      <c r="AT5" s="10">
        <v>14.6</v>
      </c>
    </row>
    <row r="6" spans="1:46" x14ac:dyDescent="0.25">
      <c r="A6" s="16">
        <v>18383</v>
      </c>
      <c r="B6" s="1">
        <v>4972</v>
      </c>
      <c r="C6" s="13" t="str">
        <f t="shared" si="0"/>
        <v>111982</v>
      </c>
      <c r="D6" s="2">
        <v>30285</v>
      </c>
      <c r="E6" s="1">
        <v>-5625</v>
      </c>
      <c r="F6" s="16">
        <v>34454</v>
      </c>
      <c r="G6" s="1">
        <v>8083</v>
      </c>
      <c r="H6" s="16">
        <v>34454</v>
      </c>
      <c r="I6" s="1">
        <v>3518</v>
      </c>
      <c r="J6" s="16">
        <v>34454</v>
      </c>
      <c r="K6" s="1">
        <v>555</v>
      </c>
      <c r="L6" s="16">
        <v>34454</v>
      </c>
      <c r="M6" s="1">
        <v>1370</v>
      </c>
      <c r="N6" s="16">
        <v>34454</v>
      </c>
      <c r="O6" s="1">
        <v>1962</v>
      </c>
      <c r="P6" s="16">
        <v>34454</v>
      </c>
      <c r="Q6" s="1">
        <v>6018</v>
      </c>
      <c r="R6" s="16">
        <v>34454</v>
      </c>
      <c r="S6" s="1">
        <v>2554</v>
      </c>
      <c r="T6" s="16">
        <v>34454</v>
      </c>
      <c r="U6" s="1">
        <v>2940</v>
      </c>
      <c r="V6" s="16">
        <v>34454</v>
      </c>
      <c r="W6" s="1">
        <v>670</v>
      </c>
      <c r="X6" s="15">
        <v>24107</v>
      </c>
      <c r="Y6" s="8">
        <v>14331</v>
      </c>
      <c r="Z6" s="15">
        <v>24107</v>
      </c>
      <c r="AA6" s="8">
        <v>2205</v>
      </c>
      <c r="AB6" s="15">
        <v>24107</v>
      </c>
      <c r="AC6" s="8">
        <v>282</v>
      </c>
      <c r="AD6" s="15">
        <v>24107</v>
      </c>
      <c r="AE6" s="8">
        <v>1908</v>
      </c>
      <c r="AF6" s="15">
        <v>24107</v>
      </c>
      <c r="AG6" s="8">
        <v>1313</v>
      </c>
      <c r="AH6" s="15">
        <v>24107</v>
      </c>
      <c r="AI6" s="8">
        <v>1219</v>
      </c>
      <c r="AJ6" s="15">
        <v>24107</v>
      </c>
      <c r="AK6" s="8">
        <v>274</v>
      </c>
      <c r="AL6" s="15">
        <v>24107</v>
      </c>
      <c r="AM6" s="8">
        <v>3473</v>
      </c>
      <c r="AN6" s="15">
        <v>24107</v>
      </c>
      <c r="AO6" s="8">
        <v>2360</v>
      </c>
      <c r="AP6" s="5">
        <v>36280</v>
      </c>
      <c r="AQ6" s="4">
        <v>13.2</v>
      </c>
      <c r="AR6" s="11">
        <v>32416</v>
      </c>
      <c r="AS6" s="11">
        <v>32416</v>
      </c>
      <c r="AT6" s="10">
        <v>12.24</v>
      </c>
    </row>
    <row r="7" spans="1:46" x14ac:dyDescent="0.25">
      <c r="A7" s="16">
        <v>18414</v>
      </c>
      <c r="B7" s="1">
        <v>5147</v>
      </c>
      <c r="C7" s="13" t="str">
        <f t="shared" si="0"/>
        <v>121982</v>
      </c>
      <c r="D7" s="2">
        <v>30316</v>
      </c>
      <c r="E7" s="1">
        <v>-4911</v>
      </c>
      <c r="F7" s="16">
        <v>34485</v>
      </c>
      <c r="G7" s="1">
        <v>8063</v>
      </c>
      <c r="H7" s="16">
        <v>34485</v>
      </c>
      <c r="I7" s="1">
        <v>3568</v>
      </c>
      <c r="J7" s="16">
        <v>34485</v>
      </c>
      <c r="K7" s="1">
        <v>555</v>
      </c>
      <c r="L7" s="16">
        <v>34485</v>
      </c>
      <c r="M7" s="1">
        <v>1370</v>
      </c>
      <c r="N7" s="16">
        <v>34485</v>
      </c>
      <c r="O7" s="1">
        <v>1990</v>
      </c>
      <c r="P7" s="16">
        <v>34485</v>
      </c>
      <c r="Q7" s="1">
        <v>6158</v>
      </c>
      <c r="R7" s="16">
        <v>34485</v>
      </c>
      <c r="S7" s="1">
        <v>2574</v>
      </c>
      <c r="T7" s="16">
        <v>34485</v>
      </c>
      <c r="U7" s="1">
        <v>2940</v>
      </c>
      <c r="V7" s="16">
        <v>34485</v>
      </c>
      <c r="W7" s="1">
        <v>680</v>
      </c>
      <c r="X7" s="15">
        <v>24472</v>
      </c>
      <c r="Y7" s="8">
        <v>15763</v>
      </c>
      <c r="Z7" s="15">
        <v>24472</v>
      </c>
      <c r="AA7" s="8">
        <v>2602</v>
      </c>
      <c r="AB7" s="15">
        <v>24472</v>
      </c>
      <c r="AC7" s="8">
        <v>360</v>
      </c>
      <c r="AD7" s="15">
        <v>24472</v>
      </c>
      <c r="AE7" s="8">
        <v>2132</v>
      </c>
      <c r="AF7" s="15">
        <v>24472</v>
      </c>
      <c r="AG7" s="8">
        <v>1392</v>
      </c>
      <c r="AH7" s="15">
        <v>24472</v>
      </c>
      <c r="AI7" s="8">
        <v>1501</v>
      </c>
      <c r="AJ7" s="15">
        <v>24472</v>
      </c>
      <c r="AK7" s="8">
        <v>418</v>
      </c>
      <c r="AL7" s="15">
        <v>24472</v>
      </c>
      <c r="AM7" s="8">
        <v>3371</v>
      </c>
      <c r="AN7" s="15">
        <v>24472</v>
      </c>
      <c r="AO7" s="8">
        <v>2484</v>
      </c>
      <c r="AP7" s="5">
        <v>36311</v>
      </c>
      <c r="AQ7" s="4">
        <v>13.85</v>
      </c>
      <c r="AR7" s="11">
        <v>32447</v>
      </c>
      <c r="AS7" s="11">
        <v>32447</v>
      </c>
      <c r="AT7" s="10">
        <v>12.74</v>
      </c>
    </row>
    <row r="8" spans="1:46" x14ac:dyDescent="0.25">
      <c r="A8" s="16">
        <v>18444</v>
      </c>
      <c r="B8" s="1">
        <v>5377</v>
      </c>
      <c r="C8" s="13" t="str">
        <f t="shared" si="0"/>
        <v>11983</v>
      </c>
      <c r="D8" s="2">
        <v>30347</v>
      </c>
      <c r="E8" s="1">
        <v>5439</v>
      </c>
      <c r="F8" s="16">
        <v>34515</v>
      </c>
      <c r="G8" s="1">
        <v>8063</v>
      </c>
      <c r="H8" s="16">
        <v>34515</v>
      </c>
      <c r="I8" s="1">
        <v>3668</v>
      </c>
      <c r="J8" s="16">
        <v>34515</v>
      </c>
      <c r="K8" s="1">
        <v>555</v>
      </c>
      <c r="L8" s="16">
        <v>34515</v>
      </c>
      <c r="M8" s="1">
        <v>1370</v>
      </c>
      <c r="N8" s="16">
        <v>34515</v>
      </c>
      <c r="O8" s="1">
        <v>1981</v>
      </c>
      <c r="P8" s="16">
        <v>34515</v>
      </c>
      <c r="Q8" s="1">
        <v>6172</v>
      </c>
      <c r="R8" s="16">
        <v>34515</v>
      </c>
      <c r="S8" s="1">
        <v>2574</v>
      </c>
      <c r="T8" s="16">
        <v>34515</v>
      </c>
      <c r="U8" s="1">
        <v>2950</v>
      </c>
      <c r="V8" s="16">
        <v>34515</v>
      </c>
      <c r="W8" s="1">
        <v>680</v>
      </c>
      <c r="X8" s="15">
        <v>24837</v>
      </c>
      <c r="Y8" s="8">
        <v>16844</v>
      </c>
      <c r="Z8" s="15">
        <v>24837</v>
      </c>
      <c r="AA8" s="8">
        <v>2805</v>
      </c>
      <c r="AB8" s="15">
        <v>24837</v>
      </c>
      <c r="AC8" s="8">
        <v>382</v>
      </c>
      <c r="AD8" s="15">
        <v>24837</v>
      </c>
      <c r="AE8" s="8">
        <v>2603</v>
      </c>
      <c r="AF8" s="15">
        <v>24837</v>
      </c>
      <c r="AG8" s="8">
        <v>1228</v>
      </c>
      <c r="AH8" s="15">
        <v>24837</v>
      </c>
      <c r="AI8" s="8">
        <v>1741</v>
      </c>
      <c r="AJ8" s="15">
        <v>24837</v>
      </c>
      <c r="AK8" s="8">
        <v>319</v>
      </c>
      <c r="AL8" s="15">
        <v>24837</v>
      </c>
      <c r="AM8" s="8">
        <v>3542</v>
      </c>
      <c r="AN8" s="15">
        <v>24837</v>
      </c>
      <c r="AO8" s="8">
        <v>2500</v>
      </c>
      <c r="AP8" s="5">
        <v>36341</v>
      </c>
      <c r="AQ8" s="4">
        <v>13.23</v>
      </c>
      <c r="AR8" s="11">
        <v>32477</v>
      </c>
      <c r="AS8" s="11">
        <v>32477</v>
      </c>
      <c r="AT8" s="10">
        <v>14.05</v>
      </c>
    </row>
    <row r="9" spans="1:46" x14ac:dyDescent="0.25">
      <c r="A9" s="16">
        <v>18475</v>
      </c>
      <c r="B9" s="1">
        <v>5486</v>
      </c>
      <c r="C9" s="13" t="str">
        <f t="shared" si="0"/>
        <v>21983</v>
      </c>
      <c r="D9" s="2">
        <v>30375</v>
      </c>
      <c r="E9" s="1">
        <v>7412</v>
      </c>
      <c r="F9" s="16">
        <v>34546</v>
      </c>
      <c r="G9" s="1">
        <v>8073</v>
      </c>
      <c r="H9" s="16">
        <v>34546</v>
      </c>
      <c r="I9" s="1">
        <v>3568</v>
      </c>
      <c r="J9" s="16">
        <v>34546</v>
      </c>
      <c r="K9" s="1">
        <v>555</v>
      </c>
      <c r="L9" s="16">
        <v>34546</v>
      </c>
      <c r="M9" s="1">
        <v>1380</v>
      </c>
      <c r="N9" s="16">
        <v>34546</v>
      </c>
      <c r="O9" s="1">
        <v>1886</v>
      </c>
      <c r="P9" s="16">
        <v>34546</v>
      </c>
      <c r="Q9" s="1">
        <v>6069</v>
      </c>
      <c r="R9" s="16">
        <v>34546</v>
      </c>
      <c r="S9" s="1">
        <v>2595</v>
      </c>
      <c r="T9" s="16">
        <v>34546</v>
      </c>
      <c r="U9" s="1">
        <v>2940</v>
      </c>
      <c r="V9" s="16">
        <v>34546</v>
      </c>
      <c r="W9" s="1">
        <v>680</v>
      </c>
      <c r="X9" s="15">
        <v>25172</v>
      </c>
      <c r="Y9" s="8">
        <v>18781</v>
      </c>
      <c r="Z9" s="15">
        <v>25203</v>
      </c>
      <c r="AA9" s="8">
        <v>3043</v>
      </c>
      <c r="AB9" s="15">
        <v>25203</v>
      </c>
      <c r="AC9" s="8">
        <v>497</v>
      </c>
      <c r="AD9" s="15">
        <v>25203</v>
      </c>
      <c r="AE9" s="8">
        <v>2840</v>
      </c>
      <c r="AF9" s="15">
        <v>25203</v>
      </c>
      <c r="AG9" s="8">
        <v>1503</v>
      </c>
      <c r="AH9" s="15">
        <v>25203</v>
      </c>
      <c r="AI9" s="8">
        <v>2602</v>
      </c>
      <c r="AJ9" s="15">
        <v>25203</v>
      </c>
      <c r="AK9" s="8">
        <v>141</v>
      </c>
      <c r="AL9" s="15">
        <v>25203</v>
      </c>
      <c r="AM9" s="8">
        <v>3605</v>
      </c>
      <c r="AN9" s="15">
        <v>25203</v>
      </c>
      <c r="AO9" s="8">
        <v>2614</v>
      </c>
      <c r="AP9" s="5">
        <v>36372</v>
      </c>
      <c r="AQ9" s="4">
        <v>13.75</v>
      </c>
      <c r="AR9" s="11">
        <v>32507</v>
      </c>
      <c r="AS9" s="11">
        <v>32507</v>
      </c>
      <c r="AT9" s="10">
        <v>15.52</v>
      </c>
    </row>
    <row r="10" spans="1:46" x14ac:dyDescent="0.25">
      <c r="A10" s="16">
        <v>18506</v>
      </c>
      <c r="B10" s="1">
        <v>5684</v>
      </c>
      <c r="C10" s="13" t="str">
        <f t="shared" si="0"/>
        <v>31983</v>
      </c>
      <c r="D10" s="2">
        <v>30406</v>
      </c>
      <c r="E10" s="1">
        <v>1254</v>
      </c>
      <c r="F10" s="16">
        <v>34577</v>
      </c>
      <c r="G10" s="1">
        <v>8093</v>
      </c>
      <c r="H10" s="16">
        <v>34577</v>
      </c>
      <c r="I10" s="1">
        <v>3618</v>
      </c>
      <c r="J10" s="16">
        <v>34577</v>
      </c>
      <c r="K10" s="1">
        <v>555</v>
      </c>
      <c r="L10" s="16">
        <v>34577</v>
      </c>
      <c r="M10" s="1">
        <v>1390</v>
      </c>
      <c r="N10" s="16">
        <v>34577</v>
      </c>
      <c r="O10" s="1">
        <v>1545</v>
      </c>
      <c r="P10" s="16">
        <v>34577</v>
      </c>
      <c r="Q10" s="1">
        <v>6051</v>
      </c>
      <c r="R10" s="16">
        <v>34577</v>
      </c>
      <c r="S10" s="1">
        <v>2615</v>
      </c>
      <c r="T10" s="16">
        <v>34577</v>
      </c>
      <c r="U10" s="1">
        <v>2950</v>
      </c>
      <c r="V10" s="16">
        <v>34577</v>
      </c>
      <c r="W10" s="1">
        <v>700</v>
      </c>
      <c r="X10" s="15">
        <v>25568</v>
      </c>
      <c r="Y10" s="8">
        <v>20902</v>
      </c>
      <c r="Z10" s="15">
        <v>25568</v>
      </c>
      <c r="AA10" s="8">
        <v>3216</v>
      </c>
      <c r="AB10" s="15">
        <v>25568</v>
      </c>
      <c r="AC10" s="8">
        <v>628</v>
      </c>
      <c r="AD10" s="15">
        <v>25568</v>
      </c>
      <c r="AE10" s="8">
        <v>3376</v>
      </c>
      <c r="AF10" s="15">
        <v>25568</v>
      </c>
      <c r="AG10" s="8">
        <v>1521</v>
      </c>
      <c r="AH10" s="15">
        <v>25568</v>
      </c>
      <c r="AI10" s="8">
        <v>3109</v>
      </c>
      <c r="AJ10" s="15">
        <v>25568</v>
      </c>
      <c r="AK10" s="8">
        <v>540</v>
      </c>
      <c r="AL10" s="15">
        <v>25568</v>
      </c>
      <c r="AM10" s="8">
        <v>3594</v>
      </c>
      <c r="AN10" s="15">
        <v>25568</v>
      </c>
      <c r="AO10" s="8">
        <v>2773</v>
      </c>
      <c r="AP10" s="5">
        <v>36403</v>
      </c>
      <c r="AQ10" s="4">
        <v>13.62</v>
      </c>
      <c r="AR10" s="11">
        <v>32539</v>
      </c>
      <c r="AS10" s="11">
        <v>32539</v>
      </c>
      <c r="AT10" s="10">
        <v>15.91</v>
      </c>
    </row>
    <row r="11" spans="1:46" x14ac:dyDescent="0.25">
      <c r="A11" s="16">
        <v>18536</v>
      </c>
      <c r="B11" s="1">
        <v>5890</v>
      </c>
      <c r="C11" s="13" t="str">
        <f t="shared" si="0"/>
        <v>41983</v>
      </c>
      <c r="D11" s="2">
        <v>30435</v>
      </c>
      <c r="E11" s="1">
        <v>2168</v>
      </c>
      <c r="F11" s="16">
        <v>34607</v>
      </c>
      <c r="G11" s="1">
        <v>8153</v>
      </c>
      <c r="H11" s="16">
        <v>34607</v>
      </c>
      <c r="I11" s="1">
        <v>3668</v>
      </c>
      <c r="J11" s="16">
        <v>34607</v>
      </c>
      <c r="K11" s="1">
        <v>555</v>
      </c>
      <c r="L11" s="16">
        <v>34607</v>
      </c>
      <c r="M11" s="1">
        <v>1370</v>
      </c>
      <c r="N11" s="16">
        <v>34607</v>
      </c>
      <c r="O11" s="1">
        <v>1905</v>
      </c>
      <c r="P11" s="16">
        <v>34607</v>
      </c>
      <c r="Q11" s="1">
        <v>6014</v>
      </c>
      <c r="R11" s="16">
        <v>34607</v>
      </c>
      <c r="S11" s="1">
        <v>2615</v>
      </c>
      <c r="T11" s="16">
        <v>34607</v>
      </c>
      <c r="U11" s="1">
        <v>2910</v>
      </c>
      <c r="V11" s="16">
        <v>34607</v>
      </c>
      <c r="W11" s="1">
        <v>635</v>
      </c>
      <c r="X11" s="15">
        <v>25933</v>
      </c>
      <c r="Y11" s="8">
        <v>23409</v>
      </c>
      <c r="Z11" s="15">
        <v>25933</v>
      </c>
      <c r="AA11" s="8">
        <v>3799</v>
      </c>
      <c r="AB11" s="15">
        <v>25933</v>
      </c>
      <c r="AC11" s="8">
        <v>780</v>
      </c>
      <c r="AD11" s="15">
        <v>25933</v>
      </c>
      <c r="AE11" s="8">
        <v>3829</v>
      </c>
      <c r="AF11" s="15">
        <v>25933</v>
      </c>
      <c r="AG11" s="8">
        <v>1549</v>
      </c>
      <c r="AH11" s="15">
        <v>25933</v>
      </c>
      <c r="AI11" s="8">
        <v>3318</v>
      </c>
      <c r="AJ11" s="15">
        <v>25933</v>
      </c>
      <c r="AK11" s="8">
        <v>1083</v>
      </c>
      <c r="AL11" s="15">
        <v>25933</v>
      </c>
      <c r="AM11" s="8">
        <v>3708</v>
      </c>
      <c r="AN11" s="15">
        <v>25933</v>
      </c>
      <c r="AO11" s="8">
        <v>2990</v>
      </c>
      <c r="AP11" s="5">
        <v>36433</v>
      </c>
      <c r="AQ11" s="4">
        <v>12.87</v>
      </c>
      <c r="AR11" s="11">
        <v>32567</v>
      </c>
      <c r="AS11" s="11">
        <v>32567</v>
      </c>
      <c r="AT11" s="10">
        <v>16.399999999999999</v>
      </c>
    </row>
    <row r="12" spans="1:46" x14ac:dyDescent="0.25">
      <c r="A12" s="16">
        <v>18567</v>
      </c>
      <c r="B12" s="1">
        <v>5904</v>
      </c>
      <c r="C12" s="13" t="str">
        <f t="shared" si="0"/>
        <v>51983</v>
      </c>
      <c r="D12" s="2">
        <v>30467</v>
      </c>
      <c r="E12" s="1">
        <v>2842</v>
      </c>
      <c r="F12" s="16">
        <v>34638</v>
      </c>
      <c r="G12" s="1">
        <v>8218</v>
      </c>
      <c r="H12" s="16">
        <v>34638</v>
      </c>
      <c r="I12" s="1">
        <v>3618</v>
      </c>
      <c r="J12" s="16">
        <v>34638</v>
      </c>
      <c r="K12" s="1">
        <v>555</v>
      </c>
      <c r="L12" s="16">
        <v>34638</v>
      </c>
      <c r="M12" s="1">
        <v>1390</v>
      </c>
      <c r="N12" s="16">
        <v>34638</v>
      </c>
      <c r="O12" s="1">
        <v>1971</v>
      </c>
      <c r="P12" s="16">
        <v>34638</v>
      </c>
      <c r="Q12" s="1">
        <v>6088</v>
      </c>
      <c r="R12" s="16">
        <v>34638</v>
      </c>
      <c r="S12" s="1">
        <v>2615</v>
      </c>
      <c r="T12" s="16">
        <v>34638</v>
      </c>
      <c r="U12" s="1">
        <v>2950</v>
      </c>
      <c r="V12" s="16">
        <v>34638</v>
      </c>
      <c r="W12" s="1">
        <v>650</v>
      </c>
      <c r="X12" s="15">
        <v>26298</v>
      </c>
      <c r="Y12" s="8">
        <v>25323</v>
      </c>
      <c r="Z12" s="15">
        <v>26298</v>
      </c>
      <c r="AA12" s="8">
        <v>4769</v>
      </c>
      <c r="AB12" s="15">
        <v>26298</v>
      </c>
      <c r="AC12" s="8">
        <v>1060</v>
      </c>
      <c r="AD12" s="15">
        <v>26298</v>
      </c>
      <c r="AE12" s="8">
        <v>4540</v>
      </c>
      <c r="AF12" s="15">
        <v>26298</v>
      </c>
      <c r="AG12" s="8">
        <v>1694</v>
      </c>
      <c r="AH12" s="15">
        <v>26298</v>
      </c>
      <c r="AI12" s="8">
        <v>2761</v>
      </c>
      <c r="AJ12" s="15">
        <v>26298</v>
      </c>
      <c r="AK12" s="8">
        <v>1531</v>
      </c>
      <c r="AL12" s="15">
        <v>26298</v>
      </c>
      <c r="AM12" s="8">
        <v>3549</v>
      </c>
      <c r="AN12" s="15">
        <v>26298</v>
      </c>
      <c r="AO12" s="8">
        <v>3197</v>
      </c>
      <c r="AP12" s="5">
        <v>36464</v>
      </c>
      <c r="AQ12" s="4">
        <v>13.4</v>
      </c>
      <c r="AR12" s="11">
        <v>32598</v>
      </c>
      <c r="AS12" s="11">
        <v>32598</v>
      </c>
      <c r="AT12" s="10">
        <v>19.579999999999998</v>
      </c>
    </row>
    <row r="13" spans="1:46" x14ac:dyDescent="0.25">
      <c r="A13" s="16">
        <v>18597</v>
      </c>
      <c r="B13" s="1">
        <v>5893</v>
      </c>
      <c r="C13" s="13" t="str">
        <f t="shared" si="0"/>
        <v>61983</v>
      </c>
      <c r="D13" s="2">
        <v>30497</v>
      </c>
      <c r="E13" s="1">
        <v>-1102</v>
      </c>
      <c r="F13" s="16">
        <v>34668</v>
      </c>
      <c r="G13" s="1">
        <v>8218</v>
      </c>
      <c r="H13" s="16">
        <v>34668</v>
      </c>
      <c r="I13" s="1">
        <v>3717</v>
      </c>
      <c r="J13" s="16">
        <v>34668</v>
      </c>
      <c r="K13" s="1">
        <v>555</v>
      </c>
      <c r="L13" s="16">
        <v>34668</v>
      </c>
      <c r="M13" s="1">
        <v>1390</v>
      </c>
      <c r="N13" s="16">
        <v>34668</v>
      </c>
      <c r="O13" s="1">
        <v>1876</v>
      </c>
      <c r="P13" s="16">
        <v>34668</v>
      </c>
      <c r="Q13" s="1">
        <v>6107</v>
      </c>
      <c r="R13" s="16">
        <v>34668</v>
      </c>
      <c r="S13" s="1">
        <v>2615</v>
      </c>
      <c r="T13" s="16">
        <v>34668</v>
      </c>
      <c r="U13" s="1">
        <v>2970</v>
      </c>
      <c r="V13" s="16">
        <v>34668</v>
      </c>
      <c r="W13" s="1">
        <v>640</v>
      </c>
      <c r="X13" s="15">
        <v>26664</v>
      </c>
      <c r="Y13" s="8">
        <v>27016</v>
      </c>
      <c r="Z13" s="15">
        <v>26664</v>
      </c>
      <c r="AA13" s="8">
        <v>6016</v>
      </c>
      <c r="AB13" s="15">
        <v>26664</v>
      </c>
      <c r="AC13" s="8">
        <v>1203</v>
      </c>
      <c r="AD13" s="15">
        <v>26664</v>
      </c>
      <c r="AE13" s="8">
        <v>5023</v>
      </c>
      <c r="AF13" s="15">
        <v>26664</v>
      </c>
      <c r="AG13" s="8">
        <v>1466</v>
      </c>
      <c r="AH13" s="15">
        <v>26664</v>
      </c>
      <c r="AI13" s="8">
        <v>2239</v>
      </c>
      <c r="AJ13" s="15">
        <v>26664</v>
      </c>
      <c r="AK13" s="8">
        <v>1816</v>
      </c>
      <c r="AL13" s="15">
        <v>26664</v>
      </c>
      <c r="AM13" s="8">
        <v>3220</v>
      </c>
      <c r="AN13" s="15">
        <v>26664</v>
      </c>
      <c r="AO13" s="8">
        <v>3283</v>
      </c>
      <c r="AP13" s="5">
        <v>36494</v>
      </c>
      <c r="AQ13" s="4">
        <v>13.35</v>
      </c>
      <c r="AR13" s="11">
        <v>32626</v>
      </c>
      <c r="AS13" s="11">
        <v>32626</v>
      </c>
      <c r="AT13" s="10">
        <v>18.62</v>
      </c>
    </row>
    <row r="14" spans="1:46" x14ac:dyDescent="0.25">
      <c r="A14" s="16">
        <v>18628</v>
      </c>
      <c r="B14" s="1">
        <v>5725</v>
      </c>
      <c r="C14" s="13" t="str">
        <f t="shared" si="0"/>
        <v>71983</v>
      </c>
      <c r="D14" s="2">
        <v>30526</v>
      </c>
      <c r="E14" s="1">
        <v>2624</v>
      </c>
      <c r="F14" s="16">
        <v>34699</v>
      </c>
      <c r="G14" s="1">
        <v>8273</v>
      </c>
      <c r="H14" s="16">
        <v>34699</v>
      </c>
      <c r="I14" s="1">
        <v>3618</v>
      </c>
      <c r="J14" s="16">
        <v>34699</v>
      </c>
      <c r="K14" s="1">
        <v>555</v>
      </c>
      <c r="L14" s="16">
        <v>34699</v>
      </c>
      <c r="M14" s="1">
        <v>1390</v>
      </c>
      <c r="N14" s="16">
        <v>34699</v>
      </c>
      <c r="O14" s="1">
        <v>1862</v>
      </c>
      <c r="P14" s="16">
        <v>34699</v>
      </c>
      <c r="Q14" s="1">
        <v>6051</v>
      </c>
      <c r="R14" s="16">
        <v>34699</v>
      </c>
      <c r="S14" s="1">
        <v>2605</v>
      </c>
      <c r="T14" s="16">
        <v>34699</v>
      </c>
      <c r="U14" s="1">
        <v>2980</v>
      </c>
      <c r="V14" s="16">
        <v>34699</v>
      </c>
      <c r="W14" s="1">
        <v>700</v>
      </c>
      <c r="X14" s="15">
        <v>27029</v>
      </c>
      <c r="Y14" s="8">
        <v>30780</v>
      </c>
      <c r="Z14" s="15">
        <v>27029</v>
      </c>
      <c r="AA14" s="8">
        <v>7596</v>
      </c>
      <c r="AB14" s="15">
        <v>27029</v>
      </c>
      <c r="AC14" s="8">
        <v>1533</v>
      </c>
      <c r="AD14" s="15">
        <v>27029</v>
      </c>
      <c r="AE14" s="8">
        <v>5861</v>
      </c>
      <c r="AF14" s="15">
        <v>27029</v>
      </c>
      <c r="AG14" s="8">
        <v>2018</v>
      </c>
      <c r="AH14" s="15">
        <v>27029</v>
      </c>
      <c r="AI14" s="8">
        <v>2175</v>
      </c>
      <c r="AJ14" s="15">
        <v>27029</v>
      </c>
      <c r="AK14" s="8">
        <v>2054</v>
      </c>
      <c r="AL14" s="15">
        <v>27029</v>
      </c>
      <c r="AM14" s="8">
        <v>3366</v>
      </c>
      <c r="AN14" s="15">
        <v>27029</v>
      </c>
      <c r="AO14" s="8">
        <v>3020</v>
      </c>
      <c r="AP14" s="5">
        <v>36525</v>
      </c>
      <c r="AQ14" s="4">
        <v>13.59</v>
      </c>
      <c r="AR14" s="11">
        <v>32659</v>
      </c>
      <c r="AS14" s="11">
        <v>32659</v>
      </c>
      <c r="AT14" s="10">
        <v>17.64</v>
      </c>
    </row>
    <row r="15" spans="1:46" x14ac:dyDescent="0.25">
      <c r="A15" s="16">
        <v>18659</v>
      </c>
      <c r="B15" s="1">
        <v>5917</v>
      </c>
      <c r="C15" s="13" t="str">
        <f t="shared" si="0"/>
        <v>81983</v>
      </c>
      <c r="D15" s="2">
        <v>30559</v>
      </c>
      <c r="E15" s="1">
        <v>4136</v>
      </c>
      <c r="F15" s="16">
        <v>34730</v>
      </c>
      <c r="G15" s="1">
        <v>8120</v>
      </c>
      <c r="H15" s="16">
        <v>34730</v>
      </c>
      <c r="I15" s="1">
        <v>3585</v>
      </c>
      <c r="J15" s="16">
        <v>34730</v>
      </c>
      <c r="K15" s="1">
        <v>560</v>
      </c>
      <c r="L15" s="16">
        <v>34730</v>
      </c>
      <c r="M15" s="1">
        <v>1390</v>
      </c>
      <c r="N15" s="16">
        <v>34730</v>
      </c>
      <c r="O15" s="1">
        <v>1965</v>
      </c>
      <c r="P15" s="16">
        <v>34730</v>
      </c>
      <c r="Q15" s="1">
        <v>5899</v>
      </c>
      <c r="R15" s="16">
        <v>34730</v>
      </c>
      <c r="S15" s="1">
        <v>2600</v>
      </c>
      <c r="T15" s="16">
        <v>34730</v>
      </c>
      <c r="U15" s="1">
        <v>2925</v>
      </c>
      <c r="V15" s="16">
        <v>34730</v>
      </c>
      <c r="W15" s="1">
        <v>710</v>
      </c>
      <c r="X15" s="15">
        <v>27394</v>
      </c>
      <c r="Y15" s="8">
        <v>21452</v>
      </c>
      <c r="Z15" s="15">
        <v>27394</v>
      </c>
      <c r="AA15" s="8">
        <v>8480</v>
      </c>
      <c r="AB15" s="15">
        <v>27394</v>
      </c>
      <c r="AC15" s="8">
        <v>1679</v>
      </c>
      <c r="AD15" s="15">
        <v>27394</v>
      </c>
      <c r="AE15" s="8">
        <v>6022</v>
      </c>
      <c r="AF15" s="15">
        <v>27394</v>
      </c>
      <c r="AG15" s="8">
        <v>1971</v>
      </c>
      <c r="AH15" s="15">
        <v>27394</v>
      </c>
      <c r="AI15" s="8">
        <v>1521</v>
      </c>
      <c r="AJ15" s="15">
        <v>27394</v>
      </c>
      <c r="AK15" s="8">
        <v>2255</v>
      </c>
      <c r="AL15" s="15">
        <v>27394</v>
      </c>
      <c r="AM15" s="8">
        <v>2976</v>
      </c>
      <c r="AN15" s="15">
        <v>27394</v>
      </c>
      <c r="AO15" s="8">
        <v>2546</v>
      </c>
      <c r="AP15" s="5">
        <v>36556</v>
      </c>
      <c r="AQ15" s="4">
        <v>13.782999999999999</v>
      </c>
      <c r="AR15" s="11">
        <v>32689</v>
      </c>
      <c r="AS15" s="11">
        <v>32689</v>
      </c>
      <c r="AT15" s="10">
        <v>17.510000000000002</v>
      </c>
    </row>
    <row r="16" spans="1:46" x14ac:dyDescent="0.25">
      <c r="A16" s="16">
        <v>18687</v>
      </c>
      <c r="B16" s="1">
        <v>5934</v>
      </c>
      <c r="C16" s="13" t="str">
        <f t="shared" si="0"/>
        <v>91983</v>
      </c>
      <c r="D16" s="2">
        <v>30589</v>
      </c>
      <c r="E16" s="1">
        <v>825</v>
      </c>
      <c r="F16" s="16">
        <v>34758</v>
      </c>
      <c r="G16" s="1">
        <v>8220</v>
      </c>
      <c r="H16" s="16">
        <v>34758</v>
      </c>
      <c r="I16" s="1">
        <v>3685</v>
      </c>
      <c r="J16" s="16">
        <v>34758</v>
      </c>
      <c r="K16" s="1">
        <v>560</v>
      </c>
      <c r="L16" s="16">
        <v>34758</v>
      </c>
      <c r="M16" s="1">
        <v>1390</v>
      </c>
      <c r="N16" s="16">
        <v>34758</v>
      </c>
      <c r="O16" s="1">
        <v>1945</v>
      </c>
      <c r="P16" s="16">
        <v>34758</v>
      </c>
      <c r="Q16" s="1">
        <v>6091</v>
      </c>
      <c r="R16" s="16">
        <v>34758</v>
      </c>
      <c r="S16" s="1">
        <v>2600</v>
      </c>
      <c r="T16" s="16">
        <v>34758</v>
      </c>
      <c r="U16" s="1">
        <v>2975</v>
      </c>
      <c r="V16" s="16">
        <v>34758</v>
      </c>
      <c r="W16" s="1">
        <v>710</v>
      </c>
      <c r="X16" s="15">
        <v>27759</v>
      </c>
      <c r="Y16" s="8">
        <v>26994</v>
      </c>
      <c r="Z16" s="15">
        <v>27759</v>
      </c>
      <c r="AA16" s="8">
        <v>7075</v>
      </c>
      <c r="AB16" s="15">
        <v>27759</v>
      </c>
      <c r="AC16" s="8">
        <v>1664</v>
      </c>
      <c r="AD16" s="15">
        <v>27759</v>
      </c>
      <c r="AE16" s="8">
        <v>5350</v>
      </c>
      <c r="AF16" s="15">
        <v>27759</v>
      </c>
      <c r="AG16" s="8">
        <v>2262</v>
      </c>
      <c r="AH16" s="15">
        <v>27759</v>
      </c>
      <c r="AI16" s="8">
        <v>1480</v>
      </c>
      <c r="AJ16" s="15">
        <v>27759</v>
      </c>
      <c r="AK16" s="8">
        <v>1783</v>
      </c>
      <c r="AL16" s="15">
        <v>27759</v>
      </c>
      <c r="AM16" s="8">
        <v>2346</v>
      </c>
      <c r="AN16" s="15">
        <v>27759</v>
      </c>
      <c r="AO16" s="8">
        <v>2084</v>
      </c>
      <c r="AP16" s="5">
        <v>36585</v>
      </c>
      <c r="AQ16" s="4">
        <v>12.997</v>
      </c>
      <c r="AR16" s="11">
        <v>32720</v>
      </c>
      <c r="AS16" s="11">
        <v>32720</v>
      </c>
      <c r="AT16" s="10">
        <v>16.670000000000002</v>
      </c>
    </row>
    <row r="17" spans="1:46" x14ac:dyDescent="0.25">
      <c r="A17" s="16">
        <v>18718</v>
      </c>
      <c r="B17" s="1">
        <v>6057</v>
      </c>
      <c r="C17" s="13" t="str">
        <f t="shared" si="0"/>
        <v>101983</v>
      </c>
      <c r="D17" s="2">
        <v>30620</v>
      </c>
      <c r="E17" s="1">
        <v>-7471</v>
      </c>
      <c r="F17" s="16">
        <v>34789</v>
      </c>
      <c r="G17" s="1">
        <v>8110</v>
      </c>
      <c r="H17" s="16">
        <v>34789</v>
      </c>
      <c r="I17" s="1">
        <v>3485</v>
      </c>
      <c r="J17" s="16">
        <v>34789</v>
      </c>
      <c r="K17" s="1">
        <v>560</v>
      </c>
      <c r="L17" s="16">
        <v>34789</v>
      </c>
      <c r="M17" s="1">
        <v>1390</v>
      </c>
      <c r="N17" s="16">
        <v>34789</v>
      </c>
      <c r="O17" s="1">
        <v>1855</v>
      </c>
      <c r="P17" s="16">
        <v>34789</v>
      </c>
      <c r="Q17" s="1">
        <v>5899</v>
      </c>
      <c r="R17" s="16">
        <v>34789</v>
      </c>
      <c r="S17" s="1">
        <v>2600</v>
      </c>
      <c r="T17" s="16">
        <v>34789</v>
      </c>
      <c r="U17" s="1">
        <v>2975</v>
      </c>
      <c r="V17" s="16">
        <v>34789</v>
      </c>
      <c r="W17" s="1">
        <v>685</v>
      </c>
      <c r="X17" s="15">
        <v>28125</v>
      </c>
      <c r="Y17" s="8">
        <v>30550</v>
      </c>
      <c r="Z17" s="15">
        <v>28125</v>
      </c>
      <c r="AA17" s="8">
        <v>8577</v>
      </c>
      <c r="AB17" s="15">
        <v>28125</v>
      </c>
      <c r="AC17" s="8">
        <v>1936</v>
      </c>
      <c r="AD17" s="15">
        <v>28125</v>
      </c>
      <c r="AE17" s="8">
        <v>5883</v>
      </c>
      <c r="AF17" s="15">
        <v>28125</v>
      </c>
      <c r="AG17" s="8">
        <v>2415</v>
      </c>
      <c r="AH17" s="15">
        <v>28125</v>
      </c>
      <c r="AI17" s="8">
        <v>1933</v>
      </c>
      <c r="AJ17" s="15">
        <v>28125</v>
      </c>
      <c r="AK17" s="8">
        <v>2067</v>
      </c>
      <c r="AL17" s="15">
        <v>28125</v>
      </c>
      <c r="AM17" s="8">
        <v>2294</v>
      </c>
      <c r="AN17" s="15">
        <v>28125</v>
      </c>
      <c r="AO17" s="8">
        <v>2145</v>
      </c>
      <c r="AP17" s="5">
        <v>36616</v>
      </c>
      <c r="AQ17" s="4">
        <v>14.074999999999999</v>
      </c>
      <c r="AR17" s="11">
        <v>32751</v>
      </c>
      <c r="AS17" s="11">
        <v>32751</v>
      </c>
      <c r="AT17" s="10">
        <v>17.239999999999998</v>
      </c>
    </row>
    <row r="18" spans="1:46" x14ac:dyDescent="0.25">
      <c r="A18" s="16">
        <v>18748</v>
      </c>
      <c r="B18" s="1">
        <v>6129</v>
      </c>
      <c r="C18" s="13" t="str">
        <f t="shared" si="0"/>
        <v>111983</v>
      </c>
      <c r="D18" s="2">
        <v>30650</v>
      </c>
      <c r="E18" s="1">
        <v>-4155</v>
      </c>
      <c r="F18" s="16">
        <v>34819</v>
      </c>
      <c r="G18" s="1">
        <v>8220</v>
      </c>
      <c r="H18" s="16">
        <v>34819</v>
      </c>
      <c r="I18" s="1">
        <v>3635</v>
      </c>
      <c r="J18" s="16">
        <v>34819</v>
      </c>
      <c r="K18" s="1">
        <v>560</v>
      </c>
      <c r="L18" s="16">
        <v>34819</v>
      </c>
      <c r="M18" s="1">
        <v>1390</v>
      </c>
      <c r="N18" s="16">
        <v>34819</v>
      </c>
      <c r="O18" s="1">
        <v>2015</v>
      </c>
      <c r="P18" s="16">
        <v>34819</v>
      </c>
      <c r="Q18" s="1">
        <v>5995</v>
      </c>
      <c r="R18" s="16">
        <v>34819</v>
      </c>
      <c r="S18" s="1">
        <v>2670</v>
      </c>
      <c r="T18" s="16">
        <v>34819</v>
      </c>
      <c r="U18" s="1">
        <v>2975</v>
      </c>
      <c r="V18" s="16">
        <v>34819</v>
      </c>
      <c r="W18" s="1">
        <v>700</v>
      </c>
      <c r="X18" s="15">
        <v>28490</v>
      </c>
      <c r="Y18" s="8">
        <v>31070</v>
      </c>
      <c r="Z18" s="15">
        <v>28490</v>
      </c>
      <c r="AA18" s="8">
        <v>9200</v>
      </c>
      <c r="AB18" s="15">
        <v>28490</v>
      </c>
      <c r="AC18" s="8">
        <v>1999</v>
      </c>
      <c r="AD18" s="15">
        <v>28490</v>
      </c>
      <c r="AE18" s="8">
        <v>5663</v>
      </c>
      <c r="AF18" s="15">
        <v>28490</v>
      </c>
      <c r="AG18" s="8">
        <v>2348</v>
      </c>
      <c r="AH18" s="15">
        <v>28490</v>
      </c>
      <c r="AI18" s="8">
        <v>2063</v>
      </c>
      <c r="AJ18" s="15">
        <v>28490</v>
      </c>
      <c r="AK18" s="8">
        <v>2085</v>
      </c>
      <c r="AL18" s="15">
        <v>28490</v>
      </c>
      <c r="AM18" s="8">
        <v>2238</v>
      </c>
      <c r="AN18" s="15">
        <v>28490</v>
      </c>
      <c r="AO18" s="8">
        <v>1969</v>
      </c>
      <c r="AP18" s="5">
        <v>36646</v>
      </c>
      <c r="AQ18" s="4">
        <v>13.385</v>
      </c>
      <c r="AR18" s="11">
        <v>32780</v>
      </c>
      <c r="AS18" s="11">
        <v>32780</v>
      </c>
      <c r="AT18" s="10">
        <v>18.16</v>
      </c>
    </row>
    <row r="19" spans="1:46" x14ac:dyDescent="0.25">
      <c r="A19" s="16">
        <v>18779</v>
      </c>
      <c r="B19" s="1">
        <v>6181</v>
      </c>
      <c r="C19" s="13" t="str">
        <f t="shared" si="0"/>
        <v>121983</v>
      </c>
      <c r="D19" s="2">
        <v>30680</v>
      </c>
      <c r="E19" s="1">
        <v>559</v>
      </c>
      <c r="F19" s="16">
        <v>34850</v>
      </c>
      <c r="G19" s="1">
        <v>8400</v>
      </c>
      <c r="H19" s="16">
        <v>34850</v>
      </c>
      <c r="I19" s="1">
        <v>3835</v>
      </c>
      <c r="J19" s="16">
        <v>34850</v>
      </c>
      <c r="K19" s="1">
        <v>560</v>
      </c>
      <c r="L19" s="16">
        <v>34850</v>
      </c>
      <c r="M19" s="1">
        <v>1390</v>
      </c>
      <c r="N19" s="16">
        <v>34850</v>
      </c>
      <c r="O19" s="1">
        <v>2045</v>
      </c>
      <c r="P19" s="16">
        <v>34850</v>
      </c>
      <c r="Q19" s="1">
        <v>6091</v>
      </c>
      <c r="R19" s="16">
        <v>34850</v>
      </c>
      <c r="S19" s="1">
        <v>2790</v>
      </c>
      <c r="T19" s="16">
        <v>34850</v>
      </c>
      <c r="U19" s="1">
        <v>2955</v>
      </c>
      <c r="V19" s="16">
        <v>34850</v>
      </c>
      <c r="W19" s="1">
        <v>330</v>
      </c>
      <c r="X19" s="15">
        <v>28855</v>
      </c>
      <c r="Y19" s="8">
        <v>29604</v>
      </c>
      <c r="Z19" s="15">
        <v>28855</v>
      </c>
      <c r="AA19" s="8">
        <v>8301</v>
      </c>
      <c r="AB19" s="15">
        <v>28855</v>
      </c>
      <c r="AC19" s="8">
        <v>1831</v>
      </c>
      <c r="AD19" s="15">
        <v>28855</v>
      </c>
      <c r="AE19" s="8">
        <v>5242</v>
      </c>
      <c r="AF19" s="15">
        <v>28855</v>
      </c>
      <c r="AG19" s="8">
        <v>2562</v>
      </c>
      <c r="AH19" s="15">
        <v>28855</v>
      </c>
      <c r="AI19" s="8">
        <v>1983</v>
      </c>
      <c r="AJ19" s="15">
        <v>28855</v>
      </c>
      <c r="AK19" s="8">
        <v>1897</v>
      </c>
      <c r="AL19" s="15">
        <v>28855</v>
      </c>
      <c r="AM19" s="8">
        <v>2166</v>
      </c>
      <c r="AN19" s="15">
        <v>28855</v>
      </c>
      <c r="AO19" s="8">
        <v>2131</v>
      </c>
      <c r="AP19" s="5">
        <v>36677</v>
      </c>
      <c r="AQ19" s="4">
        <v>13.71</v>
      </c>
      <c r="AR19" s="11">
        <v>32812</v>
      </c>
      <c r="AS19" s="11">
        <v>32812</v>
      </c>
      <c r="AT19" s="10">
        <v>18.63</v>
      </c>
    </row>
    <row r="20" spans="1:46" x14ac:dyDescent="0.25">
      <c r="A20" s="16">
        <v>18809</v>
      </c>
      <c r="B20" s="1">
        <v>6135</v>
      </c>
      <c r="C20" s="13" t="str">
        <f t="shared" si="0"/>
        <v>11984</v>
      </c>
      <c r="D20" s="2">
        <v>30712</v>
      </c>
      <c r="E20" s="1">
        <v>-3510</v>
      </c>
      <c r="F20" s="16">
        <v>34880</v>
      </c>
      <c r="G20" s="1">
        <v>8100</v>
      </c>
      <c r="H20" s="16">
        <v>34880</v>
      </c>
      <c r="I20" s="1">
        <v>3585</v>
      </c>
      <c r="J20" s="16">
        <v>34880</v>
      </c>
      <c r="K20" s="1">
        <v>560</v>
      </c>
      <c r="L20" s="16">
        <v>34880</v>
      </c>
      <c r="M20" s="1">
        <v>1390</v>
      </c>
      <c r="N20" s="16">
        <v>34880</v>
      </c>
      <c r="O20" s="1">
        <v>1925</v>
      </c>
      <c r="P20" s="16">
        <v>34880</v>
      </c>
      <c r="Q20" s="1">
        <v>6086</v>
      </c>
      <c r="R20" s="16">
        <v>34880</v>
      </c>
      <c r="S20" s="1">
        <v>2790</v>
      </c>
      <c r="T20" s="16">
        <v>34880</v>
      </c>
      <c r="U20" s="1">
        <v>2955</v>
      </c>
      <c r="V20" s="16">
        <v>34880</v>
      </c>
      <c r="W20" s="1">
        <v>710</v>
      </c>
      <c r="X20" s="15">
        <v>29220</v>
      </c>
      <c r="Y20" s="8">
        <v>30511</v>
      </c>
      <c r="Z20" s="15">
        <v>29220</v>
      </c>
      <c r="AA20" s="8">
        <v>9533</v>
      </c>
      <c r="AB20" s="15">
        <v>29220</v>
      </c>
      <c r="AC20" s="8">
        <v>1831</v>
      </c>
      <c r="AD20" s="15">
        <v>29220</v>
      </c>
      <c r="AE20" s="8">
        <v>3168</v>
      </c>
      <c r="AF20" s="15">
        <v>29220</v>
      </c>
      <c r="AG20" s="8">
        <v>3477</v>
      </c>
      <c r="AH20" s="15">
        <v>29220</v>
      </c>
      <c r="AI20" s="8">
        <v>2092</v>
      </c>
      <c r="AJ20" s="15">
        <v>29220</v>
      </c>
      <c r="AK20" s="8">
        <v>2302</v>
      </c>
      <c r="AL20" s="15">
        <v>29220</v>
      </c>
      <c r="AM20" s="8">
        <v>2356</v>
      </c>
      <c r="AN20" s="15">
        <v>29220</v>
      </c>
      <c r="AO20" s="8">
        <v>2500</v>
      </c>
      <c r="AP20" s="5">
        <v>36707</v>
      </c>
      <c r="AQ20" s="4">
        <v>13.443</v>
      </c>
      <c r="AR20" s="11">
        <v>32842</v>
      </c>
      <c r="AS20" s="11">
        <v>32842</v>
      </c>
      <c r="AT20" s="10">
        <v>18.489999999999998</v>
      </c>
    </row>
    <row r="21" spans="1:46" x14ac:dyDescent="0.25">
      <c r="A21" s="16">
        <v>18840</v>
      </c>
      <c r="B21" s="1">
        <v>6149</v>
      </c>
      <c r="C21" s="13" t="str">
        <f t="shared" si="0"/>
        <v>21984</v>
      </c>
      <c r="D21" s="2">
        <v>30741</v>
      </c>
      <c r="E21" s="1">
        <v>-4098</v>
      </c>
      <c r="F21" s="16">
        <v>34911</v>
      </c>
      <c r="G21" s="1">
        <v>8410</v>
      </c>
      <c r="H21" s="16">
        <v>34911</v>
      </c>
      <c r="I21" s="1">
        <v>3535</v>
      </c>
      <c r="J21" s="16">
        <v>34911</v>
      </c>
      <c r="K21" s="1">
        <v>560</v>
      </c>
      <c r="L21" s="16">
        <v>34911</v>
      </c>
      <c r="M21" s="1">
        <v>1390</v>
      </c>
      <c r="N21" s="16">
        <v>34911</v>
      </c>
      <c r="O21" s="1">
        <v>1945</v>
      </c>
      <c r="P21" s="16">
        <v>34911</v>
      </c>
      <c r="Q21" s="1">
        <v>6004</v>
      </c>
      <c r="R21" s="16">
        <v>34911</v>
      </c>
      <c r="S21" s="1">
        <v>2790</v>
      </c>
      <c r="T21" s="16">
        <v>34911</v>
      </c>
      <c r="U21" s="1">
        <v>2955</v>
      </c>
      <c r="V21" s="16">
        <v>34911</v>
      </c>
      <c r="W21" s="1">
        <v>750</v>
      </c>
      <c r="X21" s="15">
        <v>29586</v>
      </c>
      <c r="Y21" s="8">
        <v>26851</v>
      </c>
      <c r="Z21" s="15">
        <v>29586</v>
      </c>
      <c r="AA21" s="8">
        <v>9901</v>
      </c>
      <c r="AB21" s="15">
        <v>29586</v>
      </c>
      <c r="AC21" s="8">
        <v>1702</v>
      </c>
      <c r="AD21" s="15">
        <v>29586</v>
      </c>
      <c r="AE21" s="8">
        <v>1467</v>
      </c>
      <c r="AF21" s="15">
        <v>29586</v>
      </c>
      <c r="AG21" s="8">
        <v>2646</v>
      </c>
      <c r="AH21" s="15">
        <v>29586</v>
      </c>
      <c r="AI21" s="8">
        <v>1832</v>
      </c>
      <c r="AJ21" s="15">
        <v>29586</v>
      </c>
      <c r="AK21" s="8">
        <v>2058</v>
      </c>
      <c r="AL21" s="15">
        <v>29586</v>
      </c>
      <c r="AM21" s="8">
        <v>2165</v>
      </c>
      <c r="AN21" s="15">
        <v>29586</v>
      </c>
      <c r="AO21" s="8">
        <v>1664</v>
      </c>
      <c r="AP21" s="5">
        <v>36738</v>
      </c>
      <c r="AQ21" s="4">
        <v>13.675000000000001</v>
      </c>
      <c r="AR21" s="11">
        <v>32871</v>
      </c>
      <c r="AS21" s="11">
        <v>32871</v>
      </c>
      <c r="AT21" s="10">
        <v>20.28</v>
      </c>
    </row>
    <row r="22" spans="1:46" x14ac:dyDescent="0.25">
      <c r="A22" s="16">
        <v>18871</v>
      </c>
      <c r="B22" s="1">
        <v>6243</v>
      </c>
      <c r="C22" s="13" t="str">
        <f t="shared" si="0"/>
        <v>31984</v>
      </c>
      <c r="D22" s="2">
        <v>30771</v>
      </c>
      <c r="E22" s="1">
        <v>1434</v>
      </c>
      <c r="F22" s="16">
        <v>34942</v>
      </c>
      <c r="G22" s="1">
        <v>8425</v>
      </c>
      <c r="H22" s="16">
        <v>34942</v>
      </c>
      <c r="I22" s="1">
        <v>3685</v>
      </c>
      <c r="J22" s="16">
        <v>34942</v>
      </c>
      <c r="K22" s="1">
        <v>560</v>
      </c>
      <c r="L22" s="16">
        <v>34942</v>
      </c>
      <c r="M22" s="1">
        <v>1390</v>
      </c>
      <c r="N22" s="16">
        <v>34942</v>
      </c>
      <c r="O22" s="1">
        <v>2000</v>
      </c>
      <c r="P22" s="16">
        <v>34942</v>
      </c>
      <c r="Q22" s="1">
        <v>6050</v>
      </c>
      <c r="R22" s="16">
        <v>34942</v>
      </c>
      <c r="S22" s="1">
        <v>2790</v>
      </c>
      <c r="T22" s="16">
        <v>34942</v>
      </c>
      <c r="U22" s="1">
        <v>2990</v>
      </c>
      <c r="V22" s="16">
        <v>34942</v>
      </c>
      <c r="W22" s="1">
        <v>760</v>
      </c>
      <c r="X22" s="15">
        <v>29951</v>
      </c>
      <c r="Y22" s="8">
        <v>22485</v>
      </c>
      <c r="Z22" s="15">
        <v>29951</v>
      </c>
      <c r="AA22" s="8">
        <v>9808</v>
      </c>
      <c r="AB22" s="15">
        <v>29951</v>
      </c>
      <c r="AC22" s="8">
        <v>1502</v>
      </c>
      <c r="AD22" s="15">
        <v>29951</v>
      </c>
      <c r="AE22" s="8">
        <v>1316</v>
      </c>
      <c r="AF22" s="15">
        <v>29951</v>
      </c>
      <c r="AG22" s="8">
        <v>897</v>
      </c>
      <c r="AH22" s="15">
        <v>29951</v>
      </c>
      <c r="AI22" s="8">
        <v>1218</v>
      </c>
      <c r="AJ22" s="15">
        <v>29951</v>
      </c>
      <c r="AK22" s="8">
        <v>1440</v>
      </c>
      <c r="AL22" s="15">
        <v>29951</v>
      </c>
      <c r="AM22" s="8">
        <v>2108</v>
      </c>
      <c r="AN22" s="15">
        <v>29951</v>
      </c>
      <c r="AO22" s="8">
        <v>1130</v>
      </c>
      <c r="AP22" s="5">
        <v>36769</v>
      </c>
      <c r="AQ22" s="4">
        <v>13.552</v>
      </c>
      <c r="AR22" s="11">
        <v>32904</v>
      </c>
      <c r="AS22" s="11">
        <v>32904</v>
      </c>
      <c r="AT22" s="10">
        <v>20.059999999999999</v>
      </c>
    </row>
    <row r="23" spans="1:46" x14ac:dyDescent="0.25">
      <c r="A23" s="16">
        <v>18901</v>
      </c>
      <c r="B23" s="1">
        <v>6267</v>
      </c>
      <c r="C23" s="13" t="str">
        <f t="shared" si="0"/>
        <v>41984</v>
      </c>
      <c r="D23" s="2">
        <v>30802</v>
      </c>
      <c r="E23" s="1">
        <v>-3781</v>
      </c>
      <c r="F23" s="16">
        <v>34972</v>
      </c>
      <c r="G23" s="1">
        <v>8315</v>
      </c>
      <c r="H23" s="16">
        <v>34972</v>
      </c>
      <c r="I23" s="1">
        <v>3635</v>
      </c>
      <c r="J23" s="16">
        <v>34972</v>
      </c>
      <c r="K23" s="1">
        <v>560</v>
      </c>
      <c r="L23" s="16">
        <v>34972</v>
      </c>
      <c r="M23" s="1">
        <v>1390</v>
      </c>
      <c r="N23" s="16">
        <v>34972</v>
      </c>
      <c r="O23" s="1">
        <v>2005</v>
      </c>
      <c r="P23" s="16">
        <v>34972</v>
      </c>
      <c r="Q23" s="1">
        <v>6017</v>
      </c>
      <c r="R23" s="16">
        <v>34972</v>
      </c>
      <c r="S23" s="1">
        <v>2790</v>
      </c>
      <c r="T23" s="16">
        <v>34972</v>
      </c>
      <c r="U23" s="1">
        <v>3044</v>
      </c>
      <c r="V23" s="16">
        <v>34972</v>
      </c>
      <c r="W23" s="1">
        <v>730</v>
      </c>
      <c r="X23" s="15">
        <v>30316</v>
      </c>
      <c r="Y23" s="8">
        <v>18760</v>
      </c>
      <c r="Z23" s="15">
        <v>30316</v>
      </c>
      <c r="AA23" s="8">
        <v>6483</v>
      </c>
      <c r="AB23" s="15">
        <v>30316</v>
      </c>
      <c r="AC23" s="8">
        <v>1249</v>
      </c>
      <c r="AD23" s="15">
        <v>30316</v>
      </c>
      <c r="AE23" s="8">
        <v>2391</v>
      </c>
      <c r="AF23" s="15">
        <v>30316</v>
      </c>
      <c r="AG23" s="8">
        <v>978</v>
      </c>
      <c r="AH23" s="15">
        <v>30316</v>
      </c>
      <c r="AI23" s="8">
        <v>1136</v>
      </c>
      <c r="AJ23" s="15">
        <v>30316</v>
      </c>
      <c r="AK23" s="8">
        <v>1287</v>
      </c>
      <c r="AL23" s="15">
        <v>30316</v>
      </c>
      <c r="AM23" s="8">
        <v>1895</v>
      </c>
      <c r="AN23" s="15">
        <v>30316</v>
      </c>
      <c r="AO23" s="8">
        <v>824</v>
      </c>
      <c r="AP23" s="5">
        <v>36799</v>
      </c>
      <c r="AQ23" s="4">
        <v>13.363</v>
      </c>
      <c r="AR23" s="11">
        <v>32932</v>
      </c>
      <c r="AS23" s="11">
        <v>32932</v>
      </c>
      <c r="AT23" s="10">
        <v>19.48</v>
      </c>
    </row>
    <row r="24" spans="1:46" x14ac:dyDescent="0.25">
      <c r="A24" s="16">
        <v>18932</v>
      </c>
      <c r="B24" s="1">
        <v>6392</v>
      </c>
      <c r="C24" s="13" t="str">
        <f t="shared" si="0"/>
        <v>51984</v>
      </c>
      <c r="D24" s="2">
        <v>30833</v>
      </c>
      <c r="E24" s="1">
        <v>-8045</v>
      </c>
      <c r="F24" s="16">
        <v>35003</v>
      </c>
      <c r="G24" s="1">
        <v>8315</v>
      </c>
      <c r="H24" s="16">
        <v>35003</v>
      </c>
      <c r="I24" s="1">
        <v>3735</v>
      </c>
      <c r="J24" s="16">
        <v>35003</v>
      </c>
      <c r="K24" s="1">
        <v>560</v>
      </c>
      <c r="L24" s="16">
        <v>35003</v>
      </c>
      <c r="M24" s="1">
        <v>1390</v>
      </c>
      <c r="N24" s="16">
        <v>35003</v>
      </c>
      <c r="O24" s="1">
        <v>2025</v>
      </c>
      <c r="P24" s="16">
        <v>35003</v>
      </c>
      <c r="Q24" s="1">
        <v>6027</v>
      </c>
      <c r="R24" s="16">
        <v>35003</v>
      </c>
      <c r="S24" s="1">
        <v>2840</v>
      </c>
      <c r="T24" s="16">
        <v>35003</v>
      </c>
      <c r="U24" s="1">
        <v>3044</v>
      </c>
      <c r="V24" s="16">
        <v>35003</v>
      </c>
      <c r="W24" s="1">
        <v>755</v>
      </c>
      <c r="X24" s="15">
        <v>30681</v>
      </c>
      <c r="Y24" s="8">
        <v>16755</v>
      </c>
      <c r="Z24" s="15">
        <v>30681</v>
      </c>
      <c r="AA24" s="8">
        <v>4539</v>
      </c>
      <c r="AB24" s="15">
        <v>30681</v>
      </c>
      <c r="AC24" s="8">
        <v>1149</v>
      </c>
      <c r="AD24" s="15">
        <v>30681</v>
      </c>
      <c r="AE24" s="8">
        <v>2442</v>
      </c>
      <c r="AF24" s="15">
        <v>30681</v>
      </c>
      <c r="AG24" s="8">
        <v>1099</v>
      </c>
      <c r="AH24" s="15">
        <v>30681</v>
      </c>
      <c r="AI24" s="8">
        <v>1105</v>
      </c>
      <c r="AJ24" s="15">
        <v>30681</v>
      </c>
      <c r="AK24" s="8">
        <v>1236</v>
      </c>
      <c r="AL24" s="15">
        <v>30681</v>
      </c>
      <c r="AM24" s="8">
        <v>1801</v>
      </c>
      <c r="AN24" s="15">
        <v>30681</v>
      </c>
      <c r="AO24" s="8">
        <v>1054</v>
      </c>
      <c r="AP24" s="5">
        <v>36830</v>
      </c>
      <c r="AQ24" s="4">
        <v>13.632999999999999</v>
      </c>
      <c r="AR24" s="11">
        <v>32962</v>
      </c>
      <c r="AS24" s="11">
        <v>32962</v>
      </c>
      <c r="AT24" s="10">
        <v>18.38</v>
      </c>
    </row>
    <row r="25" spans="1:46" x14ac:dyDescent="0.25">
      <c r="A25" s="16">
        <v>18962</v>
      </c>
      <c r="B25" s="1">
        <v>6283</v>
      </c>
      <c r="C25" s="13" t="str">
        <f t="shared" si="0"/>
        <v>61984</v>
      </c>
      <c r="D25" s="2">
        <v>30862</v>
      </c>
      <c r="E25" s="1">
        <v>4285</v>
      </c>
      <c r="F25" s="16">
        <v>35033</v>
      </c>
      <c r="G25" s="1">
        <v>8020</v>
      </c>
      <c r="H25" s="16">
        <v>35033</v>
      </c>
      <c r="I25" s="1">
        <v>3635</v>
      </c>
      <c r="J25" s="16">
        <v>35033</v>
      </c>
      <c r="K25" s="1">
        <v>560</v>
      </c>
      <c r="L25" s="16">
        <v>35033</v>
      </c>
      <c r="M25" s="1">
        <v>1390</v>
      </c>
      <c r="N25" s="16">
        <v>35033</v>
      </c>
      <c r="O25" s="1">
        <v>2075</v>
      </c>
      <c r="P25" s="16">
        <v>35033</v>
      </c>
      <c r="Q25" s="1">
        <v>5885</v>
      </c>
      <c r="R25" s="16">
        <v>35033</v>
      </c>
      <c r="S25" s="1">
        <v>2840</v>
      </c>
      <c r="T25" s="16">
        <v>35033</v>
      </c>
      <c r="U25" s="1">
        <v>3044</v>
      </c>
      <c r="V25" s="16">
        <v>35033</v>
      </c>
      <c r="W25" s="1">
        <v>750</v>
      </c>
      <c r="X25" s="15">
        <v>31047</v>
      </c>
      <c r="Y25" s="8">
        <v>15934</v>
      </c>
      <c r="Z25" s="15">
        <v>31047</v>
      </c>
      <c r="AA25" s="8">
        <v>4079</v>
      </c>
      <c r="AB25" s="15">
        <v>31047</v>
      </c>
      <c r="AC25" s="8">
        <v>1069</v>
      </c>
      <c r="AD25" s="15">
        <v>31047</v>
      </c>
      <c r="AE25" s="8">
        <v>2032</v>
      </c>
      <c r="AF25" s="15">
        <v>31047</v>
      </c>
      <c r="AG25" s="8">
        <v>1221</v>
      </c>
      <c r="AH25" s="15">
        <v>31047</v>
      </c>
      <c r="AI25" s="8">
        <v>985</v>
      </c>
      <c r="AJ25" s="15">
        <v>31047</v>
      </c>
      <c r="AK25" s="8">
        <v>1388</v>
      </c>
      <c r="AL25" s="15">
        <v>31047</v>
      </c>
      <c r="AM25" s="8">
        <v>1696</v>
      </c>
      <c r="AN25" s="15">
        <v>31047</v>
      </c>
      <c r="AO25" s="8">
        <v>1163</v>
      </c>
      <c r="AP25" s="5">
        <v>36860</v>
      </c>
      <c r="AQ25" s="4">
        <v>13.176</v>
      </c>
      <c r="AR25" s="11">
        <v>32993</v>
      </c>
      <c r="AS25" s="11">
        <v>32993</v>
      </c>
      <c r="AT25" s="10">
        <v>17.12</v>
      </c>
    </row>
    <row r="26" spans="1:46" x14ac:dyDescent="0.25">
      <c r="A26" s="16">
        <v>18993</v>
      </c>
      <c r="B26" s="1">
        <v>6193</v>
      </c>
      <c r="C26" s="13" t="str">
        <f t="shared" si="0"/>
        <v>71984</v>
      </c>
      <c r="D26" s="2">
        <v>30894</v>
      </c>
      <c r="E26" s="1">
        <v>-8223</v>
      </c>
      <c r="F26" s="16">
        <v>35064</v>
      </c>
      <c r="G26" s="1">
        <v>8110</v>
      </c>
      <c r="H26" s="16">
        <v>35064</v>
      </c>
      <c r="I26" s="1">
        <v>3685</v>
      </c>
      <c r="J26" s="16">
        <v>35064</v>
      </c>
      <c r="K26" s="1">
        <v>560</v>
      </c>
      <c r="L26" s="16">
        <v>35064</v>
      </c>
      <c r="M26" s="1">
        <v>1390</v>
      </c>
      <c r="N26" s="16">
        <v>35064</v>
      </c>
      <c r="O26" s="1">
        <v>2110</v>
      </c>
      <c r="P26" s="16">
        <v>35064</v>
      </c>
      <c r="Q26" s="1">
        <v>5908</v>
      </c>
      <c r="R26" s="16">
        <v>35064</v>
      </c>
      <c r="S26" s="1">
        <v>2890</v>
      </c>
      <c r="T26" s="16">
        <v>35064</v>
      </c>
      <c r="U26" s="1">
        <v>3044</v>
      </c>
      <c r="V26" s="16">
        <v>35064</v>
      </c>
      <c r="W26" s="1">
        <v>760</v>
      </c>
      <c r="X26" s="15">
        <v>31412</v>
      </c>
      <c r="Y26" s="8">
        <v>14921</v>
      </c>
      <c r="Z26" s="15">
        <v>31412</v>
      </c>
      <c r="AA26" s="8">
        <v>3175</v>
      </c>
      <c r="AB26" s="15">
        <v>31412</v>
      </c>
      <c r="AC26" s="8">
        <v>1063</v>
      </c>
      <c r="AD26" s="15">
        <v>31412</v>
      </c>
      <c r="AE26" s="8">
        <v>2192</v>
      </c>
      <c r="AF26" s="15">
        <v>31412</v>
      </c>
      <c r="AG26" s="8">
        <v>1404</v>
      </c>
      <c r="AH26" s="15">
        <v>31412</v>
      </c>
      <c r="AI26" s="8">
        <v>1032</v>
      </c>
      <c r="AJ26" s="15">
        <v>31412</v>
      </c>
      <c r="AK26" s="8">
        <v>1499</v>
      </c>
      <c r="AL26" s="15">
        <v>31412</v>
      </c>
      <c r="AM26" s="8">
        <v>1564</v>
      </c>
      <c r="AN26" s="15">
        <v>31412</v>
      </c>
      <c r="AO26" s="8">
        <v>936</v>
      </c>
      <c r="AP26" s="5">
        <v>36891</v>
      </c>
      <c r="AQ26" s="4">
        <v>13.749000000000001</v>
      </c>
      <c r="AR26" s="11">
        <v>33024</v>
      </c>
      <c r="AS26" s="11">
        <v>33024</v>
      </c>
      <c r="AT26" s="10">
        <v>16.239999999999998</v>
      </c>
    </row>
    <row r="27" spans="1:46" x14ac:dyDescent="0.25">
      <c r="A27" s="16">
        <v>19024</v>
      </c>
      <c r="B27" s="1">
        <v>6221</v>
      </c>
      <c r="C27" s="13" t="str">
        <f t="shared" si="0"/>
        <v>81984</v>
      </c>
      <c r="D27" s="2">
        <v>30925</v>
      </c>
      <c r="E27" s="1">
        <v>-4495</v>
      </c>
      <c r="F27" s="16">
        <v>35095</v>
      </c>
      <c r="G27" s="1">
        <v>8118</v>
      </c>
      <c r="H27" s="16">
        <v>35095</v>
      </c>
      <c r="I27" s="1">
        <v>3735</v>
      </c>
      <c r="J27" s="16">
        <v>35095</v>
      </c>
      <c r="K27" s="1">
        <v>550</v>
      </c>
      <c r="L27" s="16">
        <v>35095</v>
      </c>
      <c r="M27" s="1">
        <v>1400</v>
      </c>
      <c r="N27" s="16">
        <v>35095</v>
      </c>
      <c r="O27" s="1">
        <v>1974</v>
      </c>
      <c r="P27" s="16">
        <v>35095</v>
      </c>
      <c r="Q27" s="1">
        <v>5839</v>
      </c>
      <c r="R27" s="16">
        <v>35095</v>
      </c>
      <c r="S27" s="1">
        <v>2829</v>
      </c>
      <c r="T27" s="16">
        <v>35095</v>
      </c>
      <c r="U27" s="1">
        <v>3115</v>
      </c>
      <c r="V27" s="16">
        <v>35095</v>
      </c>
      <c r="W27" s="1">
        <v>770</v>
      </c>
      <c r="X27" s="15">
        <v>31777</v>
      </c>
      <c r="Y27" s="8">
        <v>17660</v>
      </c>
      <c r="Z27" s="15">
        <v>31777</v>
      </c>
      <c r="AA27" s="8">
        <v>4784</v>
      </c>
      <c r="AB27" s="15">
        <v>31777</v>
      </c>
      <c r="AC27" s="8">
        <v>1367</v>
      </c>
      <c r="AD27" s="15">
        <v>31777</v>
      </c>
      <c r="AE27" s="8">
        <v>2037</v>
      </c>
      <c r="AF27" s="15">
        <v>31777</v>
      </c>
      <c r="AG27" s="8">
        <v>1877</v>
      </c>
      <c r="AH27" s="15">
        <v>31777</v>
      </c>
      <c r="AI27" s="8">
        <v>1308</v>
      </c>
      <c r="AJ27" s="15">
        <v>31777</v>
      </c>
      <c r="AK27" s="8">
        <v>1467</v>
      </c>
      <c r="AL27" s="15">
        <v>31777</v>
      </c>
      <c r="AM27" s="8">
        <v>1649</v>
      </c>
      <c r="AN27" s="15">
        <v>31777</v>
      </c>
      <c r="AO27" s="8">
        <v>1283</v>
      </c>
      <c r="AP27" s="5">
        <v>36922</v>
      </c>
      <c r="AQ27" s="4">
        <v>13.756</v>
      </c>
      <c r="AR27" s="11">
        <v>33053</v>
      </c>
      <c r="AS27" s="11">
        <v>33053</v>
      </c>
      <c r="AT27" s="10">
        <v>16.14</v>
      </c>
    </row>
    <row r="28" spans="1:46" x14ac:dyDescent="0.25">
      <c r="A28" s="16">
        <v>19053</v>
      </c>
      <c r="B28" s="1">
        <v>6373</v>
      </c>
      <c r="C28" s="13" t="str">
        <f t="shared" si="0"/>
        <v>91984</v>
      </c>
      <c r="D28" s="2">
        <v>30953</v>
      </c>
      <c r="E28" s="1">
        <v>1469</v>
      </c>
      <c r="F28" s="16">
        <v>35124</v>
      </c>
      <c r="G28" s="1">
        <v>8248</v>
      </c>
      <c r="H28" s="16">
        <v>35124</v>
      </c>
      <c r="I28" s="1">
        <v>3685</v>
      </c>
      <c r="J28" s="16">
        <v>35124</v>
      </c>
      <c r="K28" s="1">
        <v>550</v>
      </c>
      <c r="L28" s="16">
        <v>35124</v>
      </c>
      <c r="M28" s="1">
        <v>1400</v>
      </c>
      <c r="N28" s="16">
        <v>35124</v>
      </c>
      <c r="O28" s="1">
        <v>1992</v>
      </c>
      <c r="P28" s="16">
        <v>35124</v>
      </c>
      <c r="Q28" s="1">
        <v>5944</v>
      </c>
      <c r="R28" s="16">
        <v>35124</v>
      </c>
      <c r="S28" s="1">
        <v>2829</v>
      </c>
      <c r="T28" s="16">
        <v>35124</v>
      </c>
      <c r="U28" s="1">
        <v>3100</v>
      </c>
      <c r="V28" s="16">
        <v>35124</v>
      </c>
      <c r="W28" s="1">
        <v>785</v>
      </c>
      <c r="X28" s="15">
        <v>32142</v>
      </c>
      <c r="Y28" s="8">
        <v>16742</v>
      </c>
      <c r="Z28" s="15">
        <v>32142</v>
      </c>
      <c r="AA28" s="8">
        <v>3975</v>
      </c>
      <c r="AB28" s="15">
        <v>32142</v>
      </c>
      <c r="AC28" s="8">
        <v>1408</v>
      </c>
      <c r="AD28" s="15">
        <v>32142</v>
      </c>
      <c r="AE28" s="8">
        <v>2298</v>
      </c>
      <c r="AF28" s="15">
        <v>32142</v>
      </c>
      <c r="AG28" s="8">
        <v>2359</v>
      </c>
      <c r="AH28" s="15">
        <v>32142</v>
      </c>
      <c r="AI28" s="8">
        <v>973</v>
      </c>
      <c r="AJ28" s="15">
        <v>32142</v>
      </c>
      <c r="AK28" s="8">
        <v>1323</v>
      </c>
      <c r="AL28" s="15">
        <v>32142</v>
      </c>
      <c r="AM28" s="8">
        <v>1576</v>
      </c>
      <c r="AN28" s="15">
        <v>32142</v>
      </c>
      <c r="AO28" s="8">
        <v>972</v>
      </c>
      <c r="AP28" s="5">
        <v>36950</v>
      </c>
      <c r="AQ28" s="4">
        <v>12.763999999999999</v>
      </c>
      <c r="AR28" s="11">
        <v>33085</v>
      </c>
      <c r="AS28" s="11">
        <v>33085</v>
      </c>
      <c r="AT28" s="10">
        <v>19.84</v>
      </c>
    </row>
    <row r="29" spans="1:46" x14ac:dyDescent="0.25">
      <c r="A29" s="16">
        <v>19084</v>
      </c>
      <c r="B29" s="1">
        <v>6359</v>
      </c>
      <c r="C29" s="13" t="str">
        <f t="shared" si="0"/>
        <v>101984</v>
      </c>
      <c r="D29" s="2">
        <v>30986</v>
      </c>
      <c r="E29" s="1">
        <v>5627</v>
      </c>
      <c r="F29" s="16">
        <v>35155</v>
      </c>
      <c r="G29" s="1">
        <v>8248</v>
      </c>
      <c r="H29" s="16">
        <v>35155</v>
      </c>
      <c r="I29" s="1">
        <v>3715</v>
      </c>
      <c r="J29" s="16">
        <v>35155</v>
      </c>
      <c r="K29" s="1">
        <v>550</v>
      </c>
      <c r="L29" s="16">
        <v>35155</v>
      </c>
      <c r="M29" s="1">
        <v>1400</v>
      </c>
      <c r="N29" s="16">
        <v>35155</v>
      </c>
      <c r="O29" s="1">
        <v>2001</v>
      </c>
      <c r="P29" s="16">
        <v>35155</v>
      </c>
      <c r="Q29" s="1">
        <v>5830</v>
      </c>
      <c r="R29" s="16">
        <v>35155</v>
      </c>
      <c r="S29" s="1">
        <v>2877</v>
      </c>
      <c r="T29" s="16">
        <v>35155</v>
      </c>
      <c r="U29" s="1">
        <v>3050</v>
      </c>
      <c r="V29" s="16">
        <v>35155</v>
      </c>
      <c r="W29" s="1">
        <v>775</v>
      </c>
      <c r="X29" s="15">
        <v>32539</v>
      </c>
      <c r="Y29" s="8">
        <v>20210</v>
      </c>
      <c r="Z29" s="15">
        <v>32508</v>
      </c>
      <c r="AA29" s="8">
        <v>5084</v>
      </c>
      <c r="AB29" s="15">
        <v>32508</v>
      </c>
      <c r="AC29" s="8">
        <v>1528</v>
      </c>
      <c r="AD29" s="15">
        <v>32508</v>
      </c>
      <c r="AE29" s="8">
        <v>2305</v>
      </c>
      <c r="AF29" s="15">
        <v>32508</v>
      </c>
      <c r="AG29" s="8">
        <v>2738</v>
      </c>
      <c r="AH29" s="15">
        <v>32508</v>
      </c>
      <c r="AI29" s="8">
        <v>1030</v>
      </c>
      <c r="AJ29" s="15">
        <v>32508</v>
      </c>
      <c r="AK29" s="8">
        <v>1366</v>
      </c>
      <c r="AL29" s="15">
        <v>32508</v>
      </c>
      <c r="AM29" s="8">
        <v>1578</v>
      </c>
      <c r="AN29" s="15">
        <v>32508</v>
      </c>
      <c r="AO29" s="8">
        <v>1390</v>
      </c>
      <c r="AP29" s="5">
        <v>36981</v>
      </c>
      <c r="AQ29" s="4">
        <v>14.336</v>
      </c>
      <c r="AR29" s="11">
        <v>33116</v>
      </c>
      <c r="AS29" s="11">
        <v>33116</v>
      </c>
      <c r="AT29" s="10">
        <v>26.75</v>
      </c>
    </row>
    <row r="30" spans="1:46" x14ac:dyDescent="0.25">
      <c r="A30" s="16">
        <v>19114</v>
      </c>
      <c r="B30" s="1">
        <v>6431</v>
      </c>
      <c r="C30" s="13" t="str">
        <f t="shared" si="0"/>
        <v>111984</v>
      </c>
      <c r="D30" s="2">
        <v>31016</v>
      </c>
      <c r="E30" s="1">
        <v>-7031</v>
      </c>
      <c r="F30" s="16">
        <v>35185</v>
      </c>
      <c r="G30" s="1">
        <v>8088</v>
      </c>
      <c r="H30" s="16">
        <v>35185</v>
      </c>
      <c r="I30" s="1">
        <v>3685</v>
      </c>
      <c r="J30" s="16">
        <v>35185</v>
      </c>
      <c r="K30" s="1">
        <v>550</v>
      </c>
      <c r="L30" s="16">
        <v>35185</v>
      </c>
      <c r="M30" s="1">
        <v>1400</v>
      </c>
      <c r="N30" s="16">
        <v>35185</v>
      </c>
      <c r="O30" s="1">
        <v>1974</v>
      </c>
      <c r="P30" s="16">
        <v>35185</v>
      </c>
      <c r="Q30" s="1">
        <v>5839</v>
      </c>
      <c r="R30" s="16">
        <v>35185</v>
      </c>
      <c r="S30" s="1">
        <v>2877</v>
      </c>
      <c r="T30" s="16">
        <v>35185</v>
      </c>
      <c r="U30" s="1">
        <v>3020</v>
      </c>
      <c r="V30" s="16">
        <v>35185</v>
      </c>
      <c r="W30" s="1">
        <v>805</v>
      </c>
      <c r="X30" s="15">
        <v>32567</v>
      </c>
      <c r="Y30" s="8">
        <v>20015</v>
      </c>
      <c r="Z30" s="15">
        <v>32539</v>
      </c>
      <c r="AA30" s="8">
        <v>5000</v>
      </c>
      <c r="AB30" s="15">
        <v>32539</v>
      </c>
      <c r="AC30" s="8">
        <v>1635</v>
      </c>
      <c r="AD30" s="15">
        <v>32539</v>
      </c>
      <c r="AE30" s="8">
        <v>2800</v>
      </c>
      <c r="AF30" s="15">
        <v>32539</v>
      </c>
      <c r="AG30" s="8">
        <v>2650</v>
      </c>
      <c r="AH30" s="15">
        <v>32539</v>
      </c>
      <c r="AI30" s="8">
        <v>1050</v>
      </c>
      <c r="AJ30" s="15">
        <v>32539</v>
      </c>
      <c r="AK30" s="8">
        <v>1400</v>
      </c>
      <c r="AL30" s="15">
        <v>32539</v>
      </c>
      <c r="AM30" s="8">
        <v>1650</v>
      </c>
      <c r="AN30" s="15">
        <v>32539</v>
      </c>
      <c r="AO30" s="8">
        <v>1250</v>
      </c>
      <c r="AP30" s="5">
        <v>37011</v>
      </c>
      <c r="AQ30" s="4">
        <v>13.568</v>
      </c>
      <c r="AR30" s="11">
        <v>33144</v>
      </c>
      <c r="AS30" s="11">
        <v>33144</v>
      </c>
      <c r="AT30" s="10">
        <v>39.1</v>
      </c>
    </row>
    <row r="31" spans="1:46" x14ac:dyDescent="0.25">
      <c r="A31" s="16">
        <v>19145</v>
      </c>
      <c r="B31" s="1">
        <v>5089</v>
      </c>
      <c r="C31" s="13" t="str">
        <f t="shared" si="0"/>
        <v>121984</v>
      </c>
      <c r="D31" s="2">
        <v>31047</v>
      </c>
      <c r="E31" s="1">
        <v>1744</v>
      </c>
      <c r="F31" s="16">
        <v>35216</v>
      </c>
      <c r="G31" s="1">
        <v>8135</v>
      </c>
      <c r="H31" s="16">
        <v>35216</v>
      </c>
      <c r="I31" s="1">
        <v>3635</v>
      </c>
      <c r="J31" s="16">
        <v>35216</v>
      </c>
      <c r="K31" s="1">
        <v>550</v>
      </c>
      <c r="L31" s="16">
        <v>35216</v>
      </c>
      <c r="M31" s="1">
        <v>1400</v>
      </c>
      <c r="N31" s="16">
        <v>35216</v>
      </c>
      <c r="O31" s="1">
        <v>2011</v>
      </c>
      <c r="P31" s="16">
        <v>35216</v>
      </c>
      <c r="Q31" s="1">
        <v>5866</v>
      </c>
      <c r="R31" s="16">
        <v>35216</v>
      </c>
      <c r="S31" s="1">
        <v>2877</v>
      </c>
      <c r="T31" s="16">
        <v>35216</v>
      </c>
      <c r="U31" s="1">
        <v>3195</v>
      </c>
      <c r="V31" s="16">
        <v>35216</v>
      </c>
      <c r="W31" s="1">
        <v>805</v>
      </c>
      <c r="X31" s="15">
        <v>32598</v>
      </c>
      <c r="Y31" s="8">
        <v>20345</v>
      </c>
      <c r="Z31" s="15">
        <v>32567</v>
      </c>
      <c r="AA31" s="8">
        <v>4750</v>
      </c>
      <c r="AB31" s="15">
        <v>32567</v>
      </c>
      <c r="AC31" s="8">
        <v>1550</v>
      </c>
      <c r="AD31" s="15">
        <v>32567</v>
      </c>
      <c r="AE31" s="8">
        <v>2850</v>
      </c>
      <c r="AF31" s="15">
        <v>32567</v>
      </c>
      <c r="AG31" s="8">
        <v>2650</v>
      </c>
      <c r="AH31" s="15">
        <v>32567</v>
      </c>
      <c r="AI31" s="8">
        <v>1050</v>
      </c>
      <c r="AJ31" s="15">
        <v>32567</v>
      </c>
      <c r="AK31" s="8">
        <v>1400</v>
      </c>
      <c r="AL31" s="15">
        <v>32567</v>
      </c>
      <c r="AM31" s="8">
        <v>1650</v>
      </c>
      <c r="AN31" s="15">
        <v>32567</v>
      </c>
      <c r="AO31" s="8">
        <v>1350</v>
      </c>
      <c r="AP31" s="5">
        <v>37042</v>
      </c>
      <c r="AQ31" s="4">
        <v>14.055999999999999</v>
      </c>
      <c r="AR31" s="11">
        <v>33177</v>
      </c>
      <c r="AS31" s="11">
        <v>33177</v>
      </c>
      <c r="AT31" s="10">
        <v>34.409999999999997</v>
      </c>
    </row>
    <row r="32" spans="1:46" x14ac:dyDescent="0.25">
      <c r="A32" s="16">
        <v>19175</v>
      </c>
      <c r="B32" s="1">
        <v>6190</v>
      </c>
      <c r="C32" s="13" t="str">
        <f t="shared" si="0"/>
        <v>11985</v>
      </c>
      <c r="D32" s="2">
        <v>31078</v>
      </c>
      <c r="E32" s="1">
        <v>-8590</v>
      </c>
      <c r="F32" s="16">
        <v>35246</v>
      </c>
      <c r="G32" s="1">
        <v>8195</v>
      </c>
      <c r="H32" s="16">
        <v>35246</v>
      </c>
      <c r="I32" s="1">
        <v>3685</v>
      </c>
      <c r="J32" s="16">
        <v>35246</v>
      </c>
      <c r="K32" s="1">
        <v>550</v>
      </c>
      <c r="L32" s="16">
        <v>35246</v>
      </c>
      <c r="M32" s="1">
        <v>1400</v>
      </c>
      <c r="N32" s="16">
        <v>35246</v>
      </c>
      <c r="O32" s="1">
        <v>2011</v>
      </c>
      <c r="P32" s="16">
        <v>35246</v>
      </c>
      <c r="Q32" s="1">
        <v>5839</v>
      </c>
      <c r="R32" s="16">
        <v>35246</v>
      </c>
      <c r="S32" s="1">
        <v>2877</v>
      </c>
      <c r="T32" s="16">
        <v>35246</v>
      </c>
      <c r="U32" s="1">
        <v>3205</v>
      </c>
      <c r="V32" s="16">
        <v>35246</v>
      </c>
      <c r="W32" s="1">
        <v>805</v>
      </c>
      <c r="X32" s="15">
        <v>32628</v>
      </c>
      <c r="Y32" s="8">
        <v>20995</v>
      </c>
      <c r="Z32" s="15">
        <v>32598</v>
      </c>
      <c r="AA32" s="8">
        <v>4590</v>
      </c>
      <c r="AB32" s="15">
        <v>32598</v>
      </c>
      <c r="AC32" s="8">
        <v>1575</v>
      </c>
      <c r="AD32" s="15">
        <v>32598</v>
      </c>
      <c r="AE32" s="8">
        <v>3200</v>
      </c>
      <c r="AF32" s="15">
        <v>32598</v>
      </c>
      <c r="AG32" s="8">
        <v>2650</v>
      </c>
      <c r="AH32" s="15">
        <v>32598</v>
      </c>
      <c r="AI32" s="8">
        <v>1050</v>
      </c>
      <c r="AJ32" s="15">
        <v>32598</v>
      </c>
      <c r="AK32" s="8">
        <v>1550</v>
      </c>
      <c r="AL32" s="15">
        <v>32598</v>
      </c>
      <c r="AM32" s="8">
        <v>1650</v>
      </c>
      <c r="AN32" s="15">
        <v>32598</v>
      </c>
      <c r="AO32" s="8">
        <v>1390</v>
      </c>
      <c r="AP32" s="5">
        <v>37072</v>
      </c>
      <c r="AQ32" s="4">
        <v>13.61</v>
      </c>
      <c r="AR32" s="11">
        <v>33207</v>
      </c>
      <c r="AS32" s="11">
        <v>33207</v>
      </c>
      <c r="AT32" s="10">
        <v>29.2</v>
      </c>
    </row>
    <row r="33" spans="1:46" x14ac:dyDescent="0.25">
      <c r="A33" s="16">
        <v>19206</v>
      </c>
      <c r="B33" s="1">
        <v>6096</v>
      </c>
      <c r="C33" s="13" t="str">
        <f t="shared" si="0"/>
        <v>21985</v>
      </c>
      <c r="D33" s="2">
        <v>31106</v>
      </c>
      <c r="E33" s="1">
        <v>-2148</v>
      </c>
      <c r="F33" s="16">
        <v>35277</v>
      </c>
      <c r="G33" s="1">
        <v>8295</v>
      </c>
      <c r="H33" s="16">
        <v>35277</v>
      </c>
      <c r="I33" s="1">
        <v>3685</v>
      </c>
      <c r="J33" s="16">
        <v>35277</v>
      </c>
      <c r="K33" s="1">
        <v>550</v>
      </c>
      <c r="L33" s="16">
        <v>35277</v>
      </c>
      <c r="M33" s="1">
        <v>1400</v>
      </c>
      <c r="N33" s="16">
        <v>35277</v>
      </c>
      <c r="O33" s="1">
        <v>1983</v>
      </c>
      <c r="P33" s="16">
        <v>35277</v>
      </c>
      <c r="Q33" s="1">
        <v>5813</v>
      </c>
      <c r="R33" s="16">
        <v>35277</v>
      </c>
      <c r="S33" s="1">
        <v>2926</v>
      </c>
      <c r="T33" s="16">
        <v>35277</v>
      </c>
      <c r="U33" s="1">
        <v>3150</v>
      </c>
      <c r="V33" s="16">
        <v>35277</v>
      </c>
      <c r="W33" s="1">
        <v>795</v>
      </c>
      <c r="X33" s="15">
        <v>32659</v>
      </c>
      <c r="Y33" s="8">
        <v>21075</v>
      </c>
      <c r="Z33" s="15">
        <v>32628</v>
      </c>
      <c r="AA33" s="8">
        <v>4995</v>
      </c>
      <c r="AB33" s="15">
        <v>32628</v>
      </c>
      <c r="AC33" s="8">
        <v>1605</v>
      </c>
      <c r="AD33" s="15">
        <v>32628</v>
      </c>
      <c r="AE33" s="8">
        <v>2900</v>
      </c>
      <c r="AF33" s="15">
        <v>32628</v>
      </c>
      <c r="AG33" s="8">
        <v>2750</v>
      </c>
      <c r="AH33" s="15">
        <v>32628</v>
      </c>
      <c r="AI33" s="8">
        <v>1100</v>
      </c>
      <c r="AJ33" s="15">
        <v>32628</v>
      </c>
      <c r="AK33" s="8">
        <v>1600</v>
      </c>
      <c r="AL33" s="15">
        <v>32628</v>
      </c>
      <c r="AM33" s="8">
        <v>1650</v>
      </c>
      <c r="AN33" s="15">
        <v>32628</v>
      </c>
      <c r="AO33" s="8">
        <v>1695</v>
      </c>
      <c r="AP33" s="5">
        <v>37103</v>
      </c>
      <c r="AQ33" s="4">
        <v>13.851000000000001</v>
      </c>
      <c r="AR33" s="11">
        <v>33238</v>
      </c>
      <c r="AS33" s="11">
        <v>33238</v>
      </c>
      <c r="AT33" s="10">
        <v>28.27</v>
      </c>
    </row>
    <row r="34" spans="1:46" x14ac:dyDescent="0.25">
      <c r="A34" s="16">
        <v>19237</v>
      </c>
      <c r="B34" s="1">
        <v>6218</v>
      </c>
      <c r="C34" s="13" t="str">
        <f t="shared" si="0"/>
        <v>31985</v>
      </c>
      <c r="D34" s="2">
        <v>31135</v>
      </c>
      <c r="E34" s="1">
        <v>2726</v>
      </c>
      <c r="F34" s="16">
        <v>35308</v>
      </c>
      <c r="G34" s="1">
        <v>8220</v>
      </c>
      <c r="H34" s="16">
        <v>35308</v>
      </c>
      <c r="I34" s="1">
        <v>3715</v>
      </c>
      <c r="J34" s="16">
        <v>35308</v>
      </c>
      <c r="K34" s="1">
        <v>550</v>
      </c>
      <c r="L34" s="16">
        <v>35308</v>
      </c>
      <c r="M34" s="1">
        <v>1400</v>
      </c>
      <c r="N34" s="16">
        <v>35308</v>
      </c>
      <c r="O34" s="1">
        <v>2001</v>
      </c>
      <c r="P34" s="16">
        <v>35308</v>
      </c>
      <c r="Q34" s="1">
        <v>5857</v>
      </c>
      <c r="R34" s="16">
        <v>35308</v>
      </c>
      <c r="S34" s="1">
        <v>2974</v>
      </c>
      <c r="T34" s="16">
        <v>35308</v>
      </c>
      <c r="U34" s="1">
        <v>3130</v>
      </c>
      <c r="V34" s="16">
        <v>35308</v>
      </c>
      <c r="W34" s="1">
        <v>751</v>
      </c>
      <c r="X34" s="15">
        <v>32689</v>
      </c>
      <c r="Y34" s="8">
        <v>21685</v>
      </c>
      <c r="Z34" s="15">
        <v>32659</v>
      </c>
      <c r="AA34" s="8">
        <v>5105</v>
      </c>
      <c r="AB34" s="15">
        <v>32659</v>
      </c>
      <c r="AC34" s="8">
        <v>1605</v>
      </c>
      <c r="AD34" s="15">
        <v>32659</v>
      </c>
      <c r="AE34" s="8">
        <v>2500</v>
      </c>
      <c r="AF34" s="15">
        <v>32659</v>
      </c>
      <c r="AG34" s="8">
        <v>2750</v>
      </c>
      <c r="AH34" s="15">
        <v>32659</v>
      </c>
      <c r="AI34" s="8">
        <v>1100</v>
      </c>
      <c r="AJ34" s="15">
        <v>32659</v>
      </c>
      <c r="AK34" s="8">
        <v>1600</v>
      </c>
      <c r="AL34" s="15">
        <v>32659</v>
      </c>
      <c r="AM34" s="8">
        <v>1650</v>
      </c>
      <c r="AN34" s="15">
        <v>32659</v>
      </c>
      <c r="AO34" s="8">
        <v>2005</v>
      </c>
      <c r="AP34" s="5">
        <v>37134</v>
      </c>
      <c r="AQ34" s="4">
        <v>14.025</v>
      </c>
      <c r="AR34" s="11">
        <v>33269</v>
      </c>
      <c r="AS34" s="11">
        <v>33269</v>
      </c>
      <c r="AT34" s="10">
        <v>20.059999999999999</v>
      </c>
    </row>
    <row r="35" spans="1:46" x14ac:dyDescent="0.25">
      <c r="A35" s="16">
        <v>19267</v>
      </c>
      <c r="B35" s="1">
        <v>6520</v>
      </c>
      <c r="C35" s="13" t="str">
        <f t="shared" si="0"/>
        <v>41985</v>
      </c>
      <c r="D35" s="2">
        <v>31167</v>
      </c>
      <c r="E35" s="1">
        <v>12490</v>
      </c>
      <c r="F35" s="16">
        <v>35338</v>
      </c>
      <c r="G35" s="1">
        <v>8200</v>
      </c>
      <c r="H35" s="16">
        <v>35338</v>
      </c>
      <c r="I35" s="1">
        <v>3735</v>
      </c>
      <c r="J35" s="16">
        <v>35338</v>
      </c>
      <c r="K35" s="1">
        <v>550</v>
      </c>
      <c r="L35" s="16">
        <v>35338</v>
      </c>
      <c r="M35" s="1">
        <v>1400</v>
      </c>
      <c r="N35" s="16">
        <v>35338</v>
      </c>
      <c r="O35" s="1">
        <v>1965</v>
      </c>
      <c r="P35" s="16">
        <v>35338</v>
      </c>
      <c r="Q35" s="1">
        <v>5826</v>
      </c>
      <c r="R35" s="16">
        <v>35338</v>
      </c>
      <c r="S35" s="1">
        <v>2974</v>
      </c>
      <c r="T35" s="16">
        <v>35338</v>
      </c>
      <c r="U35" s="1">
        <v>3140</v>
      </c>
      <c r="V35" s="16">
        <v>35338</v>
      </c>
      <c r="W35" s="1">
        <v>790</v>
      </c>
      <c r="X35" s="15">
        <v>32720</v>
      </c>
      <c r="Y35" s="8">
        <v>21825</v>
      </c>
      <c r="Z35" s="15">
        <v>32689</v>
      </c>
      <c r="AA35" s="8">
        <v>4905</v>
      </c>
      <c r="AB35" s="15">
        <v>32689</v>
      </c>
      <c r="AC35" s="8">
        <v>1875</v>
      </c>
      <c r="AD35" s="15">
        <v>32689</v>
      </c>
      <c r="AE35" s="8">
        <v>2800</v>
      </c>
      <c r="AF35" s="15">
        <v>32689</v>
      </c>
      <c r="AG35" s="8">
        <v>2700</v>
      </c>
      <c r="AH35" s="15">
        <v>32689</v>
      </c>
      <c r="AI35" s="8">
        <v>1100</v>
      </c>
      <c r="AJ35" s="15">
        <v>32689</v>
      </c>
      <c r="AK35" s="8">
        <v>1700</v>
      </c>
      <c r="AL35" s="15">
        <v>32689</v>
      </c>
      <c r="AM35" s="8">
        <v>1700</v>
      </c>
      <c r="AN35" s="15">
        <v>32689</v>
      </c>
      <c r="AO35" s="8">
        <v>2105</v>
      </c>
      <c r="AP35" s="5">
        <v>37164</v>
      </c>
      <c r="AQ35" s="4">
        <v>13.51</v>
      </c>
      <c r="AR35" s="11">
        <v>33297</v>
      </c>
      <c r="AS35" s="11">
        <v>33297</v>
      </c>
      <c r="AT35" s="10">
        <v>18.68</v>
      </c>
    </row>
    <row r="36" spans="1:46" x14ac:dyDescent="0.25">
      <c r="A36" s="16">
        <v>19298</v>
      </c>
      <c r="B36" s="1">
        <v>6503</v>
      </c>
      <c r="C36" s="13" t="str">
        <f t="shared" si="0"/>
        <v>51985</v>
      </c>
      <c r="D36" s="2">
        <v>31198</v>
      </c>
      <c r="E36" s="1">
        <v>-497</v>
      </c>
      <c r="F36" s="16">
        <v>35369</v>
      </c>
      <c r="G36" s="1">
        <v>8255</v>
      </c>
      <c r="H36" s="16">
        <v>35369</v>
      </c>
      <c r="I36" s="1">
        <v>3635</v>
      </c>
      <c r="J36" s="16">
        <v>35369</v>
      </c>
      <c r="K36" s="1">
        <v>550</v>
      </c>
      <c r="L36" s="16">
        <v>35369</v>
      </c>
      <c r="M36" s="1">
        <v>1400</v>
      </c>
      <c r="N36" s="16">
        <v>35369</v>
      </c>
      <c r="O36" s="1">
        <v>2024</v>
      </c>
      <c r="P36" s="16">
        <v>35369</v>
      </c>
      <c r="Q36" s="1">
        <v>5813</v>
      </c>
      <c r="R36" s="16">
        <v>35369</v>
      </c>
      <c r="S36" s="1">
        <v>3022</v>
      </c>
      <c r="T36" s="16">
        <v>35369</v>
      </c>
      <c r="U36" s="1">
        <v>3165</v>
      </c>
      <c r="V36" s="16">
        <v>35369</v>
      </c>
      <c r="W36" s="1">
        <v>800</v>
      </c>
      <c r="X36" s="15">
        <v>32751</v>
      </c>
      <c r="Y36" s="8">
        <v>22355</v>
      </c>
      <c r="Z36" s="15">
        <v>32720</v>
      </c>
      <c r="AA36" s="8">
        <v>5005</v>
      </c>
      <c r="AB36" s="15">
        <v>32720</v>
      </c>
      <c r="AC36" s="8">
        <v>1865</v>
      </c>
      <c r="AD36" s="15">
        <v>32720</v>
      </c>
      <c r="AE36" s="8">
        <v>2800</v>
      </c>
      <c r="AF36" s="15">
        <v>32720</v>
      </c>
      <c r="AG36" s="8">
        <v>2850</v>
      </c>
      <c r="AH36" s="15">
        <v>32720</v>
      </c>
      <c r="AI36" s="8">
        <v>1100</v>
      </c>
      <c r="AJ36" s="15">
        <v>32720</v>
      </c>
      <c r="AK36" s="8">
        <v>1800</v>
      </c>
      <c r="AL36" s="15">
        <v>32720</v>
      </c>
      <c r="AM36" s="8">
        <v>1700</v>
      </c>
      <c r="AN36" s="15">
        <v>32720</v>
      </c>
      <c r="AO36" s="8">
        <v>1905</v>
      </c>
      <c r="AP36" s="5">
        <v>37195</v>
      </c>
      <c r="AQ36" s="4">
        <v>14.069000000000001</v>
      </c>
      <c r="AR36" s="11">
        <v>33326</v>
      </c>
      <c r="AS36" s="11">
        <v>33326</v>
      </c>
      <c r="AT36" s="10">
        <v>18.170000000000002</v>
      </c>
    </row>
    <row r="37" spans="1:46" x14ac:dyDescent="0.25">
      <c r="A37" s="16">
        <v>19328</v>
      </c>
      <c r="B37" s="1">
        <v>6461</v>
      </c>
      <c r="C37" s="13" t="str">
        <f t="shared" si="0"/>
        <v>61985</v>
      </c>
      <c r="D37" s="2">
        <v>31226</v>
      </c>
      <c r="E37" s="1">
        <v>-6395</v>
      </c>
      <c r="F37" s="16">
        <v>35399</v>
      </c>
      <c r="G37" s="1">
        <v>8255</v>
      </c>
      <c r="H37" s="16">
        <v>35399</v>
      </c>
      <c r="I37" s="1">
        <v>3685</v>
      </c>
      <c r="J37" s="16">
        <v>35399</v>
      </c>
      <c r="K37" s="1">
        <v>550</v>
      </c>
      <c r="L37" s="16">
        <v>35399</v>
      </c>
      <c r="M37" s="1">
        <v>1400</v>
      </c>
      <c r="N37" s="16">
        <v>35399</v>
      </c>
      <c r="O37" s="1">
        <v>2033</v>
      </c>
      <c r="P37" s="16">
        <v>35399</v>
      </c>
      <c r="Q37" s="1">
        <v>5909</v>
      </c>
      <c r="R37" s="16">
        <v>35399</v>
      </c>
      <c r="S37" s="1">
        <v>3070</v>
      </c>
      <c r="T37" s="16">
        <v>35399</v>
      </c>
      <c r="U37" s="1">
        <v>3190</v>
      </c>
      <c r="V37" s="16">
        <v>35399</v>
      </c>
      <c r="W37" s="1">
        <v>830</v>
      </c>
      <c r="X37" s="15">
        <v>32781</v>
      </c>
      <c r="Y37" s="8">
        <v>22450</v>
      </c>
      <c r="Z37" s="15">
        <v>32751</v>
      </c>
      <c r="AA37" s="8">
        <v>5105</v>
      </c>
      <c r="AB37" s="15">
        <v>32751</v>
      </c>
      <c r="AC37" s="8">
        <v>1905</v>
      </c>
      <c r="AD37" s="15">
        <v>32751</v>
      </c>
      <c r="AE37" s="8">
        <v>3000</v>
      </c>
      <c r="AF37" s="15">
        <v>32751</v>
      </c>
      <c r="AG37" s="8">
        <v>3000</v>
      </c>
      <c r="AH37" s="15">
        <v>32751</v>
      </c>
      <c r="AI37" s="8">
        <v>1100</v>
      </c>
      <c r="AJ37" s="15">
        <v>32751</v>
      </c>
      <c r="AK37" s="8">
        <v>1700</v>
      </c>
      <c r="AL37" s="15">
        <v>32751</v>
      </c>
      <c r="AM37" s="8">
        <v>1750</v>
      </c>
      <c r="AN37" s="15">
        <v>32751</v>
      </c>
      <c r="AO37" s="8">
        <v>1905</v>
      </c>
      <c r="AP37" s="5">
        <v>37225</v>
      </c>
      <c r="AQ37" s="4">
        <v>13.627000000000001</v>
      </c>
      <c r="AR37" s="11">
        <v>33358</v>
      </c>
      <c r="AS37" s="11">
        <v>33358</v>
      </c>
      <c r="AT37" s="10">
        <v>19.420000000000002</v>
      </c>
    </row>
    <row r="38" spans="1:46" x14ac:dyDescent="0.25">
      <c r="A38" s="16">
        <v>19359</v>
      </c>
      <c r="B38" s="1">
        <v>6642</v>
      </c>
      <c r="C38" s="13" t="str">
        <f t="shared" si="0"/>
        <v>71985</v>
      </c>
      <c r="D38" s="2">
        <v>31259</v>
      </c>
      <c r="E38" s="1">
        <v>-6509</v>
      </c>
      <c r="F38" s="16">
        <v>35430</v>
      </c>
      <c r="G38" s="1">
        <v>8358</v>
      </c>
      <c r="H38" s="16">
        <v>35430</v>
      </c>
      <c r="I38" s="1">
        <v>3635</v>
      </c>
      <c r="J38" s="16">
        <v>35430</v>
      </c>
      <c r="K38" s="1">
        <v>887</v>
      </c>
      <c r="L38" s="16">
        <v>35430</v>
      </c>
      <c r="M38" s="1">
        <v>1410</v>
      </c>
      <c r="N38" s="16">
        <v>35430</v>
      </c>
      <c r="O38" s="1">
        <v>2037</v>
      </c>
      <c r="P38" s="16">
        <v>35430</v>
      </c>
      <c r="Q38" s="1">
        <v>5830</v>
      </c>
      <c r="R38" s="16">
        <v>35430</v>
      </c>
      <c r="S38" s="1">
        <v>3118</v>
      </c>
      <c r="T38" s="16">
        <v>35430</v>
      </c>
      <c r="U38" s="1">
        <v>3115</v>
      </c>
      <c r="V38" s="16">
        <v>35430</v>
      </c>
      <c r="W38" s="1">
        <v>830</v>
      </c>
      <c r="X38" s="15">
        <v>32812</v>
      </c>
      <c r="Y38" s="8">
        <v>22900</v>
      </c>
      <c r="Z38" s="15">
        <v>32781</v>
      </c>
      <c r="AA38" s="8">
        <v>5305</v>
      </c>
      <c r="AB38" s="15">
        <v>32781</v>
      </c>
      <c r="AC38" s="8">
        <v>2100</v>
      </c>
      <c r="AD38" s="15">
        <v>32781</v>
      </c>
      <c r="AE38" s="8">
        <v>2850</v>
      </c>
      <c r="AF38" s="15">
        <v>32781</v>
      </c>
      <c r="AG38" s="8">
        <v>2900</v>
      </c>
      <c r="AH38" s="15">
        <v>32781</v>
      </c>
      <c r="AI38" s="8">
        <v>1100</v>
      </c>
      <c r="AJ38" s="15">
        <v>32781</v>
      </c>
      <c r="AK38" s="8">
        <v>1700</v>
      </c>
      <c r="AL38" s="15">
        <v>32781</v>
      </c>
      <c r="AM38" s="8">
        <v>1750</v>
      </c>
      <c r="AN38" s="15">
        <v>32781</v>
      </c>
      <c r="AO38" s="8">
        <v>1905</v>
      </c>
      <c r="AP38" s="5">
        <v>37256</v>
      </c>
      <c r="AQ38" s="4">
        <v>13.894</v>
      </c>
      <c r="AR38" s="11">
        <v>33389</v>
      </c>
      <c r="AS38" s="11">
        <v>33389</v>
      </c>
      <c r="AT38" s="10">
        <v>19.21</v>
      </c>
    </row>
    <row r="39" spans="1:46" x14ac:dyDescent="0.25">
      <c r="A39" s="16">
        <v>19390</v>
      </c>
      <c r="B39" s="1">
        <v>6555</v>
      </c>
      <c r="C39" s="13" t="str">
        <f t="shared" si="0"/>
        <v>81985</v>
      </c>
      <c r="D39" s="2">
        <v>31289</v>
      </c>
      <c r="E39" s="1">
        <v>5672</v>
      </c>
      <c r="F39" s="16">
        <v>35461</v>
      </c>
      <c r="G39" s="1">
        <v>8072</v>
      </c>
      <c r="H39" s="16">
        <v>35461</v>
      </c>
      <c r="I39" s="1">
        <v>3685</v>
      </c>
      <c r="J39" s="16">
        <v>35461</v>
      </c>
      <c r="K39" s="1">
        <v>1056</v>
      </c>
      <c r="L39" s="16">
        <v>35461</v>
      </c>
      <c r="M39" s="1">
        <v>1430</v>
      </c>
      <c r="N39" s="16">
        <v>35461</v>
      </c>
      <c r="O39" s="1">
        <v>2098</v>
      </c>
      <c r="P39" s="16">
        <v>35461</v>
      </c>
      <c r="Q39" s="1">
        <v>5824</v>
      </c>
      <c r="R39" s="16">
        <v>35461</v>
      </c>
      <c r="S39" s="1">
        <v>3156</v>
      </c>
      <c r="T39" s="16">
        <v>35461</v>
      </c>
      <c r="U39" s="1">
        <v>3210</v>
      </c>
      <c r="V39" s="16">
        <v>35461</v>
      </c>
      <c r="W39" s="1">
        <v>848</v>
      </c>
      <c r="X39" s="15">
        <v>32842</v>
      </c>
      <c r="Y39" s="8">
        <v>23600</v>
      </c>
      <c r="Z39" s="15">
        <v>32812</v>
      </c>
      <c r="AA39" s="8">
        <v>5405</v>
      </c>
      <c r="AB39" s="15">
        <v>32812</v>
      </c>
      <c r="AC39" s="8">
        <v>2200</v>
      </c>
      <c r="AD39" s="15">
        <v>32812</v>
      </c>
      <c r="AE39" s="8">
        <v>2950</v>
      </c>
      <c r="AF39" s="15">
        <v>32812</v>
      </c>
      <c r="AG39" s="8">
        <v>3000</v>
      </c>
      <c r="AH39" s="15">
        <v>32812</v>
      </c>
      <c r="AI39" s="8">
        <v>1100</v>
      </c>
      <c r="AJ39" s="15">
        <v>32812</v>
      </c>
      <c r="AK39" s="8">
        <v>1600</v>
      </c>
      <c r="AL39" s="15">
        <v>32812</v>
      </c>
      <c r="AM39" s="8">
        <v>1800</v>
      </c>
      <c r="AN39" s="15">
        <v>32812</v>
      </c>
      <c r="AO39" s="8">
        <v>1905</v>
      </c>
      <c r="AP39" s="5">
        <v>37287</v>
      </c>
      <c r="AQ39" s="4">
        <v>14.138999999999999</v>
      </c>
      <c r="AR39" s="11">
        <v>33417</v>
      </c>
      <c r="AS39" s="11">
        <v>33417</v>
      </c>
      <c r="AT39" s="10">
        <v>18.72</v>
      </c>
    </row>
    <row r="40" spans="1:46" x14ac:dyDescent="0.25">
      <c r="A40" s="16">
        <v>19418</v>
      </c>
      <c r="B40" s="1">
        <v>6542</v>
      </c>
      <c r="C40" s="13" t="str">
        <f t="shared" si="0"/>
        <v>91985</v>
      </c>
      <c r="D40" s="2">
        <v>31320</v>
      </c>
      <c r="E40" s="1">
        <v>1634</v>
      </c>
      <c r="F40" s="16">
        <v>35489</v>
      </c>
      <c r="G40" s="1">
        <v>8212</v>
      </c>
      <c r="H40" s="16">
        <v>35489</v>
      </c>
      <c r="I40" s="1">
        <v>3685</v>
      </c>
      <c r="J40" s="16">
        <v>35489</v>
      </c>
      <c r="K40" s="1">
        <v>1095</v>
      </c>
      <c r="L40" s="16">
        <v>35489</v>
      </c>
      <c r="M40" s="1">
        <v>1430</v>
      </c>
      <c r="N40" s="16">
        <v>35489</v>
      </c>
      <c r="O40" s="1">
        <v>2126</v>
      </c>
      <c r="P40" s="16">
        <v>35489</v>
      </c>
      <c r="Q40" s="1">
        <v>5763</v>
      </c>
      <c r="R40" s="16">
        <v>35489</v>
      </c>
      <c r="S40" s="1">
        <v>3156</v>
      </c>
      <c r="T40" s="16">
        <v>35489</v>
      </c>
      <c r="U40" s="1">
        <v>3240</v>
      </c>
      <c r="V40" s="16">
        <v>35489</v>
      </c>
      <c r="W40" s="1">
        <v>838</v>
      </c>
      <c r="X40" s="15">
        <v>32873</v>
      </c>
      <c r="Y40" s="8">
        <v>23760</v>
      </c>
      <c r="Z40" s="15">
        <v>32842</v>
      </c>
      <c r="AA40" s="8">
        <v>5795</v>
      </c>
      <c r="AB40" s="15">
        <v>32842</v>
      </c>
      <c r="AC40" s="8">
        <v>2300</v>
      </c>
      <c r="AD40" s="15">
        <v>32842</v>
      </c>
      <c r="AE40" s="8">
        <v>2800</v>
      </c>
      <c r="AF40" s="15">
        <v>32842</v>
      </c>
      <c r="AG40" s="8">
        <v>2950</v>
      </c>
      <c r="AH40" s="15">
        <v>32842</v>
      </c>
      <c r="AI40" s="8">
        <v>1150</v>
      </c>
      <c r="AJ40" s="15">
        <v>32842</v>
      </c>
      <c r="AK40" s="8">
        <v>1800</v>
      </c>
      <c r="AL40" s="15">
        <v>32842</v>
      </c>
      <c r="AM40" s="8">
        <v>1800</v>
      </c>
      <c r="AN40" s="15">
        <v>32842</v>
      </c>
      <c r="AO40" s="8">
        <v>2095</v>
      </c>
      <c r="AP40" s="5">
        <v>37315</v>
      </c>
      <c r="AQ40" s="4">
        <v>12.771000000000001</v>
      </c>
      <c r="AR40" s="11">
        <v>33450</v>
      </c>
      <c r="AS40" s="11">
        <v>33450</v>
      </c>
      <c r="AT40" s="10">
        <v>19.739999999999998</v>
      </c>
    </row>
    <row r="41" spans="1:46" x14ac:dyDescent="0.25">
      <c r="A41" s="16">
        <v>19449</v>
      </c>
      <c r="B41" s="1">
        <v>6517</v>
      </c>
      <c r="C41" s="13" t="str">
        <f t="shared" si="0"/>
        <v>101985</v>
      </c>
      <c r="D41" s="2">
        <v>31351</v>
      </c>
      <c r="E41" s="1">
        <v>3170</v>
      </c>
      <c r="F41" s="16">
        <v>35520</v>
      </c>
      <c r="G41" s="1">
        <v>8316</v>
      </c>
      <c r="H41" s="16">
        <v>35520</v>
      </c>
      <c r="I41" s="1">
        <v>3685</v>
      </c>
      <c r="J41" s="16">
        <v>35520</v>
      </c>
      <c r="K41" s="1">
        <v>1144</v>
      </c>
      <c r="L41" s="16">
        <v>35520</v>
      </c>
      <c r="M41" s="1">
        <v>1440</v>
      </c>
      <c r="N41" s="16">
        <v>35520</v>
      </c>
      <c r="O41" s="1">
        <v>2062</v>
      </c>
      <c r="P41" s="16">
        <v>35520</v>
      </c>
      <c r="Q41" s="1">
        <v>5807</v>
      </c>
      <c r="R41" s="16">
        <v>35520</v>
      </c>
      <c r="S41" s="1">
        <v>3166</v>
      </c>
      <c r="T41" s="16">
        <v>35520</v>
      </c>
      <c r="U41" s="1">
        <v>3215</v>
      </c>
      <c r="V41" s="16">
        <v>35520</v>
      </c>
      <c r="W41" s="1">
        <v>838</v>
      </c>
      <c r="X41" s="15">
        <v>32904</v>
      </c>
      <c r="Y41" s="8">
        <v>23320</v>
      </c>
      <c r="Z41" s="15">
        <v>32873</v>
      </c>
      <c r="AA41" s="8">
        <v>5790</v>
      </c>
      <c r="AB41" s="15">
        <v>32873</v>
      </c>
      <c r="AC41" s="8">
        <v>2350</v>
      </c>
      <c r="AD41" s="15">
        <v>32873</v>
      </c>
      <c r="AE41" s="8">
        <v>2900</v>
      </c>
      <c r="AF41" s="15">
        <v>32873</v>
      </c>
      <c r="AG41" s="8">
        <v>3000</v>
      </c>
      <c r="AH41" s="15">
        <v>32873</v>
      </c>
      <c r="AI41" s="8">
        <v>1150</v>
      </c>
      <c r="AJ41" s="15">
        <v>32873</v>
      </c>
      <c r="AK41" s="8">
        <v>1800</v>
      </c>
      <c r="AL41" s="15">
        <v>32873</v>
      </c>
      <c r="AM41" s="8">
        <v>1800</v>
      </c>
      <c r="AN41" s="15">
        <v>32873</v>
      </c>
      <c r="AO41" s="8">
        <v>2090</v>
      </c>
      <c r="AP41" s="5">
        <v>37346</v>
      </c>
      <c r="AQ41" s="4">
        <v>14.223000000000001</v>
      </c>
      <c r="AR41" s="11">
        <v>33480</v>
      </c>
      <c r="AS41" s="11">
        <v>33480</v>
      </c>
      <c r="AT41" s="10">
        <v>20.7</v>
      </c>
    </row>
    <row r="42" spans="1:46" x14ac:dyDescent="0.25">
      <c r="A42" s="16">
        <v>19479</v>
      </c>
      <c r="B42" s="1">
        <v>6398</v>
      </c>
      <c r="C42" s="13" t="str">
        <f t="shared" si="0"/>
        <v>111985</v>
      </c>
      <c r="D42" s="2">
        <v>31380</v>
      </c>
      <c r="E42" s="1">
        <v>2464</v>
      </c>
      <c r="F42" s="16">
        <v>35550</v>
      </c>
      <c r="G42" s="1">
        <v>8368</v>
      </c>
      <c r="H42" s="16">
        <v>35550</v>
      </c>
      <c r="I42" s="1">
        <v>3685</v>
      </c>
      <c r="J42" s="16">
        <v>35550</v>
      </c>
      <c r="K42" s="1">
        <v>1241</v>
      </c>
      <c r="L42" s="16">
        <v>35550</v>
      </c>
      <c r="M42" s="1">
        <v>1450</v>
      </c>
      <c r="N42" s="16">
        <v>35550</v>
      </c>
      <c r="O42" s="1">
        <v>2126</v>
      </c>
      <c r="P42" s="16">
        <v>35550</v>
      </c>
      <c r="Q42" s="1">
        <v>5929</v>
      </c>
      <c r="R42" s="16">
        <v>35550</v>
      </c>
      <c r="S42" s="1">
        <v>3186</v>
      </c>
      <c r="T42" s="16">
        <v>35550</v>
      </c>
      <c r="U42" s="1">
        <v>3230</v>
      </c>
      <c r="V42" s="16">
        <v>35550</v>
      </c>
      <c r="W42" s="1">
        <v>838</v>
      </c>
      <c r="X42" s="15">
        <v>32932</v>
      </c>
      <c r="Y42" s="8">
        <v>23120</v>
      </c>
      <c r="Z42" s="15">
        <v>32904</v>
      </c>
      <c r="AA42" s="8">
        <v>5775</v>
      </c>
      <c r="AB42" s="15">
        <v>32904</v>
      </c>
      <c r="AC42" s="8">
        <v>2000</v>
      </c>
      <c r="AD42" s="15">
        <v>32904</v>
      </c>
      <c r="AE42" s="8">
        <v>2500</v>
      </c>
      <c r="AF42" s="15">
        <v>32904</v>
      </c>
      <c r="AG42" s="8">
        <v>3150</v>
      </c>
      <c r="AH42" s="15">
        <v>32904</v>
      </c>
      <c r="AI42" s="8">
        <v>1350</v>
      </c>
      <c r="AJ42" s="15">
        <v>32904</v>
      </c>
      <c r="AK42" s="8">
        <v>1700</v>
      </c>
      <c r="AL42" s="15">
        <v>32904</v>
      </c>
      <c r="AM42" s="8">
        <v>1950</v>
      </c>
      <c r="AN42" s="15">
        <v>32904</v>
      </c>
      <c r="AO42" s="8">
        <v>1975</v>
      </c>
      <c r="AP42" s="5">
        <v>37376</v>
      </c>
      <c r="AQ42" s="4">
        <v>13.696</v>
      </c>
      <c r="AR42" s="11">
        <v>33511</v>
      </c>
      <c r="AS42" s="11">
        <v>33511</v>
      </c>
      <c r="AT42" s="10">
        <v>21.05</v>
      </c>
    </row>
    <row r="43" spans="1:46" x14ac:dyDescent="0.25">
      <c r="A43" s="16">
        <v>19510</v>
      </c>
      <c r="B43" s="1">
        <v>6391</v>
      </c>
      <c r="C43" s="13" t="str">
        <f t="shared" si="0"/>
        <v>121985</v>
      </c>
      <c r="D43" s="2">
        <v>31412</v>
      </c>
      <c r="E43" s="1">
        <v>-1683</v>
      </c>
      <c r="F43" s="16">
        <v>35581</v>
      </c>
      <c r="G43" s="1">
        <v>8348</v>
      </c>
      <c r="H43" s="16">
        <v>35581</v>
      </c>
      <c r="I43" s="1">
        <v>3635</v>
      </c>
      <c r="J43" s="16">
        <v>35581</v>
      </c>
      <c r="K43" s="1">
        <v>1290</v>
      </c>
      <c r="L43" s="16">
        <v>35581</v>
      </c>
      <c r="M43" s="1">
        <v>1450</v>
      </c>
      <c r="N43" s="16">
        <v>35581</v>
      </c>
      <c r="O43" s="1">
        <v>2089</v>
      </c>
      <c r="P43" s="16">
        <v>35581</v>
      </c>
      <c r="Q43" s="1">
        <v>5937</v>
      </c>
      <c r="R43" s="16">
        <v>35581</v>
      </c>
      <c r="S43" s="1">
        <v>3206</v>
      </c>
      <c r="T43" s="16">
        <v>35581</v>
      </c>
      <c r="U43" s="1">
        <v>3275</v>
      </c>
      <c r="V43" s="16">
        <v>35581</v>
      </c>
      <c r="W43" s="1">
        <v>838</v>
      </c>
      <c r="X43" s="15">
        <v>32963</v>
      </c>
      <c r="Y43" s="8">
        <v>24090</v>
      </c>
      <c r="Z43" s="15">
        <v>32932</v>
      </c>
      <c r="AA43" s="8">
        <v>5625</v>
      </c>
      <c r="AB43" s="15">
        <v>32932</v>
      </c>
      <c r="AC43" s="8">
        <v>2000</v>
      </c>
      <c r="AD43" s="15">
        <v>32932</v>
      </c>
      <c r="AE43" s="8">
        <v>2300</v>
      </c>
      <c r="AF43" s="15">
        <v>32932</v>
      </c>
      <c r="AG43" s="8">
        <v>3100</v>
      </c>
      <c r="AH43" s="15">
        <v>32932</v>
      </c>
      <c r="AI43" s="8">
        <v>1350</v>
      </c>
      <c r="AJ43" s="15">
        <v>32932</v>
      </c>
      <c r="AK43" s="8">
        <v>1800</v>
      </c>
      <c r="AL43" s="15">
        <v>32932</v>
      </c>
      <c r="AM43" s="8">
        <v>2050</v>
      </c>
      <c r="AN43" s="15">
        <v>32932</v>
      </c>
      <c r="AO43" s="8">
        <v>1975</v>
      </c>
      <c r="AP43" s="5">
        <v>37407</v>
      </c>
      <c r="AQ43" s="4">
        <v>14.302</v>
      </c>
      <c r="AR43" s="11">
        <v>33542</v>
      </c>
      <c r="AS43" s="11">
        <v>33542</v>
      </c>
      <c r="AT43" s="10">
        <v>22.1</v>
      </c>
    </row>
    <row r="44" spans="1:46" x14ac:dyDescent="0.25">
      <c r="A44" s="16">
        <v>19540</v>
      </c>
      <c r="B44" s="1">
        <v>6588</v>
      </c>
      <c r="C44" s="13" t="str">
        <f t="shared" si="0"/>
        <v>11986</v>
      </c>
      <c r="D44" s="2">
        <v>31443</v>
      </c>
      <c r="E44" s="1">
        <v>-2636</v>
      </c>
      <c r="F44" s="16">
        <v>35611</v>
      </c>
      <c r="G44" s="1">
        <v>8341</v>
      </c>
      <c r="H44" s="16">
        <v>35611</v>
      </c>
      <c r="I44" s="1">
        <v>3735</v>
      </c>
      <c r="J44" s="16">
        <v>35611</v>
      </c>
      <c r="K44" s="1">
        <v>589</v>
      </c>
      <c r="L44" s="16">
        <v>35611</v>
      </c>
      <c r="M44" s="1">
        <v>1450</v>
      </c>
      <c r="N44" s="16">
        <v>35611</v>
      </c>
      <c r="O44" s="1">
        <v>2153</v>
      </c>
      <c r="P44" s="16">
        <v>35611</v>
      </c>
      <c r="Q44" s="1">
        <v>5937</v>
      </c>
      <c r="R44" s="16">
        <v>35611</v>
      </c>
      <c r="S44" s="1">
        <v>3226</v>
      </c>
      <c r="T44" s="16">
        <v>35611</v>
      </c>
      <c r="U44" s="1">
        <v>3220</v>
      </c>
      <c r="V44" s="16">
        <v>35611</v>
      </c>
      <c r="W44" s="1">
        <v>838</v>
      </c>
      <c r="X44" s="15">
        <v>32993</v>
      </c>
      <c r="Y44" s="8">
        <v>23980</v>
      </c>
      <c r="Z44" s="15">
        <v>32963</v>
      </c>
      <c r="AA44" s="8">
        <v>5675</v>
      </c>
      <c r="AB44" s="15">
        <v>32963</v>
      </c>
      <c r="AC44" s="8">
        <v>2000</v>
      </c>
      <c r="AD44" s="15">
        <v>32963</v>
      </c>
      <c r="AE44" s="8">
        <v>3150</v>
      </c>
      <c r="AF44" s="15">
        <v>32963</v>
      </c>
      <c r="AG44" s="8">
        <v>3100</v>
      </c>
      <c r="AH44" s="15">
        <v>32963</v>
      </c>
      <c r="AI44" s="8">
        <v>1350</v>
      </c>
      <c r="AJ44" s="15">
        <v>32963</v>
      </c>
      <c r="AK44" s="8">
        <v>1850</v>
      </c>
      <c r="AL44" s="15">
        <v>32963</v>
      </c>
      <c r="AM44" s="8">
        <v>1950</v>
      </c>
      <c r="AN44" s="15">
        <v>32963</v>
      </c>
      <c r="AO44" s="8">
        <v>2075</v>
      </c>
      <c r="AP44" s="5">
        <v>37437</v>
      </c>
      <c r="AQ44" s="4">
        <v>14.807</v>
      </c>
      <c r="AR44" s="11">
        <v>33571</v>
      </c>
      <c r="AS44" s="11">
        <v>33571</v>
      </c>
      <c r="AT44" s="10">
        <v>20.13</v>
      </c>
    </row>
    <row r="45" spans="1:46" x14ac:dyDescent="0.25">
      <c r="A45" s="16">
        <v>19571</v>
      </c>
      <c r="B45" s="1">
        <v>6604</v>
      </c>
      <c r="C45" s="13" t="str">
        <f t="shared" si="0"/>
        <v>21986</v>
      </c>
      <c r="D45" s="2">
        <v>31471</v>
      </c>
      <c r="E45" s="1">
        <v>9560</v>
      </c>
      <c r="F45" s="16">
        <v>35642</v>
      </c>
      <c r="G45" s="1">
        <v>8360</v>
      </c>
      <c r="H45" s="16">
        <v>35642</v>
      </c>
      <c r="I45" s="1">
        <v>3685</v>
      </c>
      <c r="J45" s="16">
        <v>35642</v>
      </c>
      <c r="K45" s="1">
        <v>589</v>
      </c>
      <c r="L45" s="16">
        <v>35642</v>
      </c>
      <c r="M45" s="1">
        <v>1450</v>
      </c>
      <c r="N45" s="16">
        <v>35642</v>
      </c>
      <c r="O45" s="1">
        <v>2144</v>
      </c>
      <c r="P45" s="16">
        <v>35642</v>
      </c>
      <c r="Q45" s="1">
        <v>5959</v>
      </c>
      <c r="R45" s="16">
        <v>35642</v>
      </c>
      <c r="S45" s="1">
        <v>3236</v>
      </c>
      <c r="T45" s="16">
        <v>35642</v>
      </c>
      <c r="U45" s="1">
        <v>3190</v>
      </c>
      <c r="V45" s="16">
        <v>35642</v>
      </c>
      <c r="W45" s="1">
        <v>869</v>
      </c>
      <c r="X45" s="15">
        <v>33024</v>
      </c>
      <c r="Y45" s="8">
        <v>23680</v>
      </c>
      <c r="Z45" s="15">
        <v>32993</v>
      </c>
      <c r="AA45" s="8">
        <v>5850</v>
      </c>
      <c r="AB45" s="15">
        <v>32993</v>
      </c>
      <c r="AC45" s="8">
        <v>2100</v>
      </c>
      <c r="AD45" s="15">
        <v>32993</v>
      </c>
      <c r="AE45" s="8">
        <v>3010</v>
      </c>
      <c r="AF45" s="15">
        <v>32993</v>
      </c>
      <c r="AG45" s="8">
        <v>3050</v>
      </c>
      <c r="AH45" s="15">
        <v>32993</v>
      </c>
      <c r="AI45" s="8">
        <v>1300</v>
      </c>
      <c r="AJ45" s="15">
        <v>32993</v>
      </c>
      <c r="AK45" s="8">
        <v>1800</v>
      </c>
      <c r="AL45" s="15">
        <v>32993</v>
      </c>
      <c r="AM45" s="8">
        <v>2000</v>
      </c>
      <c r="AN45" s="15">
        <v>32993</v>
      </c>
      <c r="AO45" s="8">
        <v>1900</v>
      </c>
      <c r="AP45" s="5">
        <v>37468</v>
      </c>
      <c r="AQ45" s="4">
        <v>14.426</v>
      </c>
      <c r="AR45" s="11">
        <v>33603</v>
      </c>
      <c r="AS45" s="11">
        <v>33603</v>
      </c>
      <c r="AT45" s="10">
        <v>17.61</v>
      </c>
    </row>
    <row r="46" spans="1:46" x14ac:dyDescent="0.25">
      <c r="A46" s="16">
        <v>19602</v>
      </c>
      <c r="B46" s="1">
        <v>6596</v>
      </c>
      <c r="C46" s="13" t="str">
        <f t="shared" si="0"/>
        <v>31986</v>
      </c>
      <c r="D46" s="2">
        <v>31502</v>
      </c>
      <c r="E46" s="1">
        <v>8454</v>
      </c>
      <c r="F46" s="16">
        <v>35673</v>
      </c>
      <c r="G46" s="1">
        <v>8458</v>
      </c>
      <c r="H46" s="16">
        <v>35673</v>
      </c>
      <c r="I46" s="1">
        <v>3685</v>
      </c>
      <c r="J46" s="16">
        <v>35673</v>
      </c>
      <c r="K46" s="1">
        <v>1475</v>
      </c>
      <c r="L46" s="16">
        <v>35673</v>
      </c>
      <c r="M46" s="1">
        <v>1450</v>
      </c>
      <c r="N46" s="16">
        <v>35673</v>
      </c>
      <c r="O46" s="1">
        <v>2162</v>
      </c>
      <c r="P46" s="16">
        <v>35673</v>
      </c>
      <c r="Q46" s="1">
        <v>5981</v>
      </c>
      <c r="R46" s="16">
        <v>35673</v>
      </c>
      <c r="S46" s="1">
        <v>3354</v>
      </c>
      <c r="T46" s="16">
        <v>35673</v>
      </c>
      <c r="U46" s="1">
        <v>3190</v>
      </c>
      <c r="V46" s="16">
        <v>35673</v>
      </c>
      <c r="W46" s="1">
        <v>854</v>
      </c>
      <c r="X46" s="15">
        <v>33054</v>
      </c>
      <c r="Y46" s="8">
        <v>23260</v>
      </c>
      <c r="Z46" s="15">
        <v>33024</v>
      </c>
      <c r="AA46" s="8">
        <v>5250</v>
      </c>
      <c r="AB46" s="15">
        <v>33024</v>
      </c>
      <c r="AC46" s="8">
        <v>2050</v>
      </c>
      <c r="AD46" s="15">
        <v>33024</v>
      </c>
      <c r="AE46" s="8">
        <v>3430</v>
      </c>
      <c r="AF46" s="15">
        <v>33024</v>
      </c>
      <c r="AG46" s="8">
        <v>3150</v>
      </c>
      <c r="AH46" s="15">
        <v>33024</v>
      </c>
      <c r="AI46" s="8">
        <v>1300</v>
      </c>
      <c r="AJ46" s="15">
        <v>33024</v>
      </c>
      <c r="AK46" s="8">
        <v>1700</v>
      </c>
      <c r="AL46" s="15">
        <v>33024</v>
      </c>
      <c r="AM46" s="8">
        <v>2000</v>
      </c>
      <c r="AN46" s="15">
        <v>33024</v>
      </c>
      <c r="AO46" s="8">
        <v>1900</v>
      </c>
      <c r="AP46" s="5">
        <v>37499</v>
      </c>
      <c r="AQ46" s="4">
        <v>14.811999999999999</v>
      </c>
      <c r="AR46" s="11">
        <v>33634</v>
      </c>
      <c r="AS46" s="11">
        <v>33634</v>
      </c>
      <c r="AT46" s="10">
        <v>18.149999999999999</v>
      </c>
    </row>
    <row r="47" spans="1:46" x14ac:dyDescent="0.25">
      <c r="A47" s="16">
        <v>19632</v>
      </c>
      <c r="B47" s="1">
        <v>6552</v>
      </c>
      <c r="C47" s="13" t="str">
        <f t="shared" si="0"/>
        <v>41986</v>
      </c>
      <c r="D47" s="2">
        <v>31532</v>
      </c>
      <c r="E47" s="1">
        <v>-5720</v>
      </c>
      <c r="F47" s="16">
        <v>35703</v>
      </c>
      <c r="G47" s="1">
        <v>8463</v>
      </c>
      <c r="H47" s="16">
        <v>35703</v>
      </c>
      <c r="I47" s="1">
        <v>3485</v>
      </c>
      <c r="J47" s="16">
        <v>35703</v>
      </c>
      <c r="K47" s="1">
        <v>1689</v>
      </c>
      <c r="L47" s="16">
        <v>35703</v>
      </c>
      <c r="M47" s="1">
        <v>1450</v>
      </c>
      <c r="N47" s="16">
        <v>35703</v>
      </c>
      <c r="O47" s="1">
        <v>2117</v>
      </c>
      <c r="P47" s="16">
        <v>35703</v>
      </c>
      <c r="Q47" s="1">
        <v>5994</v>
      </c>
      <c r="R47" s="16">
        <v>35703</v>
      </c>
      <c r="S47" s="1">
        <v>3394</v>
      </c>
      <c r="T47" s="16">
        <v>35703</v>
      </c>
      <c r="U47" s="1">
        <v>3195</v>
      </c>
      <c r="V47" s="16">
        <v>35703</v>
      </c>
      <c r="W47" s="1">
        <v>838</v>
      </c>
      <c r="X47" s="15">
        <v>33085</v>
      </c>
      <c r="Y47" s="8">
        <v>23410</v>
      </c>
      <c r="Z47" s="15">
        <v>33054</v>
      </c>
      <c r="AA47" s="8">
        <v>5360</v>
      </c>
      <c r="AB47" s="15">
        <v>33054</v>
      </c>
      <c r="AC47" s="8">
        <v>1950</v>
      </c>
      <c r="AD47" s="15">
        <v>33054</v>
      </c>
      <c r="AE47" s="8">
        <v>2930</v>
      </c>
      <c r="AF47" s="15">
        <v>33054</v>
      </c>
      <c r="AG47" s="8">
        <v>3150</v>
      </c>
      <c r="AH47" s="15">
        <v>33054</v>
      </c>
      <c r="AI47" s="8">
        <v>1300</v>
      </c>
      <c r="AJ47" s="15">
        <v>33054</v>
      </c>
      <c r="AK47" s="8">
        <v>1760</v>
      </c>
      <c r="AL47" s="15">
        <v>33054</v>
      </c>
      <c r="AM47" s="8">
        <v>2000</v>
      </c>
      <c r="AN47" s="15">
        <v>33054</v>
      </c>
      <c r="AO47" s="8">
        <v>1860</v>
      </c>
      <c r="AP47" s="5">
        <v>37529</v>
      </c>
      <c r="AQ47" s="4">
        <v>14.099</v>
      </c>
      <c r="AR47" s="11">
        <v>33662</v>
      </c>
      <c r="AS47" s="11">
        <v>33662</v>
      </c>
      <c r="AT47" s="10">
        <v>17.55</v>
      </c>
    </row>
    <row r="48" spans="1:46" x14ac:dyDescent="0.25">
      <c r="A48" s="16">
        <v>19663</v>
      </c>
      <c r="B48" s="1">
        <v>6249</v>
      </c>
      <c r="C48" s="13" t="str">
        <f t="shared" si="0"/>
        <v>51986</v>
      </c>
      <c r="D48" s="2">
        <v>31562</v>
      </c>
      <c r="E48" s="1">
        <v>-3022</v>
      </c>
      <c r="F48" s="16">
        <v>35734</v>
      </c>
      <c r="G48" s="1">
        <v>8463</v>
      </c>
      <c r="H48" s="16">
        <v>35734</v>
      </c>
      <c r="I48" s="1">
        <v>3635</v>
      </c>
      <c r="J48" s="16">
        <v>35734</v>
      </c>
      <c r="K48" s="1">
        <v>1582</v>
      </c>
      <c r="L48" s="16">
        <v>35734</v>
      </c>
      <c r="M48" s="1">
        <v>1450</v>
      </c>
      <c r="N48" s="16">
        <v>35734</v>
      </c>
      <c r="O48" s="1">
        <v>2208</v>
      </c>
      <c r="P48" s="16">
        <v>35734</v>
      </c>
      <c r="Q48" s="1">
        <v>5990</v>
      </c>
      <c r="R48" s="16">
        <v>35734</v>
      </c>
      <c r="S48" s="1">
        <v>3394</v>
      </c>
      <c r="T48" s="16">
        <v>35734</v>
      </c>
      <c r="U48" s="1">
        <v>3195</v>
      </c>
      <c r="V48" s="16">
        <v>35734</v>
      </c>
      <c r="W48" s="1">
        <v>747</v>
      </c>
      <c r="X48" s="15">
        <v>33116</v>
      </c>
      <c r="Y48" s="8">
        <v>19580</v>
      </c>
      <c r="Z48" s="15">
        <v>33085</v>
      </c>
      <c r="AA48" s="8">
        <v>5375</v>
      </c>
      <c r="AB48" s="15">
        <v>33085</v>
      </c>
      <c r="AC48" s="8">
        <v>1970</v>
      </c>
      <c r="AD48" s="15">
        <v>33085</v>
      </c>
      <c r="AE48" s="8">
        <v>2910</v>
      </c>
      <c r="AF48" s="15">
        <v>33085</v>
      </c>
      <c r="AG48" s="8">
        <v>3280</v>
      </c>
      <c r="AH48" s="15">
        <v>33085</v>
      </c>
      <c r="AI48" s="8">
        <v>1300</v>
      </c>
      <c r="AJ48" s="15">
        <v>33085</v>
      </c>
      <c r="AK48" s="8">
        <v>1750</v>
      </c>
      <c r="AL48" s="15">
        <v>33085</v>
      </c>
      <c r="AM48" s="8">
        <v>2000</v>
      </c>
      <c r="AN48" s="15">
        <v>33085</v>
      </c>
      <c r="AO48" s="8">
        <v>1875</v>
      </c>
      <c r="AP48" s="5">
        <v>37560</v>
      </c>
      <c r="AQ48" s="4">
        <v>14.637</v>
      </c>
      <c r="AR48" s="11">
        <v>33694</v>
      </c>
      <c r="AS48" s="11">
        <v>33694</v>
      </c>
      <c r="AT48" s="10">
        <v>18.14</v>
      </c>
    </row>
    <row r="49" spans="1:46" x14ac:dyDescent="0.25">
      <c r="A49" s="16">
        <v>19693</v>
      </c>
      <c r="B49" s="1">
        <v>6271</v>
      </c>
      <c r="C49" s="13" t="str">
        <f t="shared" si="0"/>
        <v>61986</v>
      </c>
      <c r="D49" s="2">
        <v>31593</v>
      </c>
      <c r="E49" s="1">
        <v>1365</v>
      </c>
      <c r="F49" s="16">
        <v>35764</v>
      </c>
      <c r="G49" s="1">
        <v>8414</v>
      </c>
      <c r="H49" s="16">
        <v>35764</v>
      </c>
      <c r="I49" s="1">
        <v>3685</v>
      </c>
      <c r="J49" s="16">
        <v>35764</v>
      </c>
      <c r="K49" s="1">
        <v>1353</v>
      </c>
      <c r="L49" s="16">
        <v>35764</v>
      </c>
      <c r="M49" s="1">
        <v>1450</v>
      </c>
      <c r="N49" s="16">
        <v>35764</v>
      </c>
      <c r="O49" s="1">
        <v>2171</v>
      </c>
      <c r="P49" s="16">
        <v>35764</v>
      </c>
      <c r="Q49" s="1">
        <v>5981</v>
      </c>
      <c r="R49" s="16">
        <v>35764</v>
      </c>
      <c r="S49" s="1">
        <v>3424</v>
      </c>
      <c r="T49" s="16">
        <v>35764</v>
      </c>
      <c r="U49" s="1">
        <v>3158</v>
      </c>
      <c r="V49" s="16">
        <v>35764</v>
      </c>
      <c r="W49" s="1">
        <v>818</v>
      </c>
      <c r="X49" s="15">
        <v>33146</v>
      </c>
      <c r="Y49" s="8">
        <v>22685</v>
      </c>
      <c r="Z49" s="15">
        <v>33116</v>
      </c>
      <c r="AA49" s="8">
        <v>5630</v>
      </c>
      <c r="AB49" s="15">
        <v>33116</v>
      </c>
      <c r="AC49" s="8">
        <v>1600</v>
      </c>
      <c r="AD49" s="15">
        <v>33116</v>
      </c>
      <c r="AE49" s="8">
        <v>3200</v>
      </c>
      <c r="AF49" s="15">
        <v>33116</v>
      </c>
      <c r="AG49" s="8">
        <v>700</v>
      </c>
      <c r="AH49" s="15">
        <v>33116</v>
      </c>
      <c r="AI49" s="8">
        <v>1350</v>
      </c>
      <c r="AJ49" s="15">
        <v>33116</v>
      </c>
      <c r="AK49" s="8">
        <v>1800</v>
      </c>
      <c r="AL49" s="15">
        <v>33116</v>
      </c>
      <c r="AM49" s="8">
        <v>2000</v>
      </c>
      <c r="AN49" s="15">
        <v>33116</v>
      </c>
      <c r="AO49" s="8">
        <v>280</v>
      </c>
      <c r="AP49" s="5">
        <v>37590</v>
      </c>
      <c r="AQ49" s="4">
        <v>13.912000000000001</v>
      </c>
      <c r="AR49" s="11">
        <v>33724</v>
      </c>
      <c r="AS49" s="11">
        <v>33724</v>
      </c>
      <c r="AT49" s="10">
        <v>19.66</v>
      </c>
    </row>
    <row r="50" spans="1:46" x14ac:dyDescent="0.25">
      <c r="A50" s="16">
        <v>19724</v>
      </c>
      <c r="B50" s="1">
        <v>6237</v>
      </c>
      <c r="C50" s="13" t="str">
        <f t="shared" si="0"/>
        <v>71986</v>
      </c>
      <c r="D50" s="2">
        <v>31624</v>
      </c>
      <c r="E50" s="1">
        <v>2986</v>
      </c>
      <c r="F50" s="16">
        <v>35795</v>
      </c>
      <c r="G50" s="1">
        <v>8521</v>
      </c>
      <c r="H50" s="16">
        <v>35795</v>
      </c>
      <c r="I50" s="1">
        <v>3685</v>
      </c>
      <c r="J50" s="16">
        <v>35795</v>
      </c>
      <c r="K50" s="1">
        <v>760</v>
      </c>
      <c r="L50" s="16">
        <v>35795</v>
      </c>
      <c r="M50" s="1">
        <v>1450</v>
      </c>
      <c r="N50" s="16">
        <v>35795</v>
      </c>
      <c r="O50" s="1">
        <v>2135</v>
      </c>
      <c r="P50" s="16">
        <v>35795</v>
      </c>
      <c r="Q50" s="1">
        <v>5929</v>
      </c>
      <c r="R50" s="16">
        <v>35795</v>
      </c>
      <c r="S50" s="1">
        <v>3453</v>
      </c>
      <c r="T50" s="16">
        <v>35795</v>
      </c>
      <c r="U50" s="1">
        <v>3090</v>
      </c>
      <c r="V50" s="16">
        <v>35795</v>
      </c>
      <c r="W50" s="1">
        <v>929</v>
      </c>
      <c r="X50" s="15">
        <v>33177</v>
      </c>
      <c r="Y50" s="8">
        <v>22660</v>
      </c>
      <c r="Z50" s="15">
        <v>33146</v>
      </c>
      <c r="AA50" s="8">
        <v>7630</v>
      </c>
      <c r="AB50" s="15">
        <v>33146</v>
      </c>
      <c r="AC50" s="8">
        <v>2215</v>
      </c>
      <c r="AD50" s="15">
        <v>33146</v>
      </c>
      <c r="AE50" s="8">
        <v>3470</v>
      </c>
      <c r="AF50" s="15">
        <v>33146</v>
      </c>
      <c r="AG50" s="8">
        <v>450</v>
      </c>
      <c r="AH50" s="15">
        <v>33146</v>
      </c>
      <c r="AI50" s="8">
        <v>1430</v>
      </c>
      <c r="AJ50" s="15">
        <v>33146</v>
      </c>
      <c r="AK50" s="8">
        <v>1870</v>
      </c>
      <c r="AL50" s="15">
        <v>33146</v>
      </c>
      <c r="AM50" s="8">
        <v>2250</v>
      </c>
      <c r="AN50" s="15">
        <v>33146</v>
      </c>
      <c r="AO50" s="8">
        <v>230</v>
      </c>
      <c r="AP50" s="5">
        <v>37621</v>
      </c>
      <c r="AQ50" s="4">
        <v>14.314</v>
      </c>
      <c r="AR50" s="11">
        <v>33753</v>
      </c>
      <c r="AS50" s="11">
        <v>33753</v>
      </c>
      <c r="AT50" s="10">
        <v>20.79</v>
      </c>
    </row>
    <row r="51" spans="1:46" x14ac:dyDescent="0.25">
      <c r="A51" s="16">
        <v>19755</v>
      </c>
      <c r="B51" s="1">
        <v>6240</v>
      </c>
      <c r="C51" s="13" t="str">
        <f t="shared" si="0"/>
        <v>81986</v>
      </c>
      <c r="D51" s="2">
        <v>31653</v>
      </c>
      <c r="E51" s="1">
        <v>2200</v>
      </c>
      <c r="F51" s="16">
        <v>35826</v>
      </c>
      <c r="G51" s="1">
        <v>8765</v>
      </c>
      <c r="H51" s="16">
        <v>35826</v>
      </c>
      <c r="I51" s="1">
        <v>3635</v>
      </c>
      <c r="J51" s="16">
        <v>35826</v>
      </c>
      <c r="K51" s="1">
        <v>1261</v>
      </c>
      <c r="L51" s="16">
        <v>35826</v>
      </c>
      <c r="M51" s="1">
        <v>1463</v>
      </c>
      <c r="N51" s="16">
        <v>35826</v>
      </c>
      <c r="O51" s="1">
        <v>2218</v>
      </c>
      <c r="P51" s="16">
        <v>35826</v>
      </c>
      <c r="Q51" s="1">
        <v>5894</v>
      </c>
      <c r="R51" s="16">
        <v>35826</v>
      </c>
      <c r="S51" s="1">
        <v>3440</v>
      </c>
      <c r="T51" s="16">
        <v>35826</v>
      </c>
      <c r="U51" s="1">
        <v>3240</v>
      </c>
      <c r="V51" s="16">
        <v>35826</v>
      </c>
      <c r="W51" s="1">
        <v>884</v>
      </c>
      <c r="X51" s="15">
        <v>33207</v>
      </c>
      <c r="Y51" s="8">
        <v>23630</v>
      </c>
      <c r="Z51" s="15">
        <v>33177</v>
      </c>
      <c r="AA51" s="8">
        <v>7800</v>
      </c>
      <c r="AB51" s="15">
        <v>33177</v>
      </c>
      <c r="AC51" s="8">
        <v>2240</v>
      </c>
      <c r="AD51" s="15">
        <v>33177</v>
      </c>
      <c r="AE51" s="8">
        <v>3000</v>
      </c>
      <c r="AF51" s="15">
        <v>33177</v>
      </c>
      <c r="AG51" s="8">
        <v>450</v>
      </c>
      <c r="AH51" s="15">
        <v>33177</v>
      </c>
      <c r="AI51" s="8">
        <v>1600</v>
      </c>
      <c r="AJ51" s="15">
        <v>33177</v>
      </c>
      <c r="AK51" s="8">
        <v>1900</v>
      </c>
      <c r="AL51" s="15">
        <v>33177</v>
      </c>
      <c r="AM51" s="8">
        <v>2300</v>
      </c>
      <c r="AN51" s="15">
        <v>33177</v>
      </c>
      <c r="AO51" s="8">
        <v>230</v>
      </c>
      <c r="AP51" s="5">
        <v>37652</v>
      </c>
      <c r="AQ51" s="4">
        <v>14.364000000000001</v>
      </c>
      <c r="AR51" s="11">
        <v>33785</v>
      </c>
      <c r="AS51" s="11">
        <v>33785</v>
      </c>
      <c r="AT51" s="10">
        <v>20.41</v>
      </c>
    </row>
    <row r="52" spans="1:46" x14ac:dyDescent="0.25">
      <c r="A52" s="16">
        <v>19783</v>
      </c>
      <c r="B52" s="1">
        <v>6380</v>
      </c>
      <c r="C52" s="13" t="str">
        <f t="shared" si="0"/>
        <v>91986</v>
      </c>
      <c r="D52" s="2">
        <v>31685</v>
      </c>
      <c r="E52" s="1">
        <v>5998</v>
      </c>
      <c r="F52" s="16">
        <v>35854</v>
      </c>
      <c r="G52" s="1">
        <v>8760</v>
      </c>
      <c r="H52" s="16">
        <v>35854</v>
      </c>
      <c r="I52" s="1">
        <v>3635</v>
      </c>
      <c r="J52" s="16">
        <v>35854</v>
      </c>
      <c r="K52" s="1">
        <v>1703</v>
      </c>
      <c r="L52" s="16">
        <v>35854</v>
      </c>
      <c r="M52" s="1">
        <v>1463</v>
      </c>
      <c r="N52" s="16">
        <v>35854</v>
      </c>
      <c r="O52" s="1">
        <v>2263</v>
      </c>
      <c r="P52" s="16">
        <v>35854</v>
      </c>
      <c r="Q52" s="1">
        <v>5912</v>
      </c>
      <c r="R52" s="16">
        <v>35854</v>
      </c>
      <c r="S52" s="1">
        <v>3410</v>
      </c>
      <c r="T52" s="16">
        <v>35854</v>
      </c>
      <c r="U52" s="1">
        <v>3155</v>
      </c>
      <c r="V52" s="16">
        <v>35854</v>
      </c>
      <c r="W52" s="1">
        <v>918</v>
      </c>
      <c r="X52" s="15">
        <v>33238</v>
      </c>
      <c r="Y52" s="8">
        <v>23860</v>
      </c>
      <c r="Z52" s="15">
        <v>33207</v>
      </c>
      <c r="AA52" s="8">
        <v>8330</v>
      </c>
      <c r="AB52" s="15">
        <v>33207</v>
      </c>
      <c r="AC52" s="8">
        <v>2300</v>
      </c>
      <c r="AD52" s="15">
        <v>33207</v>
      </c>
      <c r="AE52" s="8">
        <v>3460</v>
      </c>
      <c r="AF52" s="15">
        <v>33207</v>
      </c>
      <c r="AG52" s="8">
        <v>450</v>
      </c>
      <c r="AH52" s="15">
        <v>33207</v>
      </c>
      <c r="AI52" s="8">
        <v>1550</v>
      </c>
      <c r="AJ52" s="15">
        <v>33207</v>
      </c>
      <c r="AK52" s="8">
        <v>1900</v>
      </c>
      <c r="AL52" s="15">
        <v>33207</v>
      </c>
      <c r="AM52" s="8">
        <v>2300</v>
      </c>
      <c r="AN52" s="15">
        <v>33207</v>
      </c>
      <c r="AO52" s="8">
        <v>230</v>
      </c>
      <c r="AP52" s="5">
        <v>37680</v>
      </c>
      <c r="AQ52" s="4">
        <v>13.116</v>
      </c>
      <c r="AR52" s="11">
        <v>33816</v>
      </c>
      <c r="AS52" s="11">
        <v>33816</v>
      </c>
      <c r="AT52" s="10">
        <v>20.47</v>
      </c>
    </row>
    <row r="53" spans="1:46" x14ac:dyDescent="0.25">
      <c r="A53" s="16">
        <v>19814</v>
      </c>
      <c r="B53" s="1">
        <v>6508</v>
      </c>
      <c r="C53" s="13" t="str">
        <f t="shared" si="0"/>
        <v>101986</v>
      </c>
      <c r="D53" s="2">
        <v>31716</v>
      </c>
      <c r="E53" s="1">
        <v>9333</v>
      </c>
      <c r="F53" s="16">
        <v>35885</v>
      </c>
      <c r="G53" s="1">
        <v>8460</v>
      </c>
      <c r="H53" s="16">
        <v>35885</v>
      </c>
      <c r="I53" s="1">
        <v>3635</v>
      </c>
      <c r="J53" s="16">
        <v>35885</v>
      </c>
      <c r="K53" s="1">
        <v>1825</v>
      </c>
      <c r="L53" s="16">
        <v>35885</v>
      </c>
      <c r="M53" s="1">
        <v>1463</v>
      </c>
      <c r="N53" s="16">
        <v>35885</v>
      </c>
      <c r="O53" s="1">
        <v>2380</v>
      </c>
      <c r="P53" s="16">
        <v>35885</v>
      </c>
      <c r="Q53" s="1">
        <v>5877</v>
      </c>
      <c r="R53" s="16">
        <v>35885</v>
      </c>
      <c r="S53" s="1">
        <v>3410</v>
      </c>
      <c r="T53" s="16">
        <v>35885</v>
      </c>
      <c r="U53" s="1">
        <v>3170</v>
      </c>
      <c r="V53" s="16">
        <v>35885</v>
      </c>
      <c r="W53" s="1">
        <v>918</v>
      </c>
      <c r="X53" s="15">
        <v>33269</v>
      </c>
      <c r="Y53" s="8">
        <v>22950</v>
      </c>
      <c r="Z53" s="15">
        <v>33238</v>
      </c>
      <c r="AA53" s="8">
        <v>8430</v>
      </c>
      <c r="AB53" s="15">
        <v>33238</v>
      </c>
      <c r="AC53" s="8">
        <v>2350</v>
      </c>
      <c r="AD53" s="15">
        <v>33238</v>
      </c>
      <c r="AE53" s="8">
        <v>3450</v>
      </c>
      <c r="AF53" s="15">
        <v>33238</v>
      </c>
      <c r="AG53" s="8">
        <v>450</v>
      </c>
      <c r="AH53" s="15">
        <v>33238</v>
      </c>
      <c r="AI53" s="8">
        <v>1550</v>
      </c>
      <c r="AJ53" s="15">
        <v>33238</v>
      </c>
      <c r="AK53" s="8">
        <v>1900</v>
      </c>
      <c r="AL53" s="15">
        <v>33238</v>
      </c>
      <c r="AM53" s="8">
        <v>2350</v>
      </c>
      <c r="AN53" s="15">
        <v>33238</v>
      </c>
      <c r="AO53" s="8">
        <v>230</v>
      </c>
      <c r="AP53" s="5">
        <v>37711</v>
      </c>
      <c r="AQ53" s="4">
        <v>14.558</v>
      </c>
      <c r="AR53" s="11">
        <v>33847</v>
      </c>
      <c r="AS53" s="11">
        <v>33847</v>
      </c>
      <c r="AT53" s="10">
        <v>19.87</v>
      </c>
    </row>
    <row r="54" spans="1:46" x14ac:dyDescent="0.25">
      <c r="A54" s="16">
        <v>19844</v>
      </c>
      <c r="B54" s="1">
        <v>6617</v>
      </c>
      <c r="C54" s="13" t="str">
        <f t="shared" si="0"/>
        <v>111986</v>
      </c>
      <c r="D54" s="2">
        <v>31744</v>
      </c>
      <c r="E54" s="1">
        <v>2583</v>
      </c>
      <c r="F54" s="16">
        <v>35915</v>
      </c>
      <c r="G54" s="1">
        <v>8585</v>
      </c>
      <c r="H54" s="16">
        <v>35915</v>
      </c>
      <c r="I54" s="1">
        <v>3835</v>
      </c>
      <c r="J54" s="16">
        <v>35915</v>
      </c>
      <c r="K54" s="1">
        <v>1985</v>
      </c>
      <c r="L54" s="16">
        <v>35915</v>
      </c>
      <c r="M54" s="1">
        <v>1412</v>
      </c>
      <c r="N54" s="16">
        <v>35915</v>
      </c>
      <c r="O54" s="1">
        <v>2238</v>
      </c>
      <c r="P54" s="16">
        <v>35915</v>
      </c>
      <c r="Q54" s="1">
        <v>5792</v>
      </c>
      <c r="R54" s="16">
        <v>35915</v>
      </c>
      <c r="S54" s="1">
        <v>3240</v>
      </c>
      <c r="T54" s="16">
        <v>35915</v>
      </c>
      <c r="U54" s="1">
        <v>3140</v>
      </c>
      <c r="V54" s="16">
        <v>35915</v>
      </c>
      <c r="W54" s="1">
        <v>928</v>
      </c>
      <c r="X54" s="15">
        <v>33297</v>
      </c>
      <c r="Y54" s="8">
        <v>23100</v>
      </c>
      <c r="Z54" s="15">
        <v>33269</v>
      </c>
      <c r="AA54" s="8">
        <v>8000</v>
      </c>
      <c r="AB54" s="15">
        <v>33269</v>
      </c>
      <c r="AC54" s="8">
        <v>2350</v>
      </c>
      <c r="AD54" s="15">
        <v>33269</v>
      </c>
      <c r="AE54" s="8">
        <v>3100</v>
      </c>
      <c r="AF54" s="15">
        <v>33269</v>
      </c>
      <c r="AG54" s="8">
        <v>350</v>
      </c>
      <c r="AH54" s="15">
        <v>33269</v>
      </c>
      <c r="AI54" s="8">
        <v>1500</v>
      </c>
      <c r="AJ54" s="15">
        <v>33269</v>
      </c>
      <c r="AK54" s="8">
        <v>1900</v>
      </c>
      <c r="AL54" s="15">
        <v>33269</v>
      </c>
      <c r="AM54" s="8">
        <v>2350</v>
      </c>
      <c r="AN54" s="15">
        <v>33269</v>
      </c>
      <c r="AO54" s="8">
        <v>150</v>
      </c>
      <c r="AP54" s="5">
        <v>37741</v>
      </c>
      <c r="AQ54" s="4">
        <v>14.159000000000001</v>
      </c>
      <c r="AR54" s="11">
        <v>33877</v>
      </c>
      <c r="AS54" s="11">
        <v>33877</v>
      </c>
      <c r="AT54" s="10">
        <v>20.34</v>
      </c>
    </row>
    <row r="55" spans="1:46" x14ac:dyDescent="0.25">
      <c r="A55" s="16">
        <v>19875</v>
      </c>
      <c r="B55" s="1">
        <v>6472</v>
      </c>
      <c r="C55" s="13" t="str">
        <f t="shared" si="0"/>
        <v>121986</v>
      </c>
      <c r="D55" s="2">
        <v>31777</v>
      </c>
      <c r="E55" s="1">
        <v>-11385</v>
      </c>
      <c r="F55" s="16">
        <v>35946</v>
      </c>
      <c r="G55" s="1">
        <v>8625</v>
      </c>
      <c r="H55" s="16">
        <v>35946</v>
      </c>
      <c r="I55" s="1">
        <v>3635</v>
      </c>
      <c r="J55" s="16">
        <v>35946</v>
      </c>
      <c r="K55" s="1">
        <v>2245</v>
      </c>
      <c r="L55" s="16">
        <v>35946</v>
      </c>
      <c r="M55" s="1">
        <v>1372</v>
      </c>
      <c r="N55" s="16">
        <v>35946</v>
      </c>
      <c r="O55" s="1">
        <v>2230</v>
      </c>
      <c r="P55" s="16">
        <v>35946</v>
      </c>
      <c r="Q55" s="1">
        <v>5707</v>
      </c>
      <c r="R55" s="16">
        <v>35946</v>
      </c>
      <c r="S55" s="1">
        <v>3240</v>
      </c>
      <c r="T55" s="16">
        <v>35946</v>
      </c>
      <c r="U55" s="1">
        <v>3210</v>
      </c>
      <c r="V55" s="16">
        <v>35946</v>
      </c>
      <c r="W55" s="1">
        <v>957</v>
      </c>
      <c r="X55" s="15">
        <v>33328</v>
      </c>
      <c r="Y55" s="8">
        <v>23200</v>
      </c>
      <c r="Z55" s="15">
        <v>33297</v>
      </c>
      <c r="AA55" s="8">
        <v>8300</v>
      </c>
      <c r="AB55" s="15">
        <v>33297</v>
      </c>
      <c r="AC55" s="8">
        <v>2400</v>
      </c>
      <c r="AD55" s="15">
        <v>33297</v>
      </c>
      <c r="AE55" s="8">
        <v>3100</v>
      </c>
      <c r="AF55" s="15">
        <v>33297</v>
      </c>
      <c r="AG55" s="8">
        <v>200</v>
      </c>
      <c r="AH55" s="15">
        <v>33297</v>
      </c>
      <c r="AI55" s="8">
        <v>1500</v>
      </c>
      <c r="AJ55" s="15">
        <v>33297</v>
      </c>
      <c r="AK55" s="8">
        <v>1900</v>
      </c>
      <c r="AL55" s="15">
        <v>33297</v>
      </c>
      <c r="AM55" s="8">
        <v>2400</v>
      </c>
      <c r="AN55" s="15">
        <v>33297</v>
      </c>
      <c r="AO55" s="8">
        <v>50</v>
      </c>
      <c r="AP55" s="5">
        <v>37772</v>
      </c>
      <c r="AQ55" s="4">
        <v>14.573</v>
      </c>
      <c r="AR55" s="11">
        <v>33907</v>
      </c>
      <c r="AS55" s="11">
        <v>33907</v>
      </c>
      <c r="AT55" s="10">
        <v>19.45</v>
      </c>
    </row>
    <row r="56" spans="1:46" x14ac:dyDescent="0.25">
      <c r="A56" s="16">
        <v>19905</v>
      </c>
      <c r="B56" s="1">
        <v>6499</v>
      </c>
      <c r="C56" s="13" t="str">
        <f t="shared" si="0"/>
        <v>11987</v>
      </c>
      <c r="D56" s="2">
        <v>31807</v>
      </c>
      <c r="E56" s="1">
        <v>5221</v>
      </c>
      <c r="F56" s="16">
        <v>35976</v>
      </c>
      <c r="G56" s="1">
        <v>8325</v>
      </c>
      <c r="H56" s="16">
        <v>35976</v>
      </c>
      <c r="I56" s="1">
        <v>3835</v>
      </c>
      <c r="J56" s="16">
        <v>35976</v>
      </c>
      <c r="K56" s="1">
        <v>1920</v>
      </c>
      <c r="L56" s="16">
        <v>35976</v>
      </c>
      <c r="M56" s="1">
        <v>1372</v>
      </c>
      <c r="N56" s="16">
        <v>35976</v>
      </c>
      <c r="O56" s="1">
        <v>2210</v>
      </c>
      <c r="P56" s="16">
        <v>35976</v>
      </c>
      <c r="Q56" s="1">
        <v>5843</v>
      </c>
      <c r="R56" s="16">
        <v>35976</v>
      </c>
      <c r="S56" s="1">
        <v>3210</v>
      </c>
      <c r="T56" s="16">
        <v>35976</v>
      </c>
      <c r="U56" s="1">
        <v>3260</v>
      </c>
      <c r="V56" s="16">
        <v>35976</v>
      </c>
      <c r="W56" s="1">
        <v>954</v>
      </c>
      <c r="X56" s="15">
        <v>33358</v>
      </c>
      <c r="Y56" s="8">
        <v>22105</v>
      </c>
      <c r="Z56" s="15">
        <v>33328</v>
      </c>
      <c r="AA56" s="8">
        <v>8300</v>
      </c>
      <c r="AB56" s="15">
        <v>33328</v>
      </c>
      <c r="AC56" s="8">
        <v>2400</v>
      </c>
      <c r="AD56" s="15">
        <v>33328</v>
      </c>
      <c r="AE56" s="8">
        <v>3350</v>
      </c>
      <c r="AF56" s="15">
        <v>33328</v>
      </c>
      <c r="AG56" s="8">
        <v>75</v>
      </c>
      <c r="AH56" s="15">
        <v>33328</v>
      </c>
      <c r="AI56" s="8">
        <v>1500</v>
      </c>
      <c r="AJ56" s="15">
        <v>33328</v>
      </c>
      <c r="AK56" s="8">
        <v>1900</v>
      </c>
      <c r="AL56" s="15">
        <v>33328</v>
      </c>
      <c r="AM56" s="8">
        <v>2400</v>
      </c>
      <c r="AN56" s="15">
        <v>33328</v>
      </c>
      <c r="AO56" s="8">
        <v>25</v>
      </c>
      <c r="AP56" s="5">
        <v>37802</v>
      </c>
      <c r="AQ56" s="4">
        <v>14.194000000000001</v>
      </c>
      <c r="AR56" s="11">
        <v>33938</v>
      </c>
      <c r="AS56" s="11">
        <v>33938</v>
      </c>
      <c r="AT56" s="10">
        <v>18.84</v>
      </c>
    </row>
    <row r="57" spans="1:46" x14ac:dyDescent="0.25">
      <c r="A57" s="16">
        <v>19936</v>
      </c>
      <c r="B57" s="1">
        <v>6261</v>
      </c>
      <c r="C57" s="13" t="str">
        <f t="shared" si="0"/>
        <v>21987</v>
      </c>
      <c r="D57" s="2">
        <v>31835</v>
      </c>
      <c r="E57" s="1">
        <v>3286</v>
      </c>
      <c r="F57" s="16">
        <v>36007</v>
      </c>
      <c r="G57" s="1">
        <v>8275</v>
      </c>
      <c r="H57" s="16">
        <v>36007</v>
      </c>
      <c r="I57" s="1">
        <v>3585</v>
      </c>
      <c r="J57" s="16">
        <v>36007</v>
      </c>
      <c r="K57" s="1">
        <v>2355</v>
      </c>
      <c r="L57" s="16">
        <v>36007</v>
      </c>
      <c r="M57" s="1">
        <v>1372</v>
      </c>
      <c r="N57" s="16">
        <v>36007</v>
      </c>
      <c r="O57" s="1">
        <v>2160</v>
      </c>
      <c r="P57" s="16">
        <v>36007</v>
      </c>
      <c r="Q57" s="1">
        <v>5839</v>
      </c>
      <c r="R57" s="16">
        <v>36007</v>
      </c>
      <c r="S57" s="1">
        <v>3070</v>
      </c>
      <c r="T57" s="16">
        <v>36007</v>
      </c>
      <c r="U57" s="1">
        <v>3200</v>
      </c>
      <c r="V57" s="16">
        <v>36007</v>
      </c>
      <c r="W57" s="1">
        <v>973</v>
      </c>
      <c r="X57" s="15">
        <v>33389</v>
      </c>
      <c r="Y57" s="8">
        <v>22310</v>
      </c>
      <c r="Z57" s="15">
        <v>33358</v>
      </c>
      <c r="AA57" s="8">
        <v>7300</v>
      </c>
      <c r="AB57" s="15">
        <v>33358</v>
      </c>
      <c r="AC57" s="8">
        <v>2300</v>
      </c>
      <c r="AD57" s="15">
        <v>33358</v>
      </c>
      <c r="AE57" s="8">
        <v>3300</v>
      </c>
      <c r="AF57" s="15">
        <v>33358</v>
      </c>
      <c r="AG57" s="8">
        <v>200</v>
      </c>
      <c r="AH57" s="15">
        <v>33358</v>
      </c>
      <c r="AI57" s="8">
        <v>1450</v>
      </c>
      <c r="AJ57" s="15">
        <v>33358</v>
      </c>
      <c r="AK57" s="8">
        <v>1900</v>
      </c>
      <c r="AL57" s="15">
        <v>33358</v>
      </c>
      <c r="AM57" s="8">
        <v>2300</v>
      </c>
      <c r="AN57" s="15">
        <v>33358</v>
      </c>
      <c r="AO57" s="8">
        <v>50</v>
      </c>
      <c r="AP57" s="5">
        <v>37833</v>
      </c>
      <c r="AQ57" s="4">
        <v>14.368</v>
      </c>
      <c r="AR57" s="11">
        <v>33969</v>
      </c>
      <c r="AS57" s="11">
        <v>33969</v>
      </c>
      <c r="AT57" s="10">
        <v>18.29</v>
      </c>
    </row>
    <row r="58" spans="1:46" x14ac:dyDescent="0.25">
      <c r="A58" s="16">
        <v>19967</v>
      </c>
      <c r="B58" s="1">
        <v>6142</v>
      </c>
      <c r="C58" s="13" t="str">
        <f t="shared" si="0"/>
        <v>31987</v>
      </c>
      <c r="D58" s="2">
        <v>31867</v>
      </c>
      <c r="E58" s="1">
        <v>-5354</v>
      </c>
      <c r="F58" s="16">
        <v>36038</v>
      </c>
      <c r="G58" s="1">
        <v>8225</v>
      </c>
      <c r="H58" s="16">
        <v>36038</v>
      </c>
      <c r="I58" s="1">
        <v>3435</v>
      </c>
      <c r="J58" s="16">
        <v>36038</v>
      </c>
      <c r="K58" s="1">
        <v>2555</v>
      </c>
      <c r="L58" s="16">
        <v>36038</v>
      </c>
      <c r="M58" s="1">
        <v>1352</v>
      </c>
      <c r="N58" s="16">
        <v>36038</v>
      </c>
      <c r="O58" s="1">
        <v>2010</v>
      </c>
      <c r="P58" s="16">
        <v>36038</v>
      </c>
      <c r="Q58" s="1">
        <v>5826</v>
      </c>
      <c r="R58" s="16">
        <v>36038</v>
      </c>
      <c r="S58" s="1">
        <v>2990</v>
      </c>
      <c r="T58" s="16">
        <v>36038</v>
      </c>
      <c r="U58" s="1">
        <v>3180</v>
      </c>
      <c r="V58" s="16">
        <v>36038</v>
      </c>
      <c r="W58" s="1">
        <v>988</v>
      </c>
      <c r="X58" s="15">
        <v>33419</v>
      </c>
      <c r="Y58" s="8">
        <v>22696</v>
      </c>
      <c r="Z58" s="15">
        <v>33389</v>
      </c>
      <c r="AA58" s="8">
        <v>7650</v>
      </c>
      <c r="AB58" s="15">
        <v>33389</v>
      </c>
      <c r="AC58" s="8">
        <v>2300</v>
      </c>
      <c r="AD58" s="15">
        <v>33389</v>
      </c>
      <c r="AE58" s="8">
        <v>3210</v>
      </c>
      <c r="AF58" s="15">
        <v>33389</v>
      </c>
      <c r="AG58" s="8">
        <v>300</v>
      </c>
      <c r="AH58" s="15">
        <v>33389</v>
      </c>
      <c r="AI58" s="8">
        <v>1500</v>
      </c>
      <c r="AJ58" s="15">
        <v>33389</v>
      </c>
      <c r="AK58" s="8">
        <v>1850</v>
      </c>
      <c r="AL58" s="15">
        <v>33389</v>
      </c>
      <c r="AM58" s="8">
        <v>2300</v>
      </c>
      <c r="AN58" s="15">
        <v>33389</v>
      </c>
      <c r="AO58" s="8">
        <v>50</v>
      </c>
      <c r="AP58" s="5">
        <v>37864</v>
      </c>
      <c r="AQ58" s="4">
        <v>14.391999999999999</v>
      </c>
      <c r="AR58" s="11">
        <v>33998</v>
      </c>
      <c r="AS58" s="11">
        <v>33998</v>
      </c>
      <c r="AT58" s="10">
        <v>18.47</v>
      </c>
    </row>
    <row r="59" spans="1:46" x14ac:dyDescent="0.25">
      <c r="A59" s="16">
        <v>19997</v>
      </c>
      <c r="B59" s="1">
        <v>6144</v>
      </c>
      <c r="C59" s="13" t="str">
        <f t="shared" si="0"/>
        <v>41987</v>
      </c>
      <c r="D59" s="2">
        <v>31897</v>
      </c>
      <c r="E59" s="1">
        <v>-1299</v>
      </c>
      <c r="F59" s="16">
        <v>36068</v>
      </c>
      <c r="G59" s="1">
        <v>8173</v>
      </c>
      <c r="H59" s="16">
        <v>36068</v>
      </c>
      <c r="I59" s="1">
        <v>3685</v>
      </c>
      <c r="J59" s="16">
        <v>36068</v>
      </c>
      <c r="K59" s="1">
        <v>2555</v>
      </c>
      <c r="L59" s="16">
        <v>36068</v>
      </c>
      <c r="M59" s="1">
        <v>1347</v>
      </c>
      <c r="N59" s="16">
        <v>36068</v>
      </c>
      <c r="O59" s="1">
        <v>2010</v>
      </c>
      <c r="P59" s="16">
        <v>36068</v>
      </c>
      <c r="Q59" s="1">
        <v>5852</v>
      </c>
      <c r="R59" s="16">
        <v>36068</v>
      </c>
      <c r="S59" s="1">
        <v>2940</v>
      </c>
      <c r="T59" s="16">
        <v>36068</v>
      </c>
      <c r="U59" s="1">
        <v>3216</v>
      </c>
      <c r="V59" s="16">
        <v>36068</v>
      </c>
      <c r="W59" s="1">
        <v>968</v>
      </c>
      <c r="X59" s="15">
        <v>33450</v>
      </c>
      <c r="Y59" s="8">
        <v>23190</v>
      </c>
      <c r="Z59" s="15">
        <v>33419</v>
      </c>
      <c r="AA59" s="8">
        <v>7876</v>
      </c>
      <c r="AB59" s="15">
        <v>33419</v>
      </c>
      <c r="AC59" s="8">
        <v>2300</v>
      </c>
      <c r="AD59" s="15">
        <v>33419</v>
      </c>
      <c r="AE59" s="8">
        <v>3300</v>
      </c>
      <c r="AF59" s="15">
        <v>33419</v>
      </c>
      <c r="AG59" s="8">
        <v>300</v>
      </c>
      <c r="AH59" s="15">
        <v>33419</v>
      </c>
      <c r="AI59" s="8">
        <v>1500</v>
      </c>
      <c r="AJ59" s="15">
        <v>33419</v>
      </c>
      <c r="AK59" s="8">
        <v>1900</v>
      </c>
      <c r="AL59" s="15">
        <v>33419</v>
      </c>
      <c r="AM59" s="8">
        <v>2300</v>
      </c>
      <c r="AN59" s="15">
        <v>33419</v>
      </c>
      <c r="AO59" s="8">
        <v>71</v>
      </c>
      <c r="AP59" s="5">
        <v>37894</v>
      </c>
      <c r="AQ59" s="4">
        <v>13.851000000000001</v>
      </c>
      <c r="AR59" s="11">
        <v>34026</v>
      </c>
      <c r="AS59" s="11">
        <v>34026</v>
      </c>
      <c r="AT59" s="10">
        <v>18.920000000000002</v>
      </c>
    </row>
    <row r="60" spans="1:46" x14ac:dyDescent="0.25">
      <c r="A60" s="16">
        <v>20028</v>
      </c>
      <c r="B60" s="1">
        <v>6120</v>
      </c>
      <c r="C60" s="13" t="str">
        <f t="shared" si="0"/>
        <v>51987</v>
      </c>
      <c r="D60" s="2">
        <v>31926</v>
      </c>
      <c r="E60" s="1">
        <v>-3814</v>
      </c>
      <c r="F60" s="16">
        <v>36099</v>
      </c>
      <c r="G60" s="1">
        <v>8220</v>
      </c>
      <c r="H60" s="16">
        <v>36099</v>
      </c>
      <c r="I60" s="1">
        <v>3485</v>
      </c>
      <c r="J60" s="16">
        <v>36099</v>
      </c>
      <c r="K60" s="1">
        <v>2555</v>
      </c>
      <c r="L60" s="16">
        <v>36099</v>
      </c>
      <c r="M60" s="1">
        <v>1347</v>
      </c>
      <c r="N60" s="16">
        <v>36099</v>
      </c>
      <c r="O60" s="1">
        <v>1960</v>
      </c>
      <c r="P60" s="16">
        <v>36099</v>
      </c>
      <c r="Q60" s="1">
        <v>5894</v>
      </c>
      <c r="R60" s="16">
        <v>36099</v>
      </c>
      <c r="S60" s="1">
        <v>2990</v>
      </c>
      <c r="T60" s="16">
        <v>36099</v>
      </c>
      <c r="U60" s="1">
        <v>3150</v>
      </c>
      <c r="V60" s="16">
        <v>36099</v>
      </c>
      <c r="W60" s="1">
        <v>993</v>
      </c>
      <c r="X60" s="15">
        <v>33481</v>
      </c>
      <c r="Y60" s="8">
        <v>23430</v>
      </c>
      <c r="Z60" s="15">
        <v>33450</v>
      </c>
      <c r="AA60" s="8">
        <v>8225</v>
      </c>
      <c r="AB60" s="15">
        <v>33450</v>
      </c>
      <c r="AC60" s="8">
        <v>2350</v>
      </c>
      <c r="AD60" s="15">
        <v>33450</v>
      </c>
      <c r="AE60" s="8">
        <v>3300</v>
      </c>
      <c r="AF60" s="15">
        <v>33450</v>
      </c>
      <c r="AG60" s="8">
        <v>350</v>
      </c>
      <c r="AH60" s="15">
        <v>33450</v>
      </c>
      <c r="AI60" s="8">
        <v>1450</v>
      </c>
      <c r="AJ60" s="15">
        <v>33450</v>
      </c>
      <c r="AK60" s="8">
        <v>1900</v>
      </c>
      <c r="AL60" s="15">
        <v>33450</v>
      </c>
      <c r="AM60" s="8">
        <v>2350</v>
      </c>
      <c r="AN60" s="15">
        <v>33450</v>
      </c>
      <c r="AO60" s="8">
        <v>85</v>
      </c>
      <c r="AP60" s="5">
        <v>37925</v>
      </c>
      <c r="AQ60" s="4">
        <v>14.387</v>
      </c>
      <c r="AR60" s="11">
        <v>34059</v>
      </c>
      <c r="AS60" s="11">
        <v>34059</v>
      </c>
      <c r="AT60" s="10">
        <v>18.899999999999999</v>
      </c>
    </row>
    <row r="61" spans="1:46" x14ac:dyDescent="0.25">
      <c r="A61" s="16">
        <v>20058</v>
      </c>
      <c r="B61" s="1">
        <v>6346</v>
      </c>
      <c r="C61" s="13" t="str">
        <f t="shared" si="0"/>
        <v>61987</v>
      </c>
      <c r="D61" s="2">
        <v>31958</v>
      </c>
      <c r="E61" s="1">
        <v>2571</v>
      </c>
      <c r="F61" s="16">
        <v>36129</v>
      </c>
      <c r="G61" s="1">
        <v>8170</v>
      </c>
      <c r="H61" s="16">
        <v>36129</v>
      </c>
      <c r="I61" s="1">
        <v>3635</v>
      </c>
      <c r="J61" s="16">
        <v>36129</v>
      </c>
      <c r="K61" s="1">
        <v>2505</v>
      </c>
      <c r="L61" s="16">
        <v>36129</v>
      </c>
      <c r="M61" s="1">
        <v>1362</v>
      </c>
      <c r="N61" s="16">
        <v>36129</v>
      </c>
      <c r="O61" s="1">
        <v>2060</v>
      </c>
      <c r="P61" s="16">
        <v>36129</v>
      </c>
      <c r="Q61" s="1">
        <v>5860</v>
      </c>
      <c r="R61" s="16">
        <v>36129</v>
      </c>
      <c r="S61" s="1">
        <v>3040</v>
      </c>
      <c r="T61" s="16">
        <v>36129</v>
      </c>
      <c r="U61" s="1">
        <v>3240</v>
      </c>
      <c r="V61" s="16">
        <v>36129</v>
      </c>
      <c r="W61" s="1">
        <v>1067</v>
      </c>
      <c r="X61" s="15">
        <v>33511</v>
      </c>
      <c r="Y61" s="8">
        <v>23490</v>
      </c>
      <c r="Z61" s="15">
        <v>33481</v>
      </c>
      <c r="AA61" s="8">
        <v>8375</v>
      </c>
      <c r="AB61" s="15">
        <v>33481</v>
      </c>
      <c r="AC61" s="8">
        <v>2300</v>
      </c>
      <c r="AD61" s="15">
        <v>33481</v>
      </c>
      <c r="AE61" s="8">
        <v>3300</v>
      </c>
      <c r="AF61" s="15">
        <v>33481</v>
      </c>
      <c r="AG61" s="8">
        <v>350</v>
      </c>
      <c r="AH61" s="15">
        <v>33481</v>
      </c>
      <c r="AI61" s="8">
        <v>1470</v>
      </c>
      <c r="AJ61" s="15">
        <v>33481</v>
      </c>
      <c r="AK61" s="8">
        <v>1900</v>
      </c>
      <c r="AL61" s="15">
        <v>33481</v>
      </c>
      <c r="AM61" s="8">
        <v>2350</v>
      </c>
      <c r="AN61" s="15">
        <v>33481</v>
      </c>
      <c r="AO61" s="8">
        <v>155</v>
      </c>
      <c r="AP61" s="5">
        <v>37955</v>
      </c>
      <c r="AQ61" s="4">
        <v>13.914999999999999</v>
      </c>
      <c r="AR61" s="11">
        <v>34089</v>
      </c>
      <c r="AS61" s="11">
        <v>34089</v>
      </c>
      <c r="AT61" s="10">
        <v>19.149999999999999</v>
      </c>
    </row>
    <row r="62" spans="1:46" x14ac:dyDescent="0.25">
      <c r="A62" s="16">
        <v>20089</v>
      </c>
      <c r="B62" s="1">
        <v>6391</v>
      </c>
      <c r="C62" s="13" t="str">
        <f t="shared" si="0"/>
        <v>71987</v>
      </c>
      <c r="D62" s="2">
        <v>31989</v>
      </c>
      <c r="E62" s="1">
        <v>5375</v>
      </c>
      <c r="F62" s="16">
        <v>36160</v>
      </c>
      <c r="G62" s="1">
        <v>8110</v>
      </c>
      <c r="H62" s="16">
        <v>36160</v>
      </c>
      <c r="I62" s="1">
        <v>3585</v>
      </c>
      <c r="J62" s="16">
        <v>36160</v>
      </c>
      <c r="K62" s="1">
        <v>2305</v>
      </c>
      <c r="L62" s="16">
        <v>36160</v>
      </c>
      <c r="M62" s="1">
        <v>1362</v>
      </c>
      <c r="N62" s="16">
        <v>36160</v>
      </c>
      <c r="O62" s="1">
        <v>2110</v>
      </c>
      <c r="P62" s="16">
        <v>36160</v>
      </c>
      <c r="Q62" s="1">
        <v>5954</v>
      </c>
      <c r="R62" s="16">
        <v>36160</v>
      </c>
      <c r="S62" s="1">
        <v>3040</v>
      </c>
      <c r="T62" s="16">
        <v>36160</v>
      </c>
      <c r="U62" s="1">
        <v>3215</v>
      </c>
      <c r="V62" s="16">
        <v>36160</v>
      </c>
      <c r="W62" s="1">
        <v>1072</v>
      </c>
      <c r="X62" s="15">
        <v>33542</v>
      </c>
      <c r="Y62" s="8">
        <v>23490</v>
      </c>
      <c r="Z62" s="15">
        <v>33511</v>
      </c>
      <c r="AA62" s="8">
        <v>8300</v>
      </c>
      <c r="AB62" s="15">
        <v>33511</v>
      </c>
      <c r="AC62" s="8">
        <v>2330</v>
      </c>
      <c r="AD62" s="15">
        <v>33511</v>
      </c>
      <c r="AE62" s="8">
        <v>3350</v>
      </c>
      <c r="AF62" s="15">
        <v>33511</v>
      </c>
      <c r="AG62" s="8">
        <v>400</v>
      </c>
      <c r="AH62" s="15">
        <v>33511</v>
      </c>
      <c r="AI62" s="8">
        <v>1450</v>
      </c>
      <c r="AJ62" s="15">
        <v>33511</v>
      </c>
      <c r="AK62" s="8">
        <v>1900</v>
      </c>
      <c r="AL62" s="15">
        <v>33511</v>
      </c>
      <c r="AM62" s="8">
        <v>2350</v>
      </c>
      <c r="AN62" s="15">
        <v>33511</v>
      </c>
      <c r="AO62" s="8">
        <v>160</v>
      </c>
      <c r="AP62" s="5">
        <v>37986</v>
      </c>
      <c r="AQ62" s="4">
        <v>14.590999999999999</v>
      </c>
      <c r="AR62" s="11">
        <v>34120</v>
      </c>
      <c r="AS62" s="11">
        <v>34120</v>
      </c>
      <c r="AT62" s="10">
        <v>18.600000000000001</v>
      </c>
    </row>
    <row r="63" spans="1:46" x14ac:dyDescent="0.25">
      <c r="A63" s="16">
        <v>20120</v>
      </c>
      <c r="B63" s="1">
        <v>6761</v>
      </c>
      <c r="C63" s="13" t="str">
        <f t="shared" si="0"/>
        <v>81987</v>
      </c>
      <c r="D63" s="2">
        <v>32020</v>
      </c>
      <c r="E63" s="1">
        <v>231</v>
      </c>
      <c r="F63" s="16">
        <v>36191</v>
      </c>
      <c r="G63" s="1">
        <v>8065</v>
      </c>
      <c r="H63" s="16">
        <v>36191</v>
      </c>
      <c r="I63" s="1">
        <v>3665</v>
      </c>
      <c r="J63" s="16">
        <v>36191</v>
      </c>
      <c r="K63" s="1">
        <v>2515</v>
      </c>
      <c r="L63" s="16">
        <v>36191</v>
      </c>
      <c r="M63" s="1">
        <v>1360</v>
      </c>
      <c r="N63" s="16">
        <v>36191</v>
      </c>
      <c r="O63" s="1">
        <v>2080</v>
      </c>
      <c r="P63" s="16">
        <v>36191</v>
      </c>
      <c r="Q63" s="1">
        <v>5962</v>
      </c>
      <c r="R63" s="16">
        <v>36191</v>
      </c>
      <c r="S63" s="1">
        <v>3019</v>
      </c>
      <c r="T63" s="16">
        <v>36191</v>
      </c>
      <c r="U63" s="1">
        <v>3219</v>
      </c>
      <c r="V63" s="16">
        <v>36191</v>
      </c>
      <c r="W63" s="1">
        <v>1167</v>
      </c>
      <c r="X63" s="15">
        <v>33572</v>
      </c>
      <c r="Y63" s="8">
        <v>23850</v>
      </c>
      <c r="Z63" s="15">
        <v>33542</v>
      </c>
      <c r="AA63" s="8">
        <v>8350</v>
      </c>
      <c r="AB63" s="15">
        <v>33542</v>
      </c>
      <c r="AC63" s="8">
        <v>2450</v>
      </c>
      <c r="AD63" s="15">
        <v>33542</v>
      </c>
      <c r="AE63" s="8">
        <v>3200</v>
      </c>
      <c r="AF63" s="15">
        <v>33542</v>
      </c>
      <c r="AG63" s="8">
        <v>450</v>
      </c>
      <c r="AH63" s="15">
        <v>33542</v>
      </c>
      <c r="AI63" s="8">
        <v>1450</v>
      </c>
      <c r="AJ63" s="15">
        <v>33542</v>
      </c>
      <c r="AK63" s="8">
        <v>1800</v>
      </c>
      <c r="AL63" s="15">
        <v>33542</v>
      </c>
      <c r="AM63" s="8">
        <v>2350</v>
      </c>
      <c r="AN63" s="15">
        <v>33542</v>
      </c>
      <c r="AO63" s="8">
        <v>270</v>
      </c>
      <c r="AP63" s="5">
        <v>38017</v>
      </c>
      <c r="AQ63" s="4">
        <v>14.61</v>
      </c>
      <c r="AR63" s="11">
        <v>34150</v>
      </c>
      <c r="AS63" s="11">
        <v>34150</v>
      </c>
      <c r="AT63" s="10">
        <v>17.510000000000002</v>
      </c>
    </row>
    <row r="64" spans="1:46" x14ac:dyDescent="0.25">
      <c r="A64" s="16">
        <v>20148</v>
      </c>
      <c r="B64" s="1">
        <v>6834</v>
      </c>
      <c r="C64" s="13" t="str">
        <f t="shared" si="0"/>
        <v>91987</v>
      </c>
      <c r="D64" s="2">
        <v>32050</v>
      </c>
      <c r="E64" s="1">
        <v>3455</v>
      </c>
      <c r="F64" s="16">
        <v>36219</v>
      </c>
      <c r="G64" s="1">
        <v>8165</v>
      </c>
      <c r="H64" s="16">
        <v>36219</v>
      </c>
      <c r="I64" s="1">
        <v>3925</v>
      </c>
      <c r="J64" s="16">
        <v>36219</v>
      </c>
      <c r="K64" s="1">
        <v>2655</v>
      </c>
      <c r="L64" s="16">
        <v>36219</v>
      </c>
      <c r="M64" s="1">
        <v>1360</v>
      </c>
      <c r="N64" s="16">
        <v>36219</v>
      </c>
      <c r="O64" s="1">
        <v>2010</v>
      </c>
      <c r="P64" s="16">
        <v>36219</v>
      </c>
      <c r="Q64" s="1">
        <v>5897</v>
      </c>
      <c r="R64" s="16">
        <v>36219</v>
      </c>
      <c r="S64" s="1">
        <v>2999</v>
      </c>
      <c r="T64" s="16">
        <v>36219</v>
      </c>
      <c r="U64" s="1">
        <v>3224</v>
      </c>
      <c r="V64" s="16">
        <v>36219</v>
      </c>
      <c r="W64" s="1">
        <v>1128</v>
      </c>
      <c r="X64" s="15">
        <v>33603</v>
      </c>
      <c r="Y64" s="8">
        <v>24350</v>
      </c>
      <c r="Z64" s="15">
        <v>33572</v>
      </c>
      <c r="AA64" s="8">
        <v>8360</v>
      </c>
      <c r="AB64" s="15">
        <v>33572</v>
      </c>
      <c r="AC64" s="8">
        <v>2470</v>
      </c>
      <c r="AD64" s="15">
        <v>33572</v>
      </c>
      <c r="AE64" s="8">
        <v>3300</v>
      </c>
      <c r="AF64" s="15">
        <v>33572</v>
      </c>
      <c r="AG64" s="8">
        <v>450</v>
      </c>
      <c r="AH64" s="15">
        <v>33572</v>
      </c>
      <c r="AI64" s="8">
        <v>1550</v>
      </c>
      <c r="AJ64" s="15">
        <v>33572</v>
      </c>
      <c r="AK64" s="8">
        <v>1850</v>
      </c>
      <c r="AL64" s="15">
        <v>33572</v>
      </c>
      <c r="AM64" s="8">
        <v>2350</v>
      </c>
      <c r="AN64" s="15">
        <v>33572</v>
      </c>
      <c r="AO64" s="8">
        <v>330</v>
      </c>
      <c r="AP64" s="5">
        <v>38046</v>
      </c>
      <c r="AQ64" s="4">
        <v>13.8</v>
      </c>
      <c r="AR64" s="11">
        <v>34180</v>
      </c>
      <c r="AS64" s="11">
        <v>34180</v>
      </c>
      <c r="AT64" s="10">
        <v>16.75</v>
      </c>
    </row>
    <row r="65" spans="1:46" x14ac:dyDescent="0.25">
      <c r="A65" s="16">
        <v>20179</v>
      </c>
      <c r="B65" s="1">
        <v>6886</v>
      </c>
      <c r="C65" s="13" t="str">
        <f t="shared" si="0"/>
        <v>101987</v>
      </c>
      <c r="D65" s="2">
        <v>32080</v>
      </c>
      <c r="E65" s="1">
        <v>12039</v>
      </c>
      <c r="F65" s="16">
        <v>36250</v>
      </c>
      <c r="G65" s="1">
        <v>8220</v>
      </c>
      <c r="H65" s="16">
        <v>36250</v>
      </c>
      <c r="I65" s="1">
        <v>3795</v>
      </c>
      <c r="J65" s="16">
        <v>36250</v>
      </c>
      <c r="K65" s="1">
        <v>2430</v>
      </c>
      <c r="L65" s="16">
        <v>36250</v>
      </c>
      <c r="M65" s="1">
        <v>1360</v>
      </c>
      <c r="N65" s="16">
        <v>36250</v>
      </c>
      <c r="O65" s="1">
        <v>2160</v>
      </c>
      <c r="P65" s="16">
        <v>36250</v>
      </c>
      <c r="Q65" s="1">
        <v>6024</v>
      </c>
      <c r="R65" s="16">
        <v>36250</v>
      </c>
      <c r="S65" s="1">
        <v>2960</v>
      </c>
      <c r="T65" s="16">
        <v>36250</v>
      </c>
      <c r="U65" s="1">
        <v>3204</v>
      </c>
      <c r="V65" s="16">
        <v>36250</v>
      </c>
      <c r="W65" s="1">
        <v>1149</v>
      </c>
      <c r="X65" s="15">
        <v>33634</v>
      </c>
      <c r="Y65" s="8">
        <v>24340</v>
      </c>
      <c r="Z65" s="15">
        <v>33603</v>
      </c>
      <c r="AA65" s="8">
        <v>8500</v>
      </c>
      <c r="AB65" s="15">
        <v>33603</v>
      </c>
      <c r="AC65" s="8">
        <v>2450</v>
      </c>
      <c r="AD65" s="15">
        <v>33603</v>
      </c>
      <c r="AE65" s="8">
        <v>3350</v>
      </c>
      <c r="AF65" s="15">
        <v>33603</v>
      </c>
      <c r="AG65" s="8">
        <v>480</v>
      </c>
      <c r="AH65" s="15">
        <v>33603</v>
      </c>
      <c r="AI65" s="8">
        <v>1600</v>
      </c>
      <c r="AJ65" s="15">
        <v>33603</v>
      </c>
      <c r="AK65" s="8">
        <v>1930</v>
      </c>
      <c r="AL65" s="15">
        <v>33603</v>
      </c>
      <c r="AM65" s="8">
        <v>2350</v>
      </c>
      <c r="AN65" s="15">
        <v>33603</v>
      </c>
      <c r="AO65" s="8">
        <v>520</v>
      </c>
      <c r="AP65" s="5">
        <v>38077</v>
      </c>
      <c r="AQ65" s="4">
        <v>14.404999999999999</v>
      </c>
      <c r="AR65" s="11">
        <v>34212</v>
      </c>
      <c r="AS65" s="11">
        <v>34212</v>
      </c>
      <c r="AT65" s="10">
        <v>17.079999999999998</v>
      </c>
    </row>
    <row r="66" spans="1:46" x14ac:dyDescent="0.25">
      <c r="A66" s="16">
        <v>20209</v>
      </c>
      <c r="B66" s="1">
        <v>6889</v>
      </c>
      <c r="C66" s="13" t="str">
        <f t="shared" si="0"/>
        <v>111987</v>
      </c>
      <c r="D66" s="2">
        <v>32111</v>
      </c>
      <c r="E66" s="1">
        <v>-2384</v>
      </c>
      <c r="F66" s="16">
        <v>36280</v>
      </c>
      <c r="G66" s="1">
        <v>7665</v>
      </c>
      <c r="H66" s="16">
        <v>36280</v>
      </c>
      <c r="I66" s="1">
        <v>3485</v>
      </c>
      <c r="J66" s="16">
        <v>36280</v>
      </c>
      <c r="K66" s="1">
        <v>2655</v>
      </c>
      <c r="L66" s="16">
        <v>36280</v>
      </c>
      <c r="M66" s="1">
        <v>1320</v>
      </c>
      <c r="N66" s="16">
        <v>36280</v>
      </c>
      <c r="O66" s="1">
        <v>2160</v>
      </c>
      <c r="P66" s="16">
        <v>36280</v>
      </c>
      <c r="Q66" s="1">
        <v>6021</v>
      </c>
      <c r="R66" s="16">
        <v>36280</v>
      </c>
      <c r="S66" s="1">
        <v>2800</v>
      </c>
      <c r="T66" s="16">
        <v>36280</v>
      </c>
      <c r="U66" s="1">
        <v>3179</v>
      </c>
      <c r="V66" s="16">
        <v>36280</v>
      </c>
      <c r="W66" s="1">
        <v>1118</v>
      </c>
      <c r="X66" s="15">
        <v>33663</v>
      </c>
      <c r="Y66" s="8">
        <v>23940</v>
      </c>
      <c r="Z66" s="15">
        <v>33634</v>
      </c>
      <c r="AA66" s="8">
        <v>8650</v>
      </c>
      <c r="AB66" s="15">
        <v>33634</v>
      </c>
      <c r="AC66" s="8">
        <v>2390</v>
      </c>
      <c r="AD66" s="15">
        <v>33634</v>
      </c>
      <c r="AE66" s="8">
        <v>3390</v>
      </c>
      <c r="AF66" s="15">
        <v>33634</v>
      </c>
      <c r="AG66" s="8">
        <v>480</v>
      </c>
      <c r="AH66" s="15">
        <v>33634</v>
      </c>
      <c r="AI66" s="8">
        <v>1570</v>
      </c>
      <c r="AJ66" s="15">
        <v>33634</v>
      </c>
      <c r="AK66" s="8">
        <v>1900</v>
      </c>
      <c r="AL66" s="15">
        <v>33634</v>
      </c>
      <c r="AM66" s="8">
        <v>2300</v>
      </c>
      <c r="AN66" s="15">
        <v>33634</v>
      </c>
      <c r="AO66" s="8">
        <v>560</v>
      </c>
      <c r="AP66" s="5">
        <v>38107</v>
      </c>
      <c r="AQ66" s="4">
        <v>14.118</v>
      </c>
      <c r="AR66" s="11">
        <v>34242</v>
      </c>
      <c r="AS66" s="11">
        <v>34242</v>
      </c>
      <c r="AT66" s="10">
        <v>17.43</v>
      </c>
    </row>
    <row r="67" spans="1:46" x14ac:dyDescent="0.25">
      <c r="A67" s="16">
        <v>20240</v>
      </c>
      <c r="B67" s="1">
        <v>6680</v>
      </c>
      <c r="C67" s="13" t="str">
        <f t="shared" si="0"/>
        <v>121987</v>
      </c>
      <c r="D67" s="2">
        <v>32142</v>
      </c>
      <c r="E67" s="1">
        <v>-1492</v>
      </c>
      <c r="F67" s="16">
        <v>36311</v>
      </c>
      <c r="G67" s="1">
        <v>7665</v>
      </c>
      <c r="H67" s="16">
        <v>36311</v>
      </c>
      <c r="I67" s="1">
        <v>3435</v>
      </c>
      <c r="J67" s="16">
        <v>36311</v>
      </c>
      <c r="K67" s="1">
        <v>2705</v>
      </c>
      <c r="L67" s="16">
        <v>36311</v>
      </c>
      <c r="M67" s="1">
        <v>1300</v>
      </c>
      <c r="N67" s="16">
        <v>36311</v>
      </c>
      <c r="O67" s="1">
        <v>2190</v>
      </c>
      <c r="P67" s="16">
        <v>36311</v>
      </c>
      <c r="Q67" s="1">
        <v>6036</v>
      </c>
      <c r="R67" s="16">
        <v>36311</v>
      </c>
      <c r="S67" s="1">
        <v>2780</v>
      </c>
      <c r="T67" s="16">
        <v>36311</v>
      </c>
      <c r="U67" s="1">
        <v>3179</v>
      </c>
      <c r="V67" s="16">
        <v>36311</v>
      </c>
      <c r="W67" s="1">
        <v>1107</v>
      </c>
      <c r="X67" s="15">
        <v>33694</v>
      </c>
      <c r="Y67" s="8">
        <v>23370</v>
      </c>
      <c r="Z67" s="15">
        <v>33663</v>
      </c>
      <c r="AA67" s="8">
        <v>8450</v>
      </c>
      <c r="AB67" s="15">
        <v>33663</v>
      </c>
      <c r="AC67" s="8">
        <v>2340</v>
      </c>
      <c r="AD67" s="15">
        <v>33663</v>
      </c>
      <c r="AE67" s="8">
        <v>3350</v>
      </c>
      <c r="AF67" s="15">
        <v>33663</v>
      </c>
      <c r="AG67" s="8">
        <v>480</v>
      </c>
      <c r="AH67" s="15">
        <v>33663</v>
      </c>
      <c r="AI67" s="8">
        <v>1550</v>
      </c>
      <c r="AJ67" s="15">
        <v>33663</v>
      </c>
      <c r="AK67" s="8">
        <v>1850</v>
      </c>
      <c r="AL67" s="15">
        <v>33663</v>
      </c>
      <c r="AM67" s="8">
        <v>2250</v>
      </c>
      <c r="AN67" s="15">
        <v>33663</v>
      </c>
      <c r="AO67" s="8">
        <v>600</v>
      </c>
      <c r="AP67" s="5">
        <v>38138</v>
      </c>
      <c r="AQ67" s="4">
        <v>14.737</v>
      </c>
      <c r="AR67" s="11">
        <v>34271</v>
      </c>
      <c r="AS67" s="11">
        <v>34271</v>
      </c>
      <c r="AT67" s="10">
        <v>15.8</v>
      </c>
    </row>
    <row r="68" spans="1:46" x14ac:dyDescent="0.25">
      <c r="A68" s="16">
        <v>20270</v>
      </c>
      <c r="B68" s="1">
        <v>6595</v>
      </c>
      <c r="C68" s="13" t="str">
        <f t="shared" si="0"/>
        <v>11988</v>
      </c>
      <c r="D68" s="2">
        <v>32171</v>
      </c>
      <c r="E68" s="1">
        <v>-3752</v>
      </c>
      <c r="F68" s="16">
        <v>36341</v>
      </c>
      <c r="G68" s="1">
        <v>7610</v>
      </c>
      <c r="H68" s="16">
        <v>36341</v>
      </c>
      <c r="I68" s="1">
        <v>3415</v>
      </c>
      <c r="J68" s="16">
        <v>36341</v>
      </c>
      <c r="K68" s="1">
        <v>2355</v>
      </c>
      <c r="L68" s="16">
        <v>36341</v>
      </c>
      <c r="M68" s="1">
        <v>1290</v>
      </c>
      <c r="N68" s="16">
        <v>36341</v>
      </c>
      <c r="O68" s="1">
        <v>2150</v>
      </c>
      <c r="P68" s="16">
        <v>36341</v>
      </c>
      <c r="Q68" s="1">
        <v>6026</v>
      </c>
      <c r="R68" s="16">
        <v>36341</v>
      </c>
      <c r="S68" s="1">
        <v>2760</v>
      </c>
      <c r="T68" s="16">
        <v>36341</v>
      </c>
      <c r="U68" s="1">
        <v>3179</v>
      </c>
      <c r="V68" s="16">
        <v>36341</v>
      </c>
      <c r="W68" s="1">
        <v>1139</v>
      </c>
      <c r="X68" s="15">
        <v>33724</v>
      </c>
      <c r="Y68" s="8">
        <v>23500</v>
      </c>
      <c r="Z68" s="15">
        <v>33694</v>
      </c>
      <c r="AA68" s="8">
        <v>8070</v>
      </c>
      <c r="AB68" s="15">
        <v>33694</v>
      </c>
      <c r="AC68" s="8">
        <v>2250</v>
      </c>
      <c r="AD68" s="15">
        <v>33694</v>
      </c>
      <c r="AE68" s="8">
        <v>3350</v>
      </c>
      <c r="AF68" s="15">
        <v>33694</v>
      </c>
      <c r="AG68" s="8">
        <v>450</v>
      </c>
      <c r="AH68" s="15">
        <v>33694</v>
      </c>
      <c r="AI68" s="8">
        <v>1450</v>
      </c>
      <c r="AJ68" s="15">
        <v>33694</v>
      </c>
      <c r="AK68" s="8">
        <v>1820</v>
      </c>
      <c r="AL68" s="15">
        <v>33694</v>
      </c>
      <c r="AM68" s="8">
        <v>2150</v>
      </c>
      <c r="AN68" s="15">
        <v>33694</v>
      </c>
      <c r="AO68" s="8">
        <v>730</v>
      </c>
      <c r="AP68" s="5">
        <v>38168</v>
      </c>
      <c r="AQ68" s="4">
        <v>14.409000000000001</v>
      </c>
      <c r="AR68" s="11">
        <v>34303</v>
      </c>
      <c r="AS68" s="11">
        <v>34303</v>
      </c>
      <c r="AT68" s="10">
        <v>14.52</v>
      </c>
    </row>
    <row r="69" spans="1:46" x14ac:dyDescent="0.25">
      <c r="A69" s="16">
        <v>20301</v>
      </c>
      <c r="B69" s="1">
        <v>6633</v>
      </c>
      <c r="C69" s="13" t="str">
        <f t="shared" ref="C69:C132" si="1">MONTH(D69)&amp;YEAR(D69)</f>
        <v>21988</v>
      </c>
      <c r="D69" s="2">
        <v>32202</v>
      </c>
      <c r="E69" s="1">
        <v>3185</v>
      </c>
      <c r="F69" s="16">
        <v>36372</v>
      </c>
      <c r="G69" s="1">
        <v>7610</v>
      </c>
      <c r="H69" s="16">
        <v>36372</v>
      </c>
      <c r="I69" s="1">
        <v>3515</v>
      </c>
      <c r="J69" s="16">
        <v>36372</v>
      </c>
      <c r="K69" s="1">
        <v>2805</v>
      </c>
      <c r="L69" s="16">
        <v>36372</v>
      </c>
      <c r="M69" s="1">
        <v>1290</v>
      </c>
      <c r="N69" s="16">
        <v>36372</v>
      </c>
      <c r="O69" s="1">
        <v>2130</v>
      </c>
      <c r="P69" s="16">
        <v>36372</v>
      </c>
      <c r="Q69" s="1">
        <v>6148</v>
      </c>
      <c r="R69" s="16">
        <v>36372</v>
      </c>
      <c r="S69" s="1">
        <v>2760</v>
      </c>
      <c r="T69" s="16">
        <v>36372</v>
      </c>
      <c r="U69" s="1">
        <v>3250</v>
      </c>
      <c r="V69" s="16">
        <v>36372</v>
      </c>
      <c r="W69" s="1">
        <v>1120</v>
      </c>
      <c r="X69" s="15">
        <v>33755</v>
      </c>
      <c r="Y69" s="8">
        <v>23730</v>
      </c>
      <c r="Z69" s="15">
        <v>33724</v>
      </c>
      <c r="AA69" s="8">
        <v>8150</v>
      </c>
      <c r="AB69" s="15">
        <v>33724</v>
      </c>
      <c r="AC69" s="8">
        <v>2230</v>
      </c>
      <c r="AD69" s="15">
        <v>33724</v>
      </c>
      <c r="AE69" s="8">
        <v>3150</v>
      </c>
      <c r="AF69" s="15">
        <v>33724</v>
      </c>
      <c r="AG69" s="8">
        <v>450</v>
      </c>
      <c r="AH69" s="15">
        <v>33724</v>
      </c>
      <c r="AI69" s="8">
        <v>1500</v>
      </c>
      <c r="AJ69" s="15">
        <v>33724</v>
      </c>
      <c r="AK69" s="8">
        <v>1850</v>
      </c>
      <c r="AL69" s="15">
        <v>33724</v>
      </c>
      <c r="AM69" s="8">
        <v>2180</v>
      </c>
      <c r="AN69" s="15">
        <v>33724</v>
      </c>
      <c r="AO69" s="8">
        <v>850</v>
      </c>
      <c r="AP69" s="5">
        <v>38199</v>
      </c>
      <c r="AQ69" s="4">
        <v>14.834</v>
      </c>
      <c r="AR69" s="11">
        <v>34334</v>
      </c>
      <c r="AS69" s="11">
        <v>34334</v>
      </c>
      <c r="AT69" s="10">
        <v>13.2</v>
      </c>
    </row>
    <row r="70" spans="1:46" x14ac:dyDescent="0.25">
      <c r="A70" s="16">
        <v>20332</v>
      </c>
      <c r="B70" s="1">
        <v>6665</v>
      </c>
      <c r="C70" s="13" t="str">
        <f t="shared" si="1"/>
        <v>31988</v>
      </c>
      <c r="D70" s="2">
        <v>32233</v>
      </c>
      <c r="E70" s="1">
        <v>-1648</v>
      </c>
      <c r="F70" s="16">
        <v>36403</v>
      </c>
      <c r="G70" s="1">
        <v>7710</v>
      </c>
      <c r="H70" s="16">
        <v>36403</v>
      </c>
      <c r="I70" s="1">
        <v>3535</v>
      </c>
      <c r="J70" s="16">
        <v>36403</v>
      </c>
      <c r="K70" s="1">
        <v>2855</v>
      </c>
      <c r="L70" s="16">
        <v>36403</v>
      </c>
      <c r="M70" s="1">
        <v>1290</v>
      </c>
      <c r="N70" s="16">
        <v>36403</v>
      </c>
      <c r="O70" s="1">
        <v>2140</v>
      </c>
      <c r="P70" s="16">
        <v>36403</v>
      </c>
      <c r="Q70" s="1">
        <v>6139</v>
      </c>
      <c r="R70" s="16">
        <v>36403</v>
      </c>
      <c r="S70" s="1">
        <v>2760</v>
      </c>
      <c r="T70" s="16">
        <v>36403</v>
      </c>
      <c r="U70" s="1">
        <v>3159</v>
      </c>
      <c r="V70" s="16">
        <v>36403</v>
      </c>
      <c r="W70" s="1">
        <v>1118</v>
      </c>
      <c r="X70" s="15">
        <v>33785</v>
      </c>
      <c r="Y70" s="8">
        <v>23820</v>
      </c>
      <c r="Z70" s="15">
        <v>33755</v>
      </c>
      <c r="AA70" s="8">
        <v>8200</v>
      </c>
      <c r="AB70" s="15">
        <v>33755</v>
      </c>
      <c r="AC70" s="8">
        <v>2200</v>
      </c>
      <c r="AD70" s="15">
        <v>33755</v>
      </c>
      <c r="AE70" s="8">
        <v>3300</v>
      </c>
      <c r="AF70" s="15">
        <v>33755</v>
      </c>
      <c r="AG70" s="8">
        <v>450</v>
      </c>
      <c r="AH70" s="15">
        <v>33755</v>
      </c>
      <c r="AI70" s="8">
        <v>1400</v>
      </c>
      <c r="AJ70" s="15">
        <v>33755</v>
      </c>
      <c r="AK70" s="8">
        <v>1800</v>
      </c>
      <c r="AL70" s="15">
        <v>33755</v>
      </c>
      <c r="AM70" s="8">
        <v>2200</v>
      </c>
      <c r="AN70" s="15">
        <v>33755</v>
      </c>
      <c r="AO70" s="8">
        <v>980</v>
      </c>
      <c r="AP70" s="5">
        <v>38230</v>
      </c>
      <c r="AQ70" s="4">
        <v>15.045</v>
      </c>
      <c r="AR70" s="11">
        <v>34365</v>
      </c>
      <c r="AS70" s="11">
        <v>34365</v>
      </c>
      <c r="AT70" s="10">
        <v>14.22</v>
      </c>
    </row>
    <row r="71" spans="1:46" x14ac:dyDescent="0.25">
      <c r="A71" s="16">
        <v>20362</v>
      </c>
      <c r="B71" s="1">
        <v>6735</v>
      </c>
      <c r="C71" s="13" t="str">
        <f t="shared" si="1"/>
        <v>41988</v>
      </c>
      <c r="D71" s="2">
        <v>32262</v>
      </c>
      <c r="E71" s="1">
        <v>-3035</v>
      </c>
      <c r="F71" s="16">
        <v>36433</v>
      </c>
      <c r="G71" s="1">
        <v>7735</v>
      </c>
      <c r="H71" s="16">
        <v>36433</v>
      </c>
      <c r="I71" s="1">
        <v>3485</v>
      </c>
      <c r="J71" s="16">
        <v>36433</v>
      </c>
      <c r="K71" s="1">
        <v>2855</v>
      </c>
      <c r="L71" s="16">
        <v>36433</v>
      </c>
      <c r="M71" s="1">
        <v>1300</v>
      </c>
      <c r="N71" s="16">
        <v>36433</v>
      </c>
      <c r="O71" s="1">
        <v>2150</v>
      </c>
      <c r="P71" s="16">
        <v>36433</v>
      </c>
      <c r="Q71" s="1">
        <v>6141</v>
      </c>
      <c r="R71" s="16">
        <v>36433</v>
      </c>
      <c r="S71" s="1">
        <v>2760</v>
      </c>
      <c r="T71" s="16">
        <v>36433</v>
      </c>
      <c r="U71" s="1">
        <v>3134</v>
      </c>
      <c r="V71" s="16">
        <v>36433</v>
      </c>
      <c r="W71" s="1">
        <v>1145</v>
      </c>
      <c r="X71" s="15">
        <v>33816</v>
      </c>
      <c r="Y71" s="8">
        <v>24325</v>
      </c>
      <c r="Z71" s="15">
        <v>33785</v>
      </c>
      <c r="AA71" s="8">
        <v>8300</v>
      </c>
      <c r="AB71" s="15">
        <v>33785</v>
      </c>
      <c r="AC71" s="8">
        <v>2200</v>
      </c>
      <c r="AD71" s="15">
        <v>33785</v>
      </c>
      <c r="AE71" s="8">
        <v>3150</v>
      </c>
      <c r="AF71" s="15">
        <v>33785</v>
      </c>
      <c r="AG71" s="8">
        <v>450</v>
      </c>
      <c r="AH71" s="15">
        <v>33785</v>
      </c>
      <c r="AI71" s="8">
        <v>1400</v>
      </c>
      <c r="AJ71" s="15">
        <v>33785</v>
      </c>
      <c r="AK71" s="8">
        <v>1800</v>
      </c>
      <c r="AL71" s="15">
        <v>33785</v>
      </c>
      <c r="AM71" s="8">
        <v>2200</v>
      </c>
      <c r="AN71" s="15">
        <v>33785</v>
      </c>
      <c r="AO71" s="8">
        <v>1120</v>
      </c>
      <c r="AP71" s="5">
        <v>38260</v>
      </c>
      <c r="AQ71" s="4">
        <v>14.675000000000001</v>
      </c>
      <c r="AR71" s="11">
        <v>34393</v>
      </c>
      <c r="AS71" s="11">
        <v>34393</v>
      </c>
      <c r="AT71" s="10">
        <v>13.35</v>
      </c>
    </row>
    <row r="72" spans="1:46" x14ac:dyDescent="0.25">
      <c r="A72" s="16">
        <v>20393</v>
      </c>
      <c r="B72" s="1">
        <v>6834</v>
      </c>
      <c r="C72" s="13" t="str">
        <f t="shared" si="1"/>
        <v>51988</v>
      </c>
      <c r="D72" s="2">
        <v>32294</v>
      </c>
      <c r="E72" s="1">
        <v>-4255</v>
      </c>
      <c r="F72" s="16">
        <v>36464</v>
      </c>
      <c r="G72" s="1">
        <v>7845</v>
      </c>
      <c r="H72" s="16">
        <v>36464</v>
      </c>
      <c r="I72" s="1">
        <v>3535</v>
      </c>
      <c r="J72" s="16">
        <v>36464</v>
      </c>
      <c r="K72" s="1">
        <v>2670</v>
      </c>
      <c r="L72" s="16">
        <v>36464</v>
      </c>
      <c r="M72" s="1">
        <v>1310</v>
      </c>
      <c r="N72" s="16">
        <v>36464</v>
      </c>
      <c r="O72" s="1">
        <v>2170</v>
      </c>
      <c r="P72" s="16">
        <v>36464</v>
      </c>
      <c r="Q72" s="1">
        <v>6153</v>
      </c>
      <c r="R72" s="16">
        <v>36464</v>
      </c>
      <c r="S72" s="1">
        <v>2760</v>
      </c>
      <c r="T72" s="16">
        <v>36464</v>
      </c>
      <c r="U72" s="1">
        <v>3166</v>
      </c>
      <c r="V72" s="16">
        <v>36464</v>
      </c>
      <c r="W72" s="1">
        <v>1134</v>
      </c>
      <c r="X72" s="15">
        <v>33847</v>
      </c>
      <c r="Y72" s="8">
        <v>24430</v>
      </c>
      <c r="Z72" s="15">
        <v>33816</v>
      </c>
      <c r="AA72" s="8">
        <v>8303</v>
      </c>
      <c r="AB72" s="15">
        <v>33816</v>
      </c>
      <c r="AC72" s="8">
        <v>2230</v>
      </c>
      <c r="AD72" s="15">
        <v>33816</v>
      </c>
      <c r="AE72" s="8">
        <v>3250</v>
      </c>
      <c r="AF72" s="15">
        <v>33816</v>
      </c>
      <c r="AG72" s="8">
        <v>450</v>
      </c>
      <c r="AH72" s="15">
        <v>33816</v>
      </c>
      <c r="AI72" s="8">
        <v>1450</v>
      </c>
      <c r="AJ72" s="15">
        <v>33816</v>
      </c>
      <c r="AK72" s="8">
        <v>1900</v>
      </c>
      <c r="AL72" s="15">
        <v>33816</v>
      </c>
      <c r="AM72" s="8">
        <v>2300</v>
      </c>
      <c r="AN72" s="15">
        <v>33816</v>
      </c>
      <c r="AO72" s="8">
        <v>1120</v>
      </c>
      <c r="AP72" s="5">
        <v>38291</v>
      </c>
      <c r="AQ72" s="4">
        <v>14.738</v>
      </c>
      <c r="AR72" s="11">
        <v>34424</v>
      </c>
      <c r="AS72" s="11">
        <v>34424</v>
      </c>
      <c r="AT72" s="10">
        <v>13.25</v>
      </c>
    </row>
    <row r="73" spans="1:46" x14ac:dyDescent="0.25">
      <c r="A73" s="16">
        <v>20423</v>
      </c>
      <c r="B73" s="1">
        <v>7015</v>
      </c>
      <c r="C73" s="13" t="str">
        <f t="shared" si="1"/>
        <v>61988</v>
      </c>
      <c r="D73" s="2">
        <v>32324</v>
      </c>
      <c r="E73" s="1">
        <v>-2729</v>
      </c>
      <c r="F73" s="16">
        <v>36494</v>
      </c>
      <c r="G73" s="1">
        <v>7865</v>
      </c>
      <c r="H73" s="16">
        <v>36494</v>
      </c>
      <c r="I73" s="1">
        <v>3485</v>
      </c>
      <c r="J73" s="16">
        <v>36494</v>
      </c>
      <c r="K73" s="1">
        <v>2205</v>
      </c>
      <c r="L73" s="16">
        <v>36494</v>
      </c>
      <c r="M73" s="1">
        <v>1320</v>
      </c>
      <c r="N73" s="16">
        <v>36494</v>
      </c>
      <c r="O73" s="1">
        <v>2160</v>
      </c>
      <c r="P73" s="16">
        <v>36494</v>
      </c>
      <c r="Q73" s="1">
        <v>6153</v>
      </c>
      <c r="R73" s="16">
        <v>36494</v>
      </c>
      <c r="S73" s="1">
        <v>2780</v>
      </c>
      <c r="T73" s="16">
        <v>36494</v>
      </c>
      <c r="U73" s="1">
        <v>3234</v>
      </c>
      <c r="V73" s="16">
        <v>36494</v>
      </c>
      <c r="W73" s="1">
        <v>1128</v>
      </c>
      <c r="X73" s="15">
        <v>33877</v>
      </c>
      <c r="Y73" s="8">
        <v>24750</v>
      </c>
      <c r="Z73" s="15">
        <v>33847</v>
      </c>
      <c r="AA73" s="8">
        <v>8391</v>
      </c>
      <c r="AB73" s="15">
        <v>33847</v>
      </c>
      <c r="AC73" s="8">
        <v>2280</v>
      </c>
      <c r="AD73" s="15">
        <v>33847</v>
      </c>
      <c r="AE73" s="8">
        <v>3400</v>
      </c>
      <c r="AF73" s="15">
        <v>33847</v>
      </c>
      <c r="AG73" s="8">
        <v>450</v>
      </c>
      <c r="AH73" s="15">
        <v>33847</v>
      </c>
      <c r="AI73" s="8">
        <v>1440</v>
      </c>
      <c r="AJ73" s="15">
        <v>33847</v>
      </c>
      <c r="AK73" s="8">
        <v>1900</v>
      </c>
      <c r="AL73" s="15">
        <v>33847</v>
      </c>
      <c r="AM73" s="8">
        <v>2260</v>
      </c>
      <c r="AN73" s="15">
        <v>33847</v>
      </c>
      <c r="AO73" s="8">
        <v>1151</v>
      </c>
      <c r="AP73" s="5">
        <v>38321</v>
      </c>
      <c r="AQ73" s="4">
        <v>14.52</v>
      </c>
      <c r="AR73" s="11">
        <v>34453</v>
      </c>
      <c r="AS73" s="11">
        <v>34453</v>
      </c>
      <c r="AT73" s="10">
        <v>15.69</v>
      </c>
    </row>
    <row r="74" spans="1:46" x14ac:dyDescent="0.25">
      <c r="A74" s="16">
        <v>20454</v>
      </c>
      <c r="B74" s="1">
        <v>7157</v>
      </c>
      <c r="C74" s="13" t="str">
        <f t="shared" si="1"/>
        <v>71988</v>
      </c>
      <c r="D74" s="2">
        <v>32353</v>
      </c>
      <c r="E74" s="1">
        <v>1614</v>
      </c>
      <c r="F74" s="16">
        <v>36525</v>
      </c>
      <c r="G74" s="1">
        <v>7863</v>
      </c>
      <c r="H74" s="16">
        <v>36525</v>
      </c>
      <c r="I74" s="1">
        <v>3435</v>
      </c>
      <c r="J74" s="16">
        <v>36525</v>
      </c>
      <c r="K74" s="1">
        <v>1405</v>
      </c>
      <c r="L74" s="16">
        <v>36525</v>
      </c>
      <c r="M74" s="1">
        <v>1330</v>
      </c>
      <c r="N74" s="16">
        <v>36525</v>
      </c>
      <c r="O74" s="1">
        <v>2050</v>
      </c>
      <c r="P74" s="16">
        <v>36525</v>
      </c>
      <c r="Q74" s="1">
        <v>6231</v>
      </c>
      <c r="R74" s="16">
        <v>36525</v>
      </c>
      <c r="S74" s="1">
        <v>2780</v>
      </c>
      <c r="T74" s="16">
        <v>36525</v>
      </c>
      <c r="U74" s="1">
        <v>3214</v>
      </c>
      <c r="V74" s="16">
        <v>36525</v>
      </c>
      <c r="W74" s="1">
        <v>1128</v>
      </c>
      <c r="X74" s="15">
        <v>33908</v>
      </c>
      <c r="Y74" s="8">
        <v>25020</v>
      </c>
      <c r="Z74" s="15">
        <v>33877</v>
      </c>
      <c r="AA74" s="8">
        <v>8501</v>
      </c>
      <c r="AB74" s="15">
        <v>33877</v>
      </c>
      <c r="AC74" s="8">
        <v>2280</v>
      </c>
      <c r="AD74" s="15">
        <v>33877</v>
      </c>
      <c r="AE74" s="8">
        <v>3450</v>
      </c>
      <c r="AF74" s="15">
        <v>33877</v>
      </c>
      <c r="AG74" s="8">
        <v>450</v>
      </c>
      <c r="AH74" s="15">
        <v>33877</v>
      </c>
      <c r="AI74" s="8">
        <v>1450</v>
      </c>
      <c r="AJ74" s="15">
        <v>33877</v>
      </c>
      <c r="AK74" s="8">
        <v>1900</v>
      </c>
      <c r="AL74" s="15">
        <v>33877</v>
      </c>
      <c r="AM74" s="8">
        <v>2260</v>
      </c>
      <c r="AN74" s="15">
        <v>33877</v>
      </c>
      <c r="AO74" s="8">
        <v>1301</v>
      </c>
      <c r="AP74" s="5">
        <v>38352</v>
      </c>
      <c r="AQ74" s="4">
        <v>14.922000000000001</v>
      </c>
      <c r="AR74" s="11">
        <v>34485</v>
      </c>
      <c r="AS74" s="11">
        <v>34485</v>
      </c>
      <c r="AT74" s="10">
        <v>16.45</v>
      </c>
    </row>
    <row r="75" spans="1:46" x14ac:dyDescent="0.25">
      <c r="A75" s="16">
        <v>20485</v>
      </c>
      <c r="B75" s="1">
        <v>7198</v>
      </c>
      <c r="C75" s="13" t="str">
        <f t="shared" si="1"/>
        <v>81988</v>
      </c>
      <c r="D75" s="2">
        <v>32386</v>
      </c>
      <c r="E75" s="1">
        <v>-4694</v>
      </c>
      <c r="F75" s="16">
        <v>36556</v>
      </c>
      <c r="G75" s="1">
        <v>7863</v>
      </c>
      <c r="H75" s="16">
        <v>36556</v>
      </c>
      <c r="I75" s="1">
        <v>3444</v>
      </c>
      <c r="J75" s="16">
        <v>36556</v>
      </c>
      <c r="K75" s="1">
        <v>2215</v>
      </c>
      <c r="L75" s="16">
        <v>36556</v>
      </c>
      <c r="M75" s="1">
        <v>1330</v>
      </c>
      <c r="N75" s="16">
        <v>36556</v>
      </c>
      <c r="O75" s="1">
        <v>2030</v>
      </c>
      <c r="P75" s="16">
        <v>36556</v>
      </c>
      <c r="Q75" s="1">
        <v>6239</v>
      </c>
      <c r="R75" s="16">
        <v>36556</v>
      </c>
      <c r="S75" s="1">
        <v>2985</v>
      </c>
      <c r="T75" s="16">
        <v>36556</v>
      </c>
      <c r="U75" s="1">
        <v>3250</v>
      </c>
      <c r="V75" s="16">
        <v>36556</v>
      </c>
      <c r="W75" s="1">
        <v>1142</v>
      </c>
      <c r="X75" s="15">
        <v>33938</v>
      </c>
      <c r="Y75" s="8">
        <v>25220</v>
      </c>
      <c r="Z75" s="15">
        <v>33908</v>
      </c>
      <c r="AA75" s="8">
        <v>8331</v>
      </c>
      <c r="AB75" s="15">
        <v>33908</v>
      </c>
      <c r="AC75" s="8">
        <v>2240</v>
      </c>
      <c r="AD75" s="15">
        <v>33908</v>
      </c>
      <c r="AE75" s="8">
        <v>3800</v>
      </c>
      <c r="AF75" s="15">
        <v>33908</v>
      </c>
      <c r="AG75" s="8">
        <v>560</v>
      </c>
      <c r="AH75" s="15">
        <v>33908</v>
      </c>
      <c r="AI75" s="8">
        <v>1400</v>
      </c>
      <c r="AJ75" s="15">
        <v>33908</v>
      </c>
      <c r="AK75" s="8">
        <v>1860</v>
      </c>
      <c r="AL75" s="15">
        <v>33908</v>
      </c>
      <c r="AM75" s="8">
        <v>2360</v>
      </c>
      <c r="AN75" s="15">
        <v>33908</v>
      </c>
      <c r="AO75" s="8">
        <v>1381</v>
      </c>
      <c r="AP75" s="5">
        <v>38383</v>
      </c>
      <c r="AQ75" s="4">
        <v>15.146000000000001</v>
      </c>
      <c r="AR75" s="11">
        <v>34515</v>
      </c>
      <c r="AS75" s="11">
        <v>34515</v>
      </c>
      <c r="AT75" s="10">
        <v>17.52</v>
      </c>
    </row>
    <row r="76" spans="1:46" x14ac:dyDescent="0.25">
      <c r="A76" s="16">
        <v>20514</v>
      </c>
      <c r="B76" s="1">
        <v>7210</v>
      </c>
      <c r="C76" s="13" t="str">
        <f t="shared" si="1"/>
        <v>91988</v>
      </c>
      <c r="D76" s="2">
        <v>32416</v>
      </c>
      <c r="E76" s="1">
        <v>5606</v>
      </c>
      <c r="F76" s="16">
        <v>36585</v>
      </c>
      <c r="G76" s="1">
        <v>7865</v>
      </c>
      <c r="H76" s="16">
        <v>36585</v>
      </c>
      <c r="I76" s="1">
        <v>3504</v>
      </c>
      <c r="J76" s="16">
        <v>36585</v>
      </c>
      <c r="K76" s="1">
        <v>2595</v>
      </c>
      <c r="L76" s="16">
        <v>36585</v>
      </c>
      <c r="M76" s="1">
        <v>1380</v>
      </c>
      <c r="N76" s="16">
        <v>36585</v>
      </c>
      <c r="O76" s="1">
        <v>2081</v>
      </c>
      <c r="P76" s="16">
        <v>36585</v>
      </c>
      <c r="Q76" s="1">
        <v>6248</v>
      </c>
      <c r="R76" s="16">
        <v>36585</v>
      </c>
      <c r="S76" s="1">
        <v>3049</v>
      </c>
      <c r="T76" s="16">
        <v>36585</v>
      </c>
      <c r="U76" s="1">
        <v>3280</v>
      </c>
      <c r="V76" s="16">
        <v>36585</v>
      </c>
      <c r="W76" s="1">
        <v>1142</v>
      </c>
      <c r="X76" s="15">
        <v>33969</v>
      </c>
      <c r="Y76" s="8">
        <v>25030</v>
      </c>
      <c r="Z76" s="15">
        <v>33938</v>
      </c>
      <c r="AA76" s="8">
        <v>8450</v>
      </c>
      <c r="AB76" s="15">
        <v>33938</v>
      </c>
      <c r="AC76" s="8">
        <v>2240</v>
      </c>
      <c r="AD76" s="15">
        <v>33938</v>
      </c>
      <c r="AE76" s="8">
        <v>3650</v>
      </c>
      <c r="AF76" s="15">
        <v>33938</v>
      </c>
      <c r="AG76" s="8">
        <v>500</v>
      </c>
      <c r="AH76" s="15">
        <v>33938</v>
      </c>
      <c r="AI76" s="8">
        <v>1480</v>
      </c>
      <c r="AJ76" s="15">
        <v>33938</v>
      </c>
      <c r="AK76" s="8">
        <v>1950</v>
      </c>
      <c r="AL76" s="15">
        <v>33938</v>
      </c>
      <c r="AM76" s="8">
        <v>2370</v>
      </c>
      <c r="AN76" s="15">
        <v>33938</v>
      </c>
      <c r="AO76" s="8">
        <v>1450</v>
      </c>
      <c r="AP76" s="5">
        <v>38411</v>
      </c>
      <c r="AQ76" s="4">
        <v>13.814</v>
      </c>
      <c r="AR76" s="11">
        <v>34544</v>
      </c>
      <c r="AS76" s="11">
        <v>34544</v>
      </c>
      <c r="AT76" s="10">
        <v>18.59</v>
      </c>
    </row>
    <row r="77" spans="1:46" x14ac:dyDescent="0.25">
      <c r="A77" s="16">
        <v>20545</v>
      </c>
      <c r="B77" s="1">
        <v>7279</v>
      </c>
      <c r="C77" s="13" t="str">
        <f t="shared" si="1"/>
        <v>101988</v>
      </c>
      <c r="D77" s="2">
        <v>32447</v>
      </c>
      <c r="E77" s="1">
        <v>1316</v>
      </c>
      <c r="F77" s="16">
        <v>36616</v>
      </c>
      <c r="G77" s="1">
        <v>7865</v>
      </c>
      <c r="H77" s="16">
        <v>36616</v>
      </c>
      <c r="I77" s="1">
        <v>3712</v>
      </c>
      <c r="J77" s="16">
        <v>36616</v>
      </c>
      <c r="K77" s="1">
        <v>2215</v>
      </c>
      <c r="L77" s="16">
        <v>36616</v>
      </c>
      <c r="M77" s="1">
        <v>1390</v>
      </c>
      <c r="N77" s="16">
        <v>36616</v>
      </c>
      <c r="O77" s="1">
        <v>2101</v>
      </c>
      <c r="P77" s="16">
        <v>36616</v>
      </c>
      <c r="Q77" s="1">
        <v>6321</v>
      </c>
      <c r="R77" s="16">
        <v>36616</v>
      </c>
      <c r="S77" s="1">
        <v>3049</v>
      </c>
      <c r="T77" s="16">
        <v>36616</v>
      </c>
      <c r="U77" s="1">
        <v>3280</v>
      </c>
      <c r="V77" s="16">
        <v>36616</v>
      </c>
      <c r="W77" s="1">
        <v>1152</v>
      </c>
      <c r="X77" s="15">
        <v>34000</v>
      </c>
      <c r="Y77" s="8">
        <v>24970</v>
      </c>
      <c r="Z77" s="15">
        <v>33969</v>
      </c>
      <c r="AA77" s="8">
        <v>8451</v>
      </c>
      <c r="AB77" s="15">
        <v>33969</v>
      </c>
      <c r="AC77" s="8">
        <v>2270</v>
      </c>
      <c r="AD77" s="15">
        <v>33969</v>
      </c>
      <c r="AE77" s="8">
        <v>3600</v>
      </c>
      <c r="AF77" s="15">
        <v>33969</v>
      </c>
      <c r="AG77" s="8">
        <v>540</v>
      </c>
      <c r="AH77" s="15">
        <v>33969</v>
      </c>
      <c r="AI77" s="8">
        <v>1450</v>
      </c>
      <c r="AJ77" s="15">
        <v>33969</v>
      </c>
      <c r="AK77" s="8">
        <v>1960</v>
      </c>
      <c r="AL77" s="15">
        <v>33969</v>
      </c>
      <c r="AM77" s="8">
        <v>2370</v>
      </c>
      <c r="AN77" s="15">
        <v>33969</v>
      </c>
      <c r="AO77" s="8">
        <v>1541</v>
      </c>
      <c r="AP77" s="5">
        <v>38442</v>
      </c>
      <c r="AQ77" s="4">
        <v>15.602</v>
      </c>
      <c r="AR77" s="11">
        <v>34577</v>
      </c>
      <c r="AS77" s="11">
        <v>34577</v>
      </c>
      <c r="AT77" s="10">
        <v>16.36</v>
      </c>
    </row>
    <row r="78" spans="1:46" x14ac:dyDescent="0.25">
      <c r="A78" s="16">
        <v>20575</v>
      </c>
      <c r="B78" s="1">
        <v>7147</v>
      </c>
      <c r="C78" s="13" t="str">
        <f t="shared" si="1"/>
        <v>111988</v>
      </c>
      <c r="D78" s="2">
        <v>32477</v>
      </c>
      <c r="E78" s="1">
        <v>-4414</v>
      </c>
      <c r="F78" s="16">
        <v>36646</v>
      </c>
      <c r="G78" s="1">
        <v>8100</v>
      </c>
      <c r="H78" s="16">
        <v>36646</v>
      </c>
      <c r="I78" s="1">
        <v>3653</v>
      </c>
      <c r="J78" s="16">
        <v>36646</v>
      </c>
      <c r="K78" s="1">
        <v>2655</v>
      </c>
      <c r="L78" s="16">
        <v>36646</v>
      </c>
      <c r="M78" s="1">
        <v>1400</v>
      </c>
      <c r="N78" s="16">
        <v>36646</v>
      </c>
      <c r="O78" s="1">
        <v>2161</v>
      </c>
      <c r="P78" s="16">
        <v>36646</v>
      </c>
      <c r="Q78" s="1">
        <v>6309</v>
      </c>
      <c r="R78" s="16">
        <v>36646</v>
      </c>
      <c r="S78" s="1">
        <v>3103</v>
      </c>
      <c r="T78" s="16">
        <v>36646</v>
      </c>
      <c r="U78" s="1">
        <v>3300</v>
      </c>
      <c r="V78" s="16">
        <v>36646</v>
      </c>
      <c r="W78" s="1">
        <v>1163</v>
      </c>
      <c r="X78" s="15">
        <v>34028</v>
      </c>
      <c r="Y78" s="8">
        <v>25350</v>
      </c>
      <c r="Z78" s="15">
        <v>34000</v>
      </c>
      <c r="AA78" s="8">
        <v>8450</v>
      </c>
      <c r="AB78" s="15">
        <v>34000</v>
      </c>
      <c r="AC78" s="8">
        <v>2270</v>
      </c>
      <c r="AD78" s="15">
        <v>34000</v>
      </c>
      <c r="AE78" s="8">
        <v>3500</v>
      </c>
      <c r="AF78" s="15">
        <v>34000</v>
      </c>
      <c r="AG78" s="8">
        <v>500</v>
      </c>
      <c r="AH78" s="15">
        <v>34000</v>
      </c>
      <c r="AI78" s="8">
        <v>1440</v>
      </c>
      <c r="AJ78" s="15">
        <v>34000</v>
      </c>
      <c r="AK78" s="8">
        <v>2000</v>
      </c>
      <c r="AL78" s="15">
        <v>34000</v>
      </c>
      <c r="AM78" s="8">
        <v>2360</v>
      </c>
      <c r="AN78" s="15">
        <v>34000</v>
      </c>
      <c r="AO78" s="8">
        <v>1600</v>
      </c>
      <c r="AP78" s="5">
        <v>38472</v>
      </c>
      <c r="AQ78" s="4">
        <v>14.737</v>
      </c>
      <c r="AR78" s="11">
        <v>34607</v>
      </c>
      <c r="AS78" s="11">
        <v>34607</v>
      </c>
      <c r="AT78" s="10">
        <v>17.149999999999999</v>
      </c>
    </row>
    <row r="79" spans="1:46" x14ac:dyDescent="0.25">
      <c r="A79" s="16">
        <v>20606</v>
      </c>
      <c r="B79" s="1">
        <v>7063</v>
      </c>
      <c r="C79" s="13" t="str">
        <f t="shared" si="1"/>
        <v>121988</v>
      </c>
      <c r="D79" s="2">
        <v>32507</v>
      </c>
      <c r="E79" s="1">
        <v>-1111</v>
      </c>
      <c r="F79" s="16">
        <v>36677</v>
      </c>
      <c r="G79" s="1">
        <v>8200</v>
      </c>
      <c r="H79" s="16">
        <v>36677</v>
      </c>
      <c r="I79" s="1">
        <v>3663</v>
      </c>
      <c r="J79" s="16">
        <v>36677</v>
      </c>
      <c r="K79" s="1">
        <v>3055</v>
      </c>
      <c r="L79" s="16">
        <v>36677</v>
      </c>
      <c r="M79" s="1">
        <v>1400</v>
      </c>
      <c r="N79" s="16">
        <v>36677</v>
      </c>
      <c r="O79" s="1">
        <v>2131</v>
      </c>
      <c r="P79" s="16">
        <v>36677</v>
      </c>
      <c r="Q79" s="1">
        <v>6352</v>
      </c>
      <c r="R79" s="16">
        <v>36677</v>
      </c>
      <c r="S79" s="1">
        <v>3135</v>
      </c>
      <c r="T79" s="16">
        <v>36677</v>
      </c>
      <c r="U79" s="1">
        <v>3250</v>
      </c>
      <c r="V79" s="16">
        <v>36677</v>
      </c>
      <c r="W79" s="1">
        <v>1173</v>
      </c>
      <c r="X79" s="15">
        <v>34059</v>
      </c>
      <c r="Y79" s="8">
        <v>24390</v>
      </c>
      <c r="Z79" s="15">
        <v>34028</v>
      </c>
      <c r="AA79" s="8">
        <v>8400</v>
      </c>
      <c r="AB79" s="15">
        <v>34028</v>
      </c>
      <c r="AC79" s="8">
        <v>2270</v>
      </c>
      <c r="AD79" s="15">
        <v>34028</v>
      </c>
      <c r="AE79" s="8">
        <v>3800</v>
      </c>
      <c r="AF79" s="15">
        <v>34028</v>
      </c>
      <c r="AG79" s="8">
        <v>450</v>
      </c>
      <c r="AH79" s="15">
        <v>34028</v>
      </c>
      <c r="AI79" s="8">
        <v>1480</v>
      </c>
      <c r="AJ79" s="15">
        <v>34028</v>
      </c>
      <c r="AK79" s="8">
        <v>1950</v>
      </c>
      <c r="AL79" s="15">
        <v>34028</v>
      </c>
      <c r="AM79" s="8">
        <v>2250</v>
      </c>
      <c r="AN79" s="15">
        <v>34028</v>
      </c>
      <c r="AO79" s="8">
        <v>1900</v>
      </c>
      <c r="AP79" s="5">
        <v>38503</v>
      </c>
      <c r="AQ79" s="4">
        <v>15.336</v>
      </c>
      <c r="AR79" s="11">
        <v>34638</v>
      </c>
      <c r="AS79" s="11">
        <v>34638</v>
      </c>
      <c r="AT79" s="10">
        <v>16.920000000000002</v>
      </c>
    </row>
    <row r="80" spans="1:46" x14ac:dyDescent="0.25">
      <c r="A80" s="16">
        <v>20636</v>
      </c>
      <c r="B80" s="1">
        <v>7100</v>
      </c>
      <c r="C80" s="13" t="str">
        <f t="shared" si="1"/>
        <v>11989</v>
      </c>
      <c r="D80" s="2">
        <v>32539</v>
      </c>
      <c r="E80" s="1">
        <v>495</v>
      </c>
      <c r="F80" s="16">
        <v>36707</v>
      </c>
      <c r="G80" s="1">
        <v>8250</v>
      </c>
      <c r="H80" s="16">
        <v>36707</v>
      </c>
      <c r="I80" s="1">
        <v>3683</v>
      </c>
      <c r="J80" s="16">
        <v>36707</v>
      </c>
      <c r="K80" s="1">
        <v>2565</v>
      </c>
      <c r="L80" s="16">
        <v>36707</v>
      </c>
      <c r="M80" s="1">
        <v>1420</v>
      </c>
      <c r="N80" s="16">
        <v>36707</v>
      </c>
      <c r="O80" s="1">
        <v>2161</v>
      </c>
      <c r="P80" s="16">
        <v>36707</v>
      </c>
      <c r="Q80" s="1">
        <v>6421</v>
      </c>
      <c r="R80" s="16">
        <v>36707</v>
      </c>
      <c r="S80" s="1">
        <v>3156</v>
      </c>
      <c r="T80" s="16">
        <v>36707</v>
      </c>
      <c r="U80" s="1">
        <v>3295</v>
      </c>
      <c r="V80" s="16">
        <v>36707</v>
      </c>
      <c r="W80" s="1">
        <v>1241</v>
      </c>
      <c r="X80" s="15">
        <v>34089</v>
      </c>
      <c r="Y80" s="8">
        <v>24080</v>
      </c>
      <c r="Z80" s="15">
        <v>34059</v>
      </c>
      <c r="AA80" s="8">
        <v>8000</v>
      </c>
      <c r="AB80" s="15">
        <v>34059</v>
      </c>
      <c r="AC80" s="8">
        <v>2170</v>
      </c>
      <c r="AD80" s="15">
        <v>34059</v>
      </c>
      <c r="AE80" s="8">
        <v>3700</v>
      </c>
      <c r="AF80" s="15">
        <v>34059</v>
      </c>
      <c r="AG80" s="8">
        <v>520</v>
      </c>
      <c r="AH80" s="15">
        <v>34059</v>
      </c>
      <c r="AI80" s="8">
        <v>1400</v>
      </c>
      <c r="AJ80" s="15">
        <v>34059</v>
      </c>
      <c r="AK80" s="8">
        <v>1900</v>
      </c>
      <c r="AL80" s="15">
        <v>34059</v>
      </c>
      <c r="AM80" s="8">
        <v>2270</v>
      </c>
      <c r="AN80" s="15">
        <v>34059</v>
      </c>
      <c r="AO80" s="8">
        <v>1650</v>
      </c>
      <c r="AP80" s="5">
        <v>38533</v>
      </c>
      <c r="AQ80" s="4">
        <v>14.981999999999999</v>
      </c>
      <c r="AR80" s="11">
        <v>34668</v>
      </c>
      <c r="AS80" s="11">
        <v>34668</v>
      </c>
      <c r="AT80" s="10">
        <v>17.11</v>
      </c>
    </row>
    <row r="81" spans="1:46" x14ac:dyDescent="0.25">
      <c r="A81" s="16">
        <v>20667</v>
      </c>
      <c r="B81" s="1">
        <v>7089</v>
      </c>
      <c r="C81" s="13" t="str">
        <f t="shared" si="1"/>
        <v>21989</v>
      </c>
      <c r="D81" s="2">
        <v>32567</v>
      </c>
      <c r="E81" s="1">
        <v>-810</v>
      </c>
      <c r="F81" s="16">
        <v>36738</v>
      </c>
      <c r="G81" s="1">
        <v>8050</v>
      </c>
      <c r="H81" s="16">
        <v>36738</v>
      </c>
      <c r="I81" s="1">
        <v>3720</v>
      </c>
      <c r="J81" s="16">
        <v>36738</v>
      </c>
      <c r="K81" s="1">
        <v>2521</v>
      </c>
      <c r="L81" s="16">
        <v>36738</v>
      </c>
      <c r="M81" s="1">
        <v>1425</v>
      </c>
      <c r="N81" s="16">
        <v>36738</v>
      </c>
      <c r="O81" s="1">
        <v>2071</v>
      </c>
      <c r="P81" s="16">
        <v>36738</v>
      </c>
      <c r="Q81" s="1">
        <v>6489.1760000000004</v>
      </c>
      <c r="R81" s="16">
        <v>36738</v>
      </c>
      <c r="S81" s="1">
        <v>2900</v>
      </c>
      <c r="T81" s="16">
        <v>36738</v>
      </c>
      <c r="U81" s="1">
        <v>3235.5709999999999</v>
      </c>
      <c r="V81" s="16">
        <v>36738</v>
      </c>
      <c r="W81" s="1">
        <v>1187.22</v>
      </c>
      <c r="X81" s="15">
        <v>34120</v>
      </c>
      <c r="Y81" s="8">
        <v>24170</v>
      </c>
      <c r="Z81" s="15">
        <v>34089</v>
      </c>
      <c r="AA81" s="8">
        <v>8050</v>
      </c>
      <c r="AB81" s="15">
        <v>34089</v>
      </c>
      <c r="AC81" s="8">
        <v>2180</v>
      </c>
      <c r="AD81" s="15">
        <v>34089</v>
      </c>
      <c r="AE81" s="8">
        <v>3500</v>
      </c>
      <c r="AF81" s="15">
        <v>34089</v>
      </c>
      <c r="AG81" s="8">
        <v>500</v>
      </c>
      <c r="AH81" s="15">
        <v>34089</v>
      </c>
      <c r="AI81" s="8">
        <v>1350</v>
      </c>
      <c r="AJ81" s="15">
        <v>34089</v>
      </c>
      <c r="AK81" s="8">
        <v>1850</v>
      </c>
      <c r="AL81" s="15">
        <v>34089</v>
      </c>
      <c r="AM81" s="8">
        <v>2250</v>
      </c>
      <c r="AN81" s="15">
        <v>34089</v>
      </c>
      <c r="AO81" s="8">
        <v>1650</v>
      </c>
      <c r="AP81" s="5">
        <v>38564</v>
      </c>
      <c r="AQ81" s="4">
        <v>15.456</v>
      </c>
      <c r="AR81" s="11">
        <v>34698</v>
      </c>
      <c r="AS81" s="11">
        <v>34698</v>
      </c>
      <c r="AT81" s="10">
        <v>16.5</v>
      </c>
    </row>
    <row r="82" spans="1:46" x14ac:dyDescent="0.25">
      <c r="A82" s="16">
        <v>20698</v>
      </c>
      <c r="B82" s="1">
        <v>7195</v>
      </c>
      <c r="C82" s="13" t="str">
        <f t="shared" si="1"/>
        <v>31989</v>
      </c>
      <c r="D82" s="2">
        <v>32598</v>
      </c>
      <c r="E82" s="1">
        <v>-10046</v>
      </c>
      <c r="F82" s="16">
        <v>36769</v>
      </c>
      <c r="G82" s="1">
        <v>8350</v>
      </c>
      <c r="H82" s="16">
        <v>36769</v>
      </c>
      <c r="I82" s="1">
        <v>3540</v>
      </c>
      <c r="J82" s="16">
        <v>36769</v>
      </c>
      <c r="K82" s="1">
        <v>2991.4749999999999</v>
      </c>
      <c r="L82" s="16">
        <v>36769</v>
      </c>
      <c r="M82" s="1">
        <v>1430</v>
      </c>
      <c r="N82" s="16">
        <v>36769</v>
      </c>
      <c r="O82" s="1">
        <v>2045</v>
      </c>
      <c r="P82" s="16">
        <v>36769</v>
      </c>
      <c r="Q82" s="1">
        <v>6575.4139999999998</v>
      </c>
      <c r="R82" s="16">
        <v>36769</v>
      </c>
      <c r="S82" s="1">
        <v>2920</v>
      </c>
      <c r="T82" s="16">
        <v>36769</v>
      </c>
      <c r="U82" s="1">
        <v>3221.3009999999999</v>
      </c>
      <c r="V82" s="16">
        <v>36769</v>
      </c>
      <c r="W82" s="1">
        <v>1192.3699999999999</v>
      </c>
      <c r="X82" s="15">
        <v>34150</v>
      </c>
      <c r="Y82" s="8">
        <v>24290</v>
      </c>
      <c r="Z82" s="15">
        <v>34120</v>
      </c>
      <c r="AA82" s="8">
        <v>8080</v>
      </c>
      <c r="AB82" s="15">
        <v>34120</v>
      </c>
      <c r="AC82" s="8">
        <v>2200</v>
      </c>
      <c r="AD82" s="15">
        <v>34120</v>
      </c>
      <c r="AE82" s="8">
        <v>3450</v>
      </c>
      <c r="AF82" s="15">
        <v>34120</v>
      </c>
      <c r="AG82" s="8">
        <v>500</v>
      </c>
      <c r="AH82" s="15">
        <v>34120</v>
      </c>
      <c r="AI82" s="8">
        <v>1350</v>
      </c>
      <c r="AJ82" s="15">
        <v>34120</v>
      </c>
      <c r="AK82" s="8">
        <v>1900</v>
      </c>
      <c r="AL82" s="15">
        <v>34120</v>
      </c>
      <c r="AM82" s="8">
        <v>2250</v>
      </c>
      <c r="AN82" s="15">
        <v>34120</v>
      </c>
      <c r="AO82" s="8">
        <v>1700</v>
      </c>
      <c r="AP82" s="5">
        <v>38595</v>
      </c>
      <c r="AQ82" s="4">
        <v>15.532999999999999</v>
      </c>
      <c r="AR82" s="11">
        <v>34730</v>
      </c>
      <c r="AS82" s="11">
        <v>34730</v>
      </c>
      <c r="AT82" s="10">
        <v>16.8</v>
      </c>
    </row>
    <row r="83" spans="1:46" x14ac:dyDescent="0.25">
      <c r="A83" s="16">
        <v>20728</v>
      </c>
      <c r="B83" s="1">
        <v>7053</v>
      </c>
      <c r="C83" s="13" t="str">
        <f t="shared" si="1"/>
        <v>41989</v>
      </c>
      <c r="D83" s="2">
        <v>32626</v>
      </c>
      <c r="E83" s="1">
        <v>4089</v>
      </c>
      <c r="F83" s="16">
        <v>36799</v>
      </c>
      <c r="G83" s="1">
        <v>8100</v>
      </c>
      <c r="H83" s="16">
        <v>36799</v>
      </c>
      <c r="I83" s="1">
        <v>3900</v>
      </c>
      <c r="J83" s="16">
        <v>36799</v>
      </c>
      <c r="K83" s="1">
        <v>2849.5239999999999</v>
      </c>
      <c r="L83" s="16">
        <v>36799</v>
      </c>
      <c r="M83" s="1">
        <v>1425</v>
      </c>
      <c r="N83" s="16">
        <v>36799</v>
      </c>
      <c r="O83" s="1">
        <v>2008</v>
      </c>
      <c r="P83" s="16">
        <v>36799</v>
      </c>
      <c r="Q83" s="1">
        <v>6644.6980000000003</v>
      </c>
      <c r="R83" s="16">
        <v>36799</v>
      </c>
      <c r="S83" s="1">
        <v>2930</v>
      </c>
      <c r="T83" s="16">
        <v>36799</v>
      </c>
      <c r="U83" s="1">
        <v>3281.7359999999999</v>
      </c>
      <c r="V83" s="16">
        <v>36799</v>
      </c>
      <c r="W83" s="1">
        <v>1299.01</v>
      </c>
      <c r="X83" s="15">
        <v>34181</v>
      </c>
      <c r="Y83" s="8">
        <v>24590</v>
      </c>
      <c r="Z83" s="15">
        <v>34150</v>
      </c>
      <c r="AA83" s="8">
        <v>8050</v>
      </c>
      <c r="AB83" s="15">
        <v>34150</v>
      </c>
      <c r="AC83" s="8">
        <v>2200</v>
      </c>
      <c r="AD83" s="15">
        <v>34150</v>
      </c>
      <c r="AE83" s="8">
        <v>3600</v>
      </c>
      <c r="AF83" s="15">
        <v>34150</v>
      </c>
      <c r="AG83" s="8">
        <v>500</v>
      </c>
      <c r="AH83" s="15">
        <v>34150</v>
      </c>
      <c r="AI83" s="8">
        <v>1350</v>
      </c>
      <c r="AJ83" s="15">
        <v>34150</v>
      </c>
      <c r="AK83" s="8">
        <v>1900</v>
      </c>
      <c r="AL83" s="15">
        <v>34150</v>
      </c>
      <c r="AM83" s="8">
        <v>2230</v>
      </c>
      <c r="AN83" s="15">
        <v>34150</v>
      </c>
      <c r="AO83" s="8">
        <v>1700</v>
      </c>
      <c r="AP83" s="5">
        <v>38625</v>
      </c>
      <c r="AQ83" s="4">
        <v>14.859</v>
      </c>
      <c r="AR83" s="11">
        <v>34758</v>
      </c>
      <c r="AS83" s="11">
        <v>34758</v>
      </c>
      <c r="AT83" s="10">
        <v>16.87</v>
      </c>
    </row>
    <row r="84" spans="1:46" x14ac:dyDescent="0.25">
      <c r="A84" s="16">
        <v>20759</v>
      </c>
      <c r="B84" s="1">
        <v>6954</v>
      </c>
      <c r="C84" s="13" t="str">
        <f t="shared" si="1"/>
        <v>51989</v>
      </c>
      <c r="D84" s="2">
        <v>32659</v>
      </c>
      <c r="E84" s="1">
        <v>-1911</v>
      </c>
      <c r="F84" s="16">
        <v>36830</v>
      </c>
      <c r="G84" s="1">
        <v>8350</v>
      </c>
      <c r="H84" s="16">
        <v>36830</v>
      </c>
      <c r="I84" s="1">
        <v>3810</v>
      </c>
      <c r="J84" s="16">
        <v>36830</v>
      </c>
      <c r="K84" s="1">
        <v>2998.3870000000002</v>
      </c>
      <c r="L84" s="16">
        <v>36830</v>
      </c>
      <c r="M84" s="1">
        <v>1440</v>
      </c>
      <c r="N84" s="16">
        <v>36830</v>
      </c>
      <c r="O84" s="1">
        <v>2133</v>
      </c>
      <c r="P84" s="16">
        <v>36830</v>
      </c>
      <c r="Q84" s="1">
        <v>6662.3159999999998</v>
      </c>
      <c r="R84" s="16">
        <v>36830</v>
      </c>
      <c r="S84" s="1">
        <v>2950</v>
      </c>
      <c r="T84" s="16">
        <v>36830</v>
      </c>
      <c r="U84" s="1">
        <v>3240.5160000000001</v>
      </c>
      <c r="V84" s="16">
        <v>36830</v>
      </c>
      <c r="W84" s="1">
        <v>1314.12</v>
      </c>
      <c r="X84" s="15">
        <v>34212</v>
      </c>
      <c r="Y84" s="8">
        <v>24630</v>
      </c>
      <c r="Z84" s="15">
        <v>34181</v>
      </c>
      <c r="AA84" s="8">
        <v>8080</v>
      </c>
      <c r="AB84" s="15">
        <v>34181</v>
      </c>
      <c r="AC84" s="8">
        <v>2180</v>
      </c>
      <c r="AD84" s="15">
        <v>34181</v>
      </c>
      <c r="AE84" s="8">
        <v>3700</v>
      </c>
      <c r="AF84" s="15">
        <v>34181</v>
      </c>
      <c r="AG84" s="8">
        <v>500</v>
      </c>
      <c r="AH84" s="15">
        <v>34181</v>
      </c>
      <c r="AI84" s="8">
        <v>1350</v>
      </c>
      <c r="AJ84" s="15">
        <v>34181</v>
      </c>
      <c r="AK84" s="8">
        <v>1880</v>
      </c>
      <c r="AL84" s="15">
        <v>34181</v>
      </c>
      <c r="AM84" s="8">
        <v>2260</v>
      </c>
      <c r="AN84" s="15">
        <v>34181</v>
      </c>
      <c r="AO84" s="8">
        <v>1880</v>
      </c>
      <c r="AP84" s="5">
        <v>38656</v>
      </c>
      <c r="AQ84" s="4">
        <v>15.455</v>
      </c>
      <c r="AR84" s="11">
        <v>34789</v>
      </c>
      <c r="AS84" s="11">
        <v>34789</v>
      </c>
      <c r="AT84" s="10">
        <v>17.5</v>
      </c>
    </row>
    <row r="85" spans="1:46" x14ac:dyDescent="0.25">
      <c r="A85" s="16">
        <v>20789</v>
      </c>
      <c r="B85" s="1">
        <v>7148</v>
      </c>
      <c r="C85" s="13" t="str">
        <f t="shared" si="1"/>
        <v>61989</v>
      </c>
      <c r="D85" s="2">
        <v>32689</v>
      </c>
      <c r="E85" s="1">
        <v>-7283</v>
      </c>
      <c r="F85" s="16">
        <v>36860</v>
      </c>
      <c r="G85" s="1">
        <v>8600</v>
      </c>
      <c r="H85" s="16">
        <v>36860</v>
      </c>
      <c r="I85" s="1">
        <v>3800</v>
      </c>
      <c r="J85" s="16">
        <v>36860</v>
      </c>
      <c r="K85" s="1">
        <v>2896.4290000000001</v>
      </c>
      <c r="L85" s="16">
        <v>36860</v>
      </c>
      <c r="M85" s="1">
        <v>1450</v>
      </c>
      <c r="N85" s="16">
        <v>36860</v>
      </c>
      <c r="O85" s="1">
        <v>2166</v>
      </c>
      <c r="P85" s="16">
        <v>36860</v>
      </c>
      <c r="Q85" s="1">
        <v>6690.5640000000003</v>
      </c>
      <c r="R85" s="16">
        <v>36860</v>
      </c>
      <c r="S85" s="1">
        <v>3000</v>
      </c>
      <c r="T85" s="16">
        <v>36860</v>
      </c>
      <c r="U85" s="1">
        <v>3236.3789999999999</v>
      </c>
      <c r="V85" s="16">
        <v>36860</v>
      </c>
      <c r="W85" s="1">
        <v>1365.61</v>
      </c>
      <c r="X85" s="15">
        <v>34242</v>
      </c>
      <c r="Y85" s="8">
        <v>24820</v>
      </c>
      <c r="Z85" s="15">
        <v>34212</v>
      </c>
      <c r="AA85" s="8">
        <v>8090</v>
      </c>
      <c r="AB85" s="15">
        <v>34212</v>
      </c>
      <c r="AC85" s="8">
        <v>2190</v>
      </c>
      <c r="AD85" s="15">
        <v>34212</v>
      </c>
      <c r="AE85" s="8">
        <v>3550</v>
      </c>
      <c r="AF85" s="15">
        <v>34212</v>
      </c>
      <c r="AG85" s="8">
        <v>500</v>
      </c>
      <c r="AH85" s="15">
        <v>34212</v>
      </c>
      <c r="AI85" s="8">
        <v>1400</v>
      </c>
      <c r="AJ85" s="15">
        <v>34212</v>
      </c>
      <c r="AK85" s="8">
        <v>1850</v>
      </c>
      <c r="AL85" s="15">
        <v>34212</v>
      </c>
      <c r="AM85" s="8">
        <v>2270</v>
      </c>
      <c r="AN85" s="15">
        <v>34212</v>
      </c>
      <c r="AO85" s="8">
        <v>1980</v>
      </c>
      <c r="AP85" s="5">
        <v>38686</v>
      </c>
      <c r="AQ85" s="4">
        <v>14.84</v>
      </c>
      <c r="AR85" s="11">
        <v>34817</v>
      </c>
      <c r="AS85" s="11">
        <v>34817</v>
      </c>
      <c r="AT85" s="10">
        <v>19.059999999999999</v>
      </c>
    </row>
    <row r="86" spans="1:46" x14ac:dyDescent="0.25">
      <c r="A86" s="16">
        <v>20820</v>
      </c>
      <c r="B86" s="1">
        <v>7377</v>
      </c>
      <c r="C86" s="13" t="str">
        <f t="shared" si="1"/>
        <v>71989</v>
      </c>
      <c r="D86" s="2">
        <v>32720</v>
      </c>
      <c r="E86" s="1">
        <v>1258</v>
      </c>
      <c r="F86" s="16">
        <v>36891</v>
      </c>
      <c r="G86" s="1">
        <v>8400</v>
      </c>
      <c r="H86" s="16">
        <v>36891</v>
      </c>
      <c r="I86" s="1">
        <v>3870</v>
      </c>
      <c r="J86" s="16">
        <v>36891</v>
      </c>
      <c r="K86" s="1">
        <v>1319.4929999999999</v>
      </c>
      <c r="L86" s="16">
        <v>36891</v>
      </c>
      <c r="M86" s="1">
        <v>1455</v>
      </c>
      <c r="N86" s="16">
        <v>36891</v>
      </c>
      <c r="O86" s="1">
        <v>2156</v>
      </c>
      <c r="P86" s="16">
        <v>36891</v>
      </c>
      <c r="Q86" s="1">
        <v>6676.7309999999998</v>
      </c>
      <c r="R86" s="16">
        <v>36891</v>
      </c>
      <c r="S86" s="1">
        <v>3030</v>
      </c>
      <c r="T86" s="16">
        <v>36891</v>
      </c>
      <c r="U86" s="1">
        <v>3267.7379999999998</v>
      </c>
      <c r="V86" s="16">
        <v>36891</v>
      </c>
      <c r="W86" s="1">
        <v>1419.07</v>
      </c>
      <c r="X86" s="15">
        <v>34273</v>
      </c>
      <c r="Y86" s="8">
        <v>24750</v>
      </c>
      <c r="Z86" s="15">
        <v>34242</v>
      </c>
      <c r="AA86" s="8">
        <v>8080</v>
      </c>
      <c r="AB86" s="15">
        <v>34242</v>
      </c>
      <c r="AC86" s="8">
        <v>2180</v>
      </c>
      <c r="AD86" s="15">
        <v>34242</v>
      </c>
      <c r="AE86" s="8">
        <v>3650</v>
      </c>
      <c r="AF86" s="15">
        <v>34242</v>
      </c>
      <c r="AG86" s="8">
        <v>500</v>
      </c>
      <c r="AH86" s="15">
        <v>34242</v>
      </c>
      <c r="AI86" s="8">
        <v>1400</v>
      </c>
      <c r="AJ86" s="15">
        <v>34242</v>
      </c>
      <c r="AK86" s="8">
        <v>1850</v>
      </c>
      <c r="AL86" s="15">
        <v>34242</v>
      </c>
      <c r="AM86" s="8">
        <v>2260</v>
      </c>
      <c r="AN86" s="15">
        <v>34242</v>
      </c>
      <c r="AO86" s="8">
        <v>2100</v>
      </c>
      <c r="AP86" s="5">
        <v>38717</v>
      </c>
      <c r="AQ86" s="4">
        <v>14.925000000000001</v>
      </c>
      <c r="AR86" s="11">
        <v>34850</v>
      </c>
      <c r="AS86" s="11">
        <v>34850</v>
      </c>
      <c r="AT86" s="10">
        <v>17.7</v>
      </c>
    </row>
    <row r="87" spans="1:46" x14ac:dyDescent="0.25">
      <c r="A87" s="16">
        <v>20851</v>
      </c>
      <c r="B87" s="1">
        <v>7472</v>
      </c>
      <c r="C87" s="13" t="str">
        <f t="shared" si="1"/>
        <v>81989</v>
      </c>
      <c r="D87" s="2">
        <v>32751</v>
      </c>
      <c r="E87" s="1">
        <v>-1093</v>
      </c>
      <c r="F87" s="16">
        <v>36922</v>
      </c>
      <c r="G87" s="1">
        <v>8300</v>
      </c>
      <c r="H87" s="16">
        <v>36922</v>
      </c>
      <c r="I87" s="1">
        <v>4050</v>
      </c>
      <c r="J87" s="16">
        <v>36922</v>
      </c>
      <c r="K87" s="1">
        <v>1731.106</v>
      </c>
      <c r="L87" s="16">
        <v>36922</v>
      </c>
      <c r="M87" s="1">
        <v>1450</v>
      </c>
      <c r="N87" s="16">
        <v>36922</v>
      </c>
      <c r="O87" s="1">
        <v>2177</v>
      </c>
      <c r="P87" s="16">
        <v>36922</v>
      </c>
      <c r="Q87" s="1">
        <v>6668.6970000000001</v>
      </c>
      <c r="R87" s="16">
        <v>36922</v>
      </c>
      <c r="S87" s="1">
        <v>3080</v>
      </c>
      <c r="T87" s="16">
        <v>36922</v>
      </c>
      <c r="U87" s="1">
        <v>3174.2</v>
      </c>
      <c r="V87" s="16">
        <v>36922</v>
      </c>
      <c r="W87" s="1">
        <v>1318.54</v>
      </c>
      <c r="X87" s="15">
        <v>34303</v>
      </c>
      <c r="Y87" s="8">
        <v>24680</v>
      </c>
      <c r="Z87" s="15">
        <v>34273</v>
      </c>
      <c r="AA87" s="8">
        <v>8000</v>
      </c>
      <c r="AB87" s="15">
        <v>34273</v>
      </c>
      <c r="AC87" s="8">
        <v>2180</v>
      </c>
      <c r="AD87" s="15">
        <v>34273</v>
      </c>
      <c r="AE87" s="8">
        <v>3610</v>
      </c>
      <c r="AF87" s="15">
        <v>34273</v>
      </c>
      <c r="AG87" s="8">
        <v>530</v>
      </c>
      <c r="AH87" s="15">
        <v>34273</v>
      </c>
      <c r="AI87" s="8">
        <v>1400</v>
      </c>
      <c r="AJ87" s="15">
        <v>34273</v>
      </c>
      <c r="AK87" s="8">
        <v>1860</v>
      </c>
      <c r="AL87" s="15">
        <v>34273</v>
      </c>
      <c r="AM87" s="8">
        <v>2360</v>
      </c>
      <c r="AN87" s="15">
        <v>34273</v>
      </c>
      <c r="AO87" s="8">
        <v>2030</v>
      </c>
      <c r="AP87" s="5">
        <v>38748</v>
      </c>
      <c r="AQ87" s="4">
        <v>15.683</v>
      </c>
      <c r="AR87" s="11">
        <v>34880</v>
      </c>
      <c r="AS87" s="11">
        <v>34880</v>
      </c>
      <c r="AT87" s="10">
        <v>16.38</v>
      </c>
    </row>
    <row r="88" spans="1:46" x14ac:dyDescent="0.25">
      <c r="A88" s="16">
        <v>20879</v>
      </c>
      <c r="B88" s="1">
        <v>7677</v>
      </c>
      <c r="C88" s="13" t="str">
        <f t="shared" si="1"/>
        <v>91989</v>
      </c>
      <c r="D88" s="2">
        <v>32780</v>
      </c>
      <c r="E88" s="1">
        <v>2579</v>
      </c>
      <c r="F88" s="16">
        <v>36950</v>
      </c>
      <c r="G88" s="1">
        <v>7900</v>
      </c>
      <c r="H88" s="16">
        <v>36950</v>
      </c>
      <c r="I88" s="1">
        <v>3890</v>
      </c>
      <c r="J88" s="16">
        <v>36950</v>
      </c>
      <c r="K88" s="1">
        <v>2127.194</v>
      </c>
      <c r="L88" s="16">
        <v>36950</v>
      </c>
      <c r="M88" s="1">
        <v>1380</v>
      </c>
      <c r="N88" s="16">
        <v>36950</v>
      </c>
      <c r="O88" s="1">
        <v>2146</v>
      </c>
      <c r="P88" s="16">
        <v>36950</v>
      </c>
      <c r="Q88" s="1">
        <v>6749.7039999999997</v>
      </c>
      <c r="R88" s="16">
        <v>36950</v>
      </c>
      <c r="S88" s="1">
        <v>2910</v>
      </c>
      <c r="T88" s="16">
        <v>36950</v>
      </c>
      <c r="U88" s="1">
        <v>3318.94</v>
      </c>
      <c r="V88" s="16">
        <v>36950</v>
      </c>
      <c r="W88" s="1">
        <v>1341.37</v>
      </c>
      <c r="X88" s="15">
        <v>34334</v>
      </c>
      <c r="Y88" s="8">
        <v>24750</v>
      </c>
      <c r="Z88" s="15">
        <v>34303</v>
      </c>
      <c r="AA88" s="8">
        <v>8020</v>
      </c>
      <c r="AB88" s="15">
        <v>34303</v>
      </c>
      <c r="AC88" s="8">
        <v>2160</v>
      </c>
      <c r="AD88" s="15">
        <v>34303</v>
      </c>
      <c r="AE88" s="8">
        <v>3590</v>
      </c>
      <c r="AF88" s="15">
        <v>34303</v>
      </c>
      <c r="AG88" s="8">
        <v>550</v>
      </c>
      <c r="AH88" s="15">
        <v>34303</v>
      </c>
      <c r="AI88" s="8">
        <v>1380</v>
      </c>
      <c r="AJ88" s="15">
        <v>34303</v>
      </c>
      <c r="AK88" s="8">
        <v>1850</v>
      </c>
      <c r="AL88" s="15">
        <v>34303</v>
      </c>
      <c r="AM88" s="8">
        <v>2360</v>
      </c>
      <c r="AN88" s="15">
        <v>34303</v>
      </c>
      <c r="AO88" s="8">
        <v>2030</v>
      </c>
      <c r="AP88" s="5">
        <v>38776</v>
      </c>
      <c r="AQ88" s="4">
        <v>14.047000000000001</v>
      </c>
      <c r="AR88" s="11">
        <v>34911</v>
      </c>
      <c r="AS88" s="11">
        <v>34911</v>
      </c>
      <c r="AT88" s="10">
        <v>16.010000000000002</v>
      </c>
    </row>
    <row r="89" spans="1:46" x14ac:dyDescent="0.25">
      <c r="A89" s="16">
        <v>20910</v>
      </c>
      <c r="B89" s="1">
        <v>7693</v>
      </c>
      <c r="C89" s="13" t="str">
        <f t="shared" si="1"/>
        <v>101989</v>
      </c>
      <c r="D89" s="2">
        <v>32812</v>
      </c>
      <c r="E89" s="1">
        <v>5136</v>
      </c>
      <c r="F89" s="16">
        <v>36981</v>
      </c>
      <c r="G89" s="1">
        <v>7890</v>
      </c>
      <c r="H89" s="16">
        <v>36981</v>
      </c>
      <c r="I89" s="1">
        <v>3820</v>
      </c>
      <c r="J89" s="16">
        <v>36981</v>
      </c>
      <c r="K89" s="1">
        <v>2669.355</v>
      </c>
      <c r="L89" s="16">
        <v>36981</v>
      </c>
      <c r="M89" s="1">
        <v>1385</v>
      </c>
      <c r="N89" s="16">
        <v>36981</v>
      </c>
      <c r="O89" s="1">
        <v>2126</v>
      </c>
      <c r="P89" s="16">
        <v>36981</v>
      </c>
      <c r="Q89" s="1">
        <v>6784.5730000000003</v>
      </c>
      <c r="R89" s="16">
        <v>36981</v>
      </c>
      <c r="S89" s="1">
        <v>2910</v>
      </c>
      <c r="T89" s="16">
        <v>36981</v>
      </c>
      <c r="U89" s="1">
        <v>3366.873</v>
      </c>
      <c r="V89" s="16">
        <v>36981</v>
      </c>
      <c r="W89" s="1">
        <v>1260.27</v>
      </c>
      <c r="X89" s="15">
        <v>34365</v>
      </c>
      <c r="Y89" s="8">
        <v>24820</v>
      </c>
      <c r="Z89" s="15">
        <v>34334</v>
      </c>
      <c r="AA89" s="8">
        <v>8000</v>
      </c>
      <c r="AB89" s="15">
        <v>34334</v>
      </c>
      <c r="AC89" s="8">
        <v>2170</v>
      </c>
      <c r="AD89" s="15">
        <v>34334</v>
      </c>
      <c r="AE89" s="8">
        <v>3650</v>
      </c>
      <c r="AF89" s="15">
        <v>34334</v>
      </c>
      <c r="AG89" s="8">
        <v>540</v>
      </c>
      <c r="AH89" s="15">
        <v>34334</v>
      </c>
      <c r="AI89" s="8">
        <v>1380</v>
      </c>
      <c r="AJ89" s="15">
        <v>34334</v>
      </c>
      <c r="AK89" s="8">
        <v>1900</v>
      </c>
      <c r="AL89" s="15">
        <v>34334</v>
      </c>
      <c r="AM89" s="8">
        <v>2360</v>
      </c>
      <c r="AN89" s="15">
        <v>34334</v>
      </c>
      <c r="AO89" s="8">
        <v>2010</v>
      </c>
      <c r="AP89" s="5">
        <v>38807</v>
      </c>
      <c r="AQ89" s="4">
        <v>15.717000000000001</v>
      </c>
      <c r="AR89" s="11">
        <v>34942</v>
      </c>
      <c r="AS89" s="11">
        <v>34942</v>
      </c>
      <c r="AT89" s="10">
        <v>16.25</v>
      </c>
    </row>
    <row r="90" spans="1:46" x14ac:dyDescent="0.25">
      <c r="A90" s="16">
        <v>20940</v>
      </c>
      <c r="B90" s="1">
        <v>7546</v>
      </c>
      <c r="C90" s="13" t="str">
        <f t="shared" si="1"/>
        <v>111989</v>
      </c>
      <c r="D90" s="2">
        <v>32842</v>
      </c>
      <c r="E90" s="1">
        <v>-3655</v>
      </c>
      <c r="F90" s="16">
        <v>37011</v>
      </c>
      <c r="G90" s="1">
        <v>7620</v>
      </c>
      <c r="H90" s="16">
        <v>37011</v>
      </c>
      <c r="I90" s="1">
        <v>3750</v>
      </c>
      <c r="J90" s="16">
        <v>37011</v>
      </c>
      <c r="K90" s="1">
        <v>2927</v>
      </c>
      <c r="L90" s="16">
        <v>37011</v>
      </c>
      <c r="M90" s="1">
        <v>1380</v>
      </c>
      <c r="N90" s="16">
        <v>37011</v>
      </c>
      <c r="O90" s="1">
        <v>2062</v>
      </c>
      <c r="P90" s="16">
        <v>37011</v>
      </c>
      <c r="Q90" s="1">
        <v>6815.8410000000003</v>
      </c>
      <c r="R90" s="16">
        <v>37011</v>
      </c>
      <c r="S90" s="1">
        <v>2810</v>
      </c>
      <c r="T90" s="16">
        <v>37011</v>
      </c>
      <c r="U90" s="1">
        <v>3292.6930000000002</v>
      </c>
      <c r="V90" s="16">
        <v>37011</v>
      </c>
      <c r="W90" s="1">
        <v>1269.04</v>
      </c>
      <c r="X90" s="15">
        <v>34393</v>
      </c>
      <c r="Y90" s="8">
        <v>24780</v>
      </c>
      <c r="Z90" s="15">
        <v>34365</v>
      </c>
      <c r="AA90" s="8">
        <v>8000</v>
      </c>
      <c r="AB90" s="15">
        <v>34365</v>
      </c>
      <c r="AC90" s="8">
        <v>2160</v>
      </c>
      <c r="AD90" s="15">
        <v>34365</v>
      </c>
      <c r="AE90" s="8">
        <v>3630</v>
      </c>
      <c r="AF90" s="15">
        <v>34365</v>
      </c>
      <c r="AG90" s="8">
        <v>540</v>
      </c>
      <c r="AH90" s="15">
        <v>34365</v>
      </c>
      <c r="AI90" s="8">
        <v>1370</v>
      </c>
      <c r="AJ90" s="15">
        <v>34365</v>
      </c>
      <c r="AK90" s="8">
        <v>1980</v>
      </c>
      <c r="AL90" s="15">
        <v>34365</v>
      </c>
      <c r="AM90" s="8">
        <v>2360</v>
      </c>
      <c r="AN90" s="15">
        <v>34365</v>
      </c>
      <c r="AO90" s="8">
        <v>2000</v>
      </c>
      <c r="AP90" s="5">
        <v>38837</v>
      </c>
      <c r="AQ90" s="4">
        <v>15.125</v>
      </c>
      <c r="AR90" s="11">
        <v>34971</v>
      </c>
      <c r="AS90" s="11">
        <v>34971</v>
      </c>
      <c r="AT90" s="10">
        <v>16.12</v>
      </c>
    </row>
    <row r="91" spans="1:46" x14ac:dyDescent="0.25">
      <c r="A91" s="16">
        <v>20971</v>
      </c>
      <c r="B91" s="1">
        <v>7434</v>
      </c>
      <c r="C91" s="13" t="str">
        <f t="shared" si="1"/>
        <v>121989</v>
      </c>
      <c r="D91" s="2">
        <v>32871</v>
      </c>
      <c r="E91" s="1">
        <v>-1080</v>
      </c>
      <c r="F91" s="16">
        <v>37042</v>
      </c>
      <c r="G91" s="1">
        <v>7680</v>
      </c>
      <c r="H91" s="16">
        <v>37042</v>
      </c>
      <c r="I91" s="1">
        <v>3650</v>
      </c>
      <c r="J91" s="16">
        <v>37042</v>
      </c>
      <c r="K91" s="1">
        <v>2855.806</v>
      </c>
      <c r="L91" s="16">
        <v>37042</v>
      </c>
      <c r="M91" s="1">
        <v>1360</v>
      </c>
      <c r="N91" s="16">
        <v>37042</v>
      </c>
      <c r="O91" s="1">
        <v>2000</v>
      </c>
      <c r="P91" s="16">
        <v>37042</v>
      </c>
      <c r="Q91" s="1">
        <v>6884.5780000000004</v>
      </c>
      <c r="R91" s="16">
        <v>37042</v>
      </c>
      <c r="S91" s="1">
        <v>2780</v>
      </c>
      <c r="T91" s="16">
        <v>37042</v>
      </c>
      <c r="U91" s="1">
        <v>3301.1729999999998</v>
      </c>
      <c r="V91" s="16">
        <v>37042</v>
      </c>
      <c r="W91" s="1">
        <v>1201.18</v>
      </c>
      <c r="X91" s="15">
        <v>34424</v>
      </c>
      <c r="Y91" s="8">
        <v>24880</v>
      </c>
      <c r="Z91" s="15">
        <v>34393</v>
      </c>
      <c r="AA91" s="8">
        <v>8000</v>
      </c>
      <c r="AB91" s="15">
        <v>34393</v>
      </c>
      <c r="AC91" s="8">
        <v>2160</v>
      </c>
      <c r="AD91" s="15">
        <v>34393</v>
      </c>
      <c r="AE91" s="8">
        <v>3580</v>
      </c>
      <c r="AF91" s="15">
        <v>34393</v>
      </c>
      <c r="AG91" s="8">
        <v>520</v>
      </c>
      <c r="AH91" s="15">
        <v>34393</v>
      </c>
      <c r="AI91" s="8">
        <v>1360</v>
      </c>
      <c r="AJ91" s="15">
        <v>34393</v>
      </c>
      <c r="AK91" s="8">
        <v>2000</v>
      </c>
      <c r="AL91" s="15">
        <v>34393</v>
      </c>
      <c r="AM91" s="8">
        <v>2400</v>
      </c>
      <c r="AN91" s="15">
        <v>34393</v>
      </c>
      <c r="AO91" s="8">
        <v>2000</v>
      </c>
      <c r="AP91" s="5">
        <v>38868</v>
      </c>
      <c r="AQ91" s="4">
        <v>15.72</v>
      </c>
      <c r="AR91" s="11">
        <v>35003</v>
      </c>
      <c r="AS91" s="11">
        <v>35003</v>
      </c>
      <c r="AT91" s="10">
        <v>16.329999999999998</v>
      </c>
    </row>
    <row r="92" spans="1:46" x14ac:dyDescent="0.25">
      <c r="A92" s="16">
        <v>21001</v>
      </c>
      <c r="B92" s="1">
        <v>7110</v>
      </c>
      <c r="C92" s="13" t="str">
        <f t="shared" si="1"/>
        <v>11990</v>
      </c>
      <c r="D92" s="2">
        <v>32904</v>
      </c>
      <c r="E92" s="1">
        <v>-2050</v>
      </c>
      <c r="F92" s="16">
        <v>37072</v>
      </c>
      <c r="G92" s="1">
        <v>7750</v>
      </c>
      <c r="H92" s="16">
        <v>37072</v>
      </c>
      <c r="I92" s="1">
        <v>3750</v>
      </c>
      <c r="J92" s="16">
        <v>37072</v>
      </c>
      <c r="K92" s="1">
        <v>883.33299999999997</v>
      </c>
      <c r="L92" s="16">
        <v>37072</v>
      </c>
      <c r="M92" s="1">
        <v>1390</v>
      </c>
      <c r="N92" s="16">
        <v>37072</v>
      </c>
      <c r="O92" s="1">
        <v>1980</v>
      </c>
      <c r="P92" s="16">
        <v>37072</v>
      </c>
      <c r="Q92" s="1">
        <v>7039.9189999999999</v>
      </c>
      <c r="R92" s="16">
        <v>37072</v>
      </c>
      <c r="S92" s="1">
        <v>2810</v>
      </c>
      <c r="T92" s="16">
        <v>37072</v>
      </c>
      <c r="U92" s="1">
        <v>3302.8150000000001</v>
      </c>
      <c r="V92" s="16">
        <v>37072</v>
      </c>
      <c r="W92" s="1">
        <v>1294.3499999999999</v>
      </c>
      <c r="X92" s="15">
        <v>34454</v>
      </c>
      <c r="Y92" s="8">
        <v>24850</v>
      </c>
      <c r="Z92" s="15">
        <v>34424</v>
      </c>
      <c r="AA92" s="8">
        <v>8050</v>
      </c>
      <c r="AB92" s="15">
        <v>34424</v>
      </c>
      <c r="AC92" s="8">
        <v>2170</v>
      </c>
      <c r="AD92" s="15">
        <v>34424</v>
      </c>
      <c r="AE92" s="8">
        <v>3590</v>
      </c>
      <c r="AF92" s="15">
        <v>34424</v>
      </c>
      <c r="AG92" s="8">
        <v>550</v>
      </c>
      <c r="AH92" s="15">
        <v>34424</v>
      </c>
      <c r="AI92" s="8">
        <v>1390</v>
      </c>
      <c r="AJ92" s="15">
        <v>34424</v>
      </c>
      <c r="AK92" s="8">
        <v>2030</v>
      </c>
      <c r="AL92" s="15">
        <v>34424</v>
      </c>
      <c r="AM92" s="8">
        <v>2400</v>
      </c>
      <c r="AN92" s="15">
        <v>34424</v>
      </c>
      <c r="AO92" s="8">
        <v>2000</v>
      </c>
      <c r="AP92" s="5">
        <v>38898</v>
      </c>
      <c r="AQ92" s="4">
        <v>15.315</v>
      </c>
      <c r="AR92" s="11">
        <v>35033</v>
      </c>
      <c r="AS92" s="11">
        <v>35033</v>
      </c>
      <c r="AT92" s="10">
        <v>17.04</v>
      </c>
    </row>
    <row r="93" spans="1:46" x14ac:dyDescent="0.25">
      <c r="A93" s="16">
        <v>21032</v>
      </c>
      <c r="B93" s="1">
        <v>6864</v>
      </c>
      <c r="C93" s="13" t="str">
        <f t="shared" si="1"/>
        <v>21990</v>
      </c>
      <c r="D93" s="2">
        <v>32932</v>
      </c>
      <c r="E93" s="1">
        <v>-4576</v>
      </c>
      <c r="F93" s="16">
        <v>37103</v>
      </c>
      <c r="G93" s="1">
        <v>8091</v>
      </c>
      <c r="H93" s="16">
        <v>37103</v>
      </c>
      <c r="I93" s="1">
        <v>3840</v>
      </c>
      <c r="J93" s="16">
        <v>37103</v>
      </c>
      <c r="K93" s="1">
        <v>2132.5810000000001</v>
      </c>
      <c r="L93" s="16">
        <v>37103</v>
      </c>
      <c r="M93" s="1">
        <v>1390</v>
      </c>
      <c r="N93" s="16">
        <v>37103</v>
      </c>
      <c r="O93" s="1">
        <v>1958</v>
      </c>
      <c r="P93" s="16">
        <v>37103</v>
      </c>
      <c r="Q93" s="1">
        <v>7092.4620000000004</v>
      </c>
      <c r="R93" s="16">
        <v>37103</v>
      </c>
      <c r="S93" s="1">
        <v>2820</v>
      </c>
      <c r="T93" s="16">
        <v>37103</v>
      </c>
      <c r="U93" s="1">
        <v>3252.8989999999999</v>
      </c>
      <c r="V93" s="16">
        <v>37103</v>
      </c>
      <c r="W93" s="1">
        <v>1304.25</v>
      </c>
      <c r="X93" s="15">
        <v>34485</v>
      </c>
      <c r="Y93" s="8">
        <v>24860</v>
      </c>
      <c r="Z93" s="15">
        <v>34454</v>
      </c>
      <c r="AA93" s="8">
        <v>8020</v>
      </c>
      <c r="AB93" s="15">
        <v>34454</v>
      </c>
      <c r="AC93" s="8">
        <v>2160</v>
      </c>
      <c r="AD93" s="15">
        <v>34454</v>
      </c>
      <c r="AE93" s="8">
        <v>3620</v>
      </c>
      <c r="AF93" s="15">
        <v>34454</v>
      </c>
      <c r="AG93" s="8">
        <v>550</v>
      </c>
      <c r="AH93" s="15">
        <v>34454</v>
      </c>
      <c r="AI93" s="8">
        <v>1380</v>
      </c>
      <c r="AJ93" s="15">
        <v>34454</v>
      </c>
      <c r="AK93" s="8">
        <v>1980</v>
      </c>
      <c r="AL93" s="15">
        <v>34454</v>
      </c>
      <c r="AM93" s="8">
        <v>2400</v>
      </c>
      <c r="AN93" s="15">
        <v>34454</v>
      </c>
      <c r="AO93" s="8">
        <v>2000</v>
      </c>
      <c r="AP93" s="5">
        <v>38929</v>
      </c>
      <c r="AQ93" s="4">
        <v>15.736000000000001</v>
      </c>
      <c r="AR93" s="11">
        <v>35062</v>
      </c>
      <c r="AS93" s="11">
        <v>35062</v>
      </c>
      <c r="AT93" s="10">
        <v>18.329999999999998</v>
      </c>
    </row>
    <row r="94" spans="1:46" x14ac:dyDescent="0.25">
      <c r="A94" s="16">
        <v>21063</v>
      </c>
      <c r="B94" s="1">
        <v>6779</v>
      </c>
      <c r="C94" s="13" t="str">
        <f t="shared" si="1"/>
        <v>31990</v>
      </c>
      <c r="D94" s="2">
        <v>32962</v>
      </c>
      <c r="E94" s="1">
        <v>2934</v>
      </c>
      <c r="F94" s="16">
        <v>37134</v>
      </c>
      <c r="G94" s="1">
        <v>7823</v>
      </c>
      <c r="H94" s="16">
        <v>37134</v>
      </c>
      <c r="I94" s="1">
        <v>3750</v>
      </c>
      <c r="J94" s="16">
        <v>37134</v>
      </c>
      <c r="K94" s="1">
        <v>2793.2260000000001</v>
      </c>
      <c r="L94" s="16">
        <v>37134</v>
      </c>
      <c r="M94" s="1">
        <v>1400</v>
      </c>
      <c r="N94" s="16">
        <v>37134</v>
      </c>
      <c r="O94" s="1">
        <v>2067</v>
      </c>
      <c r="P94" s="16">
        <v>37134</v>
      </c>
      <c r="Q94" s="1">
        <v>7150.6090000000004</v>
      </c>
      <c r="R94" s="16">
        <v>37134</v>
      </c>
      <c r="S94" s="1">
        <v>2817.77</v>
      </c>
      <c r="T94" s="16">
        <v>37134</v>
      </c>
      <c r="U94" s="1">
        <v>3293.7089999999998</v>
      </c>
      <c r="V94" s="16">
        <v>37134</v>
      </c>
      <c r="W94" s="1">
        <v>1286.01</v>
      </c>
      <c r="X94" s="15">
        <v>34515</v>
      </c>
      <c r="Y94" s="8">
        <v>24940</v>
      </c>
      <c r="Z94" s="15">
        <v>34485</v>
      </c>
      <c r="AA94" s="8">
        <v>8060</v>
      </c>
      <c r="AB94" s="15">
        <v>34485</v>
      </c>
      <c r="AC94" s="8">
        <v>2160</v>
      </c>
      <c r="AD94" s="15">
        <v>34485</v>
      </c>
      <c r="AE94" s="8">
        <v>3550</v>
      </c>
      <c r="AF94" s="15">
        <v>34485</v>
      </c>
      <c r="AG94" s="8">
        <v>550</v>
      </c>
      <c r="AH94" s="15">
        <v>34485</v>
      </c>
      <c r="AI94" s="8">
        <v>1390</v>
      </c>
      <c r="AJ94" s="15">
        <v>34485</v>
      </c>
      <c r="AK94" s="8">
        <v>1960</v>
      </c>
      <c r="AL94" s="15">
        <v>34485</v>
      </c>
      <c r="AM94" s="8">
        <v>2400</v>
      </c>
      <c r="AN94" s="15">
        <v>34485</v>
      </c>
      <c r="AO94" s="8">
        <v>2020</v>
      </c>
      <c r="AP94" s="5">
        <v>38960</v>
      </c>
      <c r="AQ94" s="4">
        <v>15.542999999999999</v>
      </c>
      <c r="AR94" s="11">
        <v>35095</v>
      </c>
      <c r="AS94" s="11">
        <v>35095</v>
      </c>
      <c r="AT94" s="10">
        <v>16.52</v>
      </c>
    </row>
    <row r="95" spans="1:46" x14ac:dyDescent="0.25">
      <c r="A95" s="16">
        <v>21093</v>
      </c>
      <c r="B95" s="1">
        <v>6893</v>
      </c>
      <c r="C95" s="13" t="str">
        <f t="shared" si="1"/>
        <v>41990</v>
      </c>
      <c r="D95" s="2">
        <v>32993</v>
      </c>
      <c r="E95" s="1">
        <v>4208</v>
      </c>
      <c r="F95" s="16">
        <v>37164</v>
      </c>
      <c r="G95" s="1">
        <v>7600</v>
      </c>
      <c r="H95" s="16">
        <v>37164</v>
      </c>
      <c r="I95" s="1">
        <v>3620</v>
      </c>
      <c r="J95" s="16">
        <v>37164</v>
      </c>
      <c r="K95" s="1">
        <v>2544.6669999999999</v>
      </c>
      <c r="L95" s="16">
        <v>37164</v>
      </c>
      <c r="M95" s="1">
        <v>1340</v>
      </c>
      <c r="N95" s="16">
        <v>37164</v>
      </c>
      <c r="O95" s="1">
        <v>2134</v>
      </c>
      <c r="P95" s="16">
        <v>37164</v>
      </c>
      <c r="Q95" s="1">
        <v>7211.4889999999996</v>
      </c>
      <c r="R95" s="16">
        <v>37164</v>
      </c>
      <c r="S95" s="1">
        <v>2691.9879999999998</v>
      </c>
      <c r="T95" s="16">
        <v>37164</v>
      </c>
      <c r="U95" s="1">
        <v>3278.5059999999999</v>
      </c>
      <c r="V95" s="16">
        <v>37164</v>
      </c>
      <c r="W95" s="1">
        <v>1304.42</v>
      </c>
      <c r="X95" s="15">
        <v>34546</v>
      </c>
      <c r="Y95" s="8">
        <v>24840</v>
      </c>
      <c r="Z95" s="15">
        <v>34515</v>
      </c>
      <c r="AA95" s="8">
        <v>8090</v>
      </c>
      <c r="AB95" s="15">
        <v>34515</v>
      </c>
      <c r="AC95" s="8">
        <v>2160</v>
      </c>
      <c r="AD95" s="15">
        <v>34515</v>
      </c>
      <c r="AE95" s="8">
        <v>3580</v>
      </c>
      <c r="AF95" s="15">
        <v>34515</v>
      </c>
      <c r="AG95" s="8">
        <v>550</v>
      </c>
      <c r="AH95" s="15">
        <v>34515</v>
      </c>
      <c r="AI95" s="8">
        <v>1380</v>
      </c>
      <c r="AJ95" s="15">
        <v>34515</v>
      </c>
      <c r="AK95" s="8">
        <v>1930</v>
      </c>
      <c r="AL95" s="15">
        <v>34515</v>
      </c>
      <c r="AM95" s="8">
        <v>2430</v>
      </c>
      <c r="AN95" s="15">
        <v>34515</v>
      </c>
      <c r="AO95" s="8">
        <v>2020</v>
      </c>
      <c r="AP95" s="5">
        <v>38990</v>
      </c>
      <c r="AQ95" s="4">
        <v>14.994999999999999</v>
      </c>
      <c r="AR95" s="11">
        <v>35124</v>
      </c>
      <c r="AS95" s="11">
        <v>35124</v>
      </c>
      <c r="AT95" s="10">
        <v>17.760000000000002</v>
      </c>
    </row>
    <row r="96" spans="1:46" x14ac:dyDescent="0.25">
      <c r="A96" s="16">
        <v>21124</v>
      </c>
      <c r="B96" s="1">
        <v>6840</v>
      </c>
      <c r="C96" s="13" t="str">
        <f t="shared" si="1"/>
        <v>51990</v>
      </c>
      <c r="D96" s="2">
        <v>33024</v>
      </c>
      <c r="E96" s="1">
        <v>725</v>
      </c>
      <c r="F96" s="16">
        <v>37195</v>
      </c>
      <c r="G96" s="1">
        <v>7450</v>
      </c>
      <c r="H96" s="16">
        <v>37195</v>
      </c>
      <c r="I96" s="1">
        <v>3450</v>
      </c>
      <c r="J96" s="16">
        <v>37195</v>
      </c>
      <c r="K96" s="1">
        <v>2818.0650000000001</v>
      </c>
      <c r="L96" s="16">
        <v>37195</v>
      </c>
      <c r="M96" s="1">
        <v>1310</v>
      </c>
      <c r="N96" s="16">
        <v>37195</v>
      </c>
      <c r="O96" s="1">
        <v>2170</v>
      </c>
      <c r="P96" s="16">
        <v>37195</v>
      </c>
      <c r="Q96" s="1">
        <v>7208.2039999999997</v>
      </c>
      <c r="R96" s="16">
        <v>37195</v>
      </c>
      <c r="S96" s="1">
        <v>2681.9879999999998</v>
      </c>
      <c r="T96" s="16">
        <v>37195</v>
      </c>
      <c r="U96" s="1">
        <v>3304.2109999999998</v>
      </c>
      <c r="V96" s="16">
        <v>37195</v>
      </c>
      <c r="W96" s="1">
        <v>1178.05</v>
      </c>
      <c r="X96" s="15">
        <v>34577</v>
      </c>
      <c r="Y96" s="8">
        <v>24640</v>
      </c>
      <c r="Z96" s="15">
        <v>34546</v>
      </c>
      <c r="AA96" s="8">
        <v>8020</v>
      </c>
      <c r="AB96" s="15">
        <v>34546</v>
      </c>
      <c r="AC96" s="8">
        <v>2200</v>
      </c>
      <c r="AD96" s="15">
        <v>34546</v>
      </c>
      <c r="AE96" s="8">
        <v>3600</v>
      </c>
      <c r="AF96" s="15">
        <v>34546</v>
      </c>
      <c r="AG96" s="8">
        <v>550</v>
      </c>
      <c r="AH96" s="15">
        <v>34546</v>
      </c>
      <c r="AI96" s="8">
        <v>1390</v>
      </c>
      <c r="AJ96" s="15">
        <v>34546</v>
      </c>
      <c r="AK96" s="8">
        <v>1830</v>
      </c>
      <c r="AL96" s="15">
        <v>34546</v>
      </c>
      <c r="AM96" s="8">
        <v>2400</v>
      </c>
      <c r="AN96" s="15">
        <v>34546</v>
      </c>
      <c r="AO96" s="8">
        <v>2000</v>
      </c>
      <c r="AP96" s="5">
        <v>39021</v>
      </c>
      <c r="AQ96" s="4">
        <v>15.499000000000001</v>
      </c>
      <c r="AR96" s="11">
        <v>35153</v>
      </c>
      <c r="AS96" s="11">
        <v>35153</v>
      </c>
      <c r="AT96" s="10">
        <v>19.41</v>
      </c>
    </row>
    <row r="97" spans="1:46" x14ac:dyDescent="0.25">
      <c r="A97" s="16">
        <v>21154</v>
      </c>
      <c r="B97" s="1">
        <v>6842</v>
      </c>
      <c r="C97" s="13" t="str">
        <f t="shared" si="1"/>
        <v>61990</v>
      </c>
      <c r="D97" s="2">
        <v>33053</v>
      </c>
      <c r="E97" s="1">
        <v>1004</v>
      </c>
      <c r="F97" s="16">
        <v>37225</v>
      </c>
      <c r="G97" s="1">
        <v>6980</v>
      </c>
      <c r="H97" s="16">
        <v>37225</v>
      </c>
      <c r="I97" s="1">
        <v>3380</v>
      </c>
      <c r="J97" s="16">
        <v>37225</v>
      </c>
      <c r="K97" s="1">
        <v>2770</v>
      </c>
      <c r="L97" s="16">
        <v>37225</v>
      </c>
      <c r="M97" s="1">
        <v>1290</v>
      </c>
      <c r="N97" s="16">
        <v>37225</v>
      </c>
      <c r="O97" s="1">
        <v>2077</v>
      </c>
      <c r="P97" s="16">
        <v>37225</v>
      </c>
      <c r="Q97" s="1">
        <v>7278.8450000000003</v>
      </c>
      <c r="R97" s="16">
        <v>37225</v>
      </c>
      <c r="S97" s="1">
        <v>2691.9879999999998</v>
      </c>
      <c r="T97" s="16">
        <v>37225</v>
      </c>
      <c r="U97" s="1">
        <v>3306.9760000000001</v>
      </c>
      <c r="V97" s="16">
        <v>37225</v>
      </c>
      <c r="W97" s="1">
        <v>1337.93</v>
      </c>
      <c r="X97" s="15">
        <v>34607</v>
      </c>
      <c r="Y97" s="8">
        <v>25020</v>
      </c>
      <c r="Z97" s="15">
        <v>34577</v>
      </c>
      <c r="AA97" s="8">
        <v>8070</v>
      </c>
      <c r="AB97" s="15">
        <v>34577</v>
      </c>
      <c r="AC97" s="8">
        <v>2190</v>
      </c>
      <c r="AD97" s="15">
        <v>34577</v>
      </c>
      <c r="AE97" s="8">
        <v>3600</v>
      </c>
      <c r="AF97" s="15">
        <v>34577</v>
      </c>
      <c r="AG97" s="8">
        <v>560</v>
      </c>
      <c r="AH97" s="15">
        <v>34577</v>
      </c>
      <c r="AI97" s="8">
        <v>1390</v>
      </c>
      <c r="AJ97" s="15">
        <v>34577</v>
      </c>
      <c r="AK97" s="8">
        <v>1510</v>
      </c>
      <c r="AL97" s="15">
        <v>34577</v>
      </c>
      <c r="AM97" s="8">
        <v>2460</v>
      </c>
      <c r="AN97" s="15">
        <v>34577</v>
      </c>
      <c r="AO97" s="8">
        <v>2020</v>
      </c>
      <c r="AP97" s="5">
        <v>39051</v>
      </c>
      <c r="AQ97" s="4">
        <v>15.090999999999999</v>
      </c>
      <c r="AR97" s="11">
        <v>35185</v>
      </c>
      <c r="AS97" s="11">
        <v>35185</v>
      </c>
      <c r="AT97" s="10">
        <v>19.02</v>
      </c>
    </row>
    <row r="98" spans="1:46" x14ac:dyDescent="0.25">
      <c r="A98" s="16">
        <v>21185</v>
      </c>
      <c r="B98" s="1">
        <v>6924</v>
      </c>
      <c r="C98" s="13" t="str">
        <f t="shared" si="1"/>
        <v>71990</v>
      </c>
      <c r="D98" s="2">
        <v>33085</v>
      </c>
      <c r="E98" s="1">
        <v>4569</v>
      </c>
      <c r="F98" s="16">
        <v>37256</v>
      </c>
      <c r="G98" s="1">
        <v>7280</v>
      </c>
      <c r="H98" s="16">
        <v>37256</v>
      </c>
      <c r="I98" s="1">
        <v>3400</v>
      </c>
      <c r="J98" s="16">
        <v>37256</v>
      </c>
      <c r="K98" s="1">
        <v>1999.0319999999999</v>
      </c>
      <c r="L98" s="16">
        <v>37256</v>
      </c>
      <c r="M98" s="1">
        <v>1300</v>
      </c>
      <c r="N98" s="16">
        <v>37256</v>
      </c>
      <c r="O98" s="1">
        <v>2094</v>
      </c>
      <c r="P98" s="16">
        <v>37256</v>
      </c>
      <c r="Q98" s="1">
        <v>7225.7939999999999</v>
      </c>
      <c r="R98" s="16">
        <v>37256</v>
      </c>
      <c r="S98" s="1">
        <v>2681.9879999999998</v>
      </c>
      <c r="T98" s="16">
        <v>37256</v>
      </c>
      <c r="U98" s="1">
        <v>3263.0720000000001</v>
      </c>
      <c r="V98" s="16">
        <v>37256</v>
      </c>
      <c r="W98" s="1">
        <v>1422.55</v>
      </c>
      <c r="X98" s="15">
        <v>34638</v>
      </c>
      <c r="Y98" s="8">
        <v>25260</v>
      </c>
      <c r="Z98" s="15">
        <v>34607</v>
      </c>
      <c r="AA98" s="8">
        <v>8050</v>
      </c>
      <c r="AB98" s="15">
        <v>34607</v>
      </c>
      <c r="AC98" s="8">
        <v>2180</v>
      </c>
      <c r="AD98" s="15">
        <v>34607</v>
      </c>
      <c r="AE98" s="8">
        <v>3650</v>
      </c>
      <c r="AF98" s="15">
        <v>34607</v>
      </c>
      <c r="AG98" s="8">
        <v>560</v>
      </c>
      <c r="AH98" s="15">
        <v>34607</v>
      </c>
      <c r="AI98" s="8">
        <v>1370</v>
      </c>
      <c r="AJ98" s="15">
        <v>34607</v>
      </c>
      <c r="AK98" s="8">
        <v>1850</v>
      </c>
      <c r="AL98" s="15">
        <v>34607</v>
      </c>
      <c r="AM98" s="8">
        <v>2480</v>
      </c>
      <c r="AN98" s="15">
        <v>34607</v>
      </c>
      <c r="AO98" s="8">
        <v>2050</v>
      </c>
      <c r="AP98" s="5">
        <v>39082</v>
      </c>
      <c r="AQ98" s="4">
        <v>15.252000000000001</v>
      </c>
      <c r="AR98" s="11">
        <v>35216</v>
      </c>
      <c r="AS98" s="11">
        <v>35216</v>
      </c>
      <c r="AT98" s="10">
        <v>17.8</v>
      </c>
    </row>
    <row r="99" spans="1:46" x14ac:dyDescent="0.25">
      <c r="A99" s="16">
        <v>21216</v>
      </c>
      <c r="B99" s="1">
        <v>6880</v>
      </c>
      <c r="C99" s="13" t="str">
        <f t="shared" si="1"/>
        <v>81990</v>
      </c>
      <c r="D99" s="2">
        <v>33116</v>
      </c>
      <c r="E99" s="1">
        <v>-5247</v>
      </c>
      <c r="F99" s="16">
        <v>37287</v>
      </c>
      <c r="G99" s="1">
        <v>6900</v>
      </c>
      <c r="H99" s="16">
        <v>37287</v>
      </c>
      <c r="I99" s="1">
        <v>3424</v>
      </c>
      <c r="J99" s="16">
        <v>37287</v>
      </c>
      <c r="K99" s="1">
        <v>2256.7739999999999</v>
      </c>
      <c r="L99" s="16">
        <v>37287</v>
      </c>
      <c r="M99" s="1">
        <v>1270</v>
      </c>
      <c r="N99" s="16">
        <v>37287</v>
      </c>
      <c r="O99" s="1">
        <v>2017</v>
      </c>
      <c r="P99" s="16">
        <v>37287</v>
      </c>
      <c r="Q99" s="1">
        <v>7262.8890000000001</v>
      </c>
      <c r="R99" s="16">
        <v>37287</v>
      </c>
      <c r="S99" s="1">
        <v>2557.471</v>
      </c>
      <c r="T99" s="16">
        <v>37287</v>
      </c>
      <c r="U99" s="1">
        <v>3323.9470000000001</v>
      </c>
      <c r="V99" s="16">
        <v>37287</v>
      </c>
      <c r="W99" s="1">
        <v>1441.83</v>
      </c>
      <c r="X99" s="15">
        <v>34668</v>
      </c>
      <c r="Y99" s="8">
        <v>25160</v>
      </c>
      <c r="Z99" s="15">
        <v>34638</v>
      </c>
      <c r="AA99" s="8">
        <v>8060</v>
      </c>
      <c r="AB99" s="15">
        <v>34638</v>
      </c>
      <c r="AC99" s="8">
        <v>2160</v>
      </c>
      <c r="AD99" s="15">
        <v>34638</v>
      </c>
      <c r="AE99" s="8">
        <v>3750</v>
      </c>
      <c r="AF99" s="15">
        <v>34638</v>
      </c>
      <c r="AG99" s="8">
        <v>560</v>
      </c>
      <c r="AH99" s="15">
        <v>34638</v>
      </c>
      <c r="AI99" s="8">
        <v>1370</v>
      </c>
      <c r="AJ99" s="15">
        <v>34638</v>
      </c>
      <c r="AK99" s="8">
        <v>2050</v>
      </c>
      <c r="AL99" s="15">
        <v>34638</v>
      </c>
      <c r="AM99" s="8">
        <v>2480</v>
      </c>
      <c r="AN99" s="15">
        <v>34638</v>
      </c>
      <c r="AO99" s="8">
        <v>2040</v>
      </c>
      <c r="AP99" s="5">
        <v>39113</v>
      </c>
      <c r="AQ99" s="4">
        <v>16.099</v>
      </c>
      <c r="AR99" s="11">
        <v>35244</v>
      </c>
      <c r="AS99" s="11">
        <v>35244</v>
      </c>
      <c r="AT99" s="10">
        <v>18.91</v>
      </c>
    </row>
    <row r="100" spans="1:46" x14ac:dyDescent="0.25">
      <c r="A100" s="16">
        <v>21244</v>
      </c>
      <c r="B100" s="1">
        <v>6820</v>
      </c>
      <c r="C100" s="13" t="str">
        <f t="shared" si="1"/>
        <v>91990</v>
      </c>
      <c r="D100" s="2">
        <v>33144</v>
      </c>
      <c r="E100" s="1">
        <v>-9827</v>
      </c>
      <c r="F100" s="16">
        <v>37315</v>
      </c>
      <c r="G100" s="1">
        <v>7200</v>
      </c>
      <c r="H100" s="16">
        <v>37315</v>
      </c>
      <c r="I100" s="1">
        <v>3365</v>
      </c>
      <c r="J100" s="16">
        <v>37315</v>
      </c>
      <c r="K100" s="1">
        <v>2457.143</v>
      </c>
      <c r="L100" s="16">
        <v>37315</v>
      </c>
      <c r="M100" s="1">
        <v>1270</v>
      </c>
      <c r="N100" s="16">
        <v>37315</v>
      </c>
      <c r="O100" s="1">
        <v>1867</v>
      </c>
      <c r="P100" s="16">
        <v>37315</v>
      </c>
      <c r="Q100" s="1">
        <v>7361.8130000000001</v>
      </c>
      <c r="R100" s="16">
        <v>37315</v>
      </c>
      <c r="S100" s="1">
        <v>2496.0419999999999</v>
      </c>
      <c r="T100" s="16">
        <v>37315</v>
      </c>
      <c r="U100" s="1">
        <v>3288.4520000000002</v>
      </c>
      <c r="V100" s="16">
        <v>37315</v>
      </c>
      <c r="W100" s="1">
        <v>1434.93</v>
      </c>
      <c r="X100" s="15">
        <v>34699</v>
      </c>
      <c r="Y100" s="8">
        <v>25140</v>
      </c>
      <c r="Z100" s="15">
        <v>34668</v>
      </c>
      <c r="AA100" s="8">
        <v>8090</v>
      </c>
      <c r="AB100" s="15">
        <v>34668</v>
      </c>
      <c r="AC100" s="8">
        <v>2160</v>
      </c>
      <c r="AD100" s="15">
        <v>34668</v>
      </c>
      <c r="AE100" s="8">
        <v>3600</v>
      </c>
      <c r="AF100" s="15">
        <v>34668</v>
      </c>
      <c r="AG100" s="8">
        <v>600</v>
      </c>
      <c r="AH100" s="15">
        <v>34668</v>
      </c>
      <c r="AI100" s="8">
        <v>1380</v>
      </c>
      <c r="AJ100" s="15">
        <v>34668</v>
      </c>
      <c r="AK100" s="8">
        <v>1930</v>
      </c>
      <c r="AL100" s="15">
        <v>34668</v>
      </c>
      <c r="AM100" s="8">
        <v>2490</v>
      </c>
      <c r="AN100" s="15">
        <v>34668</v>
      </c>
      <c r="AO100" s="8">
        <v>2050</v>
      </c>
      <c r="AP100" s="5">
        <v>39141</v>
      </c>
      <c r="AQ100" s="4">
        <v>14.340999999999999</v>
      </c>
      <c r="AR100" s="11">
        <v>35277</v>
      </c>
      <c r="AS100" s="11">
        <v>35277</v>
      </c>
      <c r="AT100" s="10">
        <v>18.899999999999999</v>
      </c>
    </row>
    <row r="101" spans="1:46" x14ac:dyDescent="0.25">
      <c r="A101" s="16">
        <v>21275</v>
      </c>
      <c r="B101" s="1">
        <v>6277</v>
      </c>
      <c r="C101" s="13" t="str">
        <f t="shared" si="1"/>
        <v>101990</v>
      </c>
      <c r="D101" s="2">
        <v>33177</v>
      </c>
      <c r="E101" s="1">
        <v>1242</v>
      </c>
      <c r="F101" s="16">
        <v>37346</v>
      </c>
      <c r="G101" s="1">
        <v>7105</v>
      </c>
      <c r="H101" s="16">
        <v>37346</v>
      </c>
      <c r="I101" s="1">
        <v>3295</v>
      </c>
      <c r="J101" s="16">
        <v>37346</v>
      </c>
      <c r="K101" s="1">
        <v>2425.806</v>
      </c>
      <c r="L101" s="16">
        <v>37346</v>
      </c>
      <c r="M101" s="1">
        <v>1300</v>
      </c>
      <c r="N101" s="16">
        <v>37346</v>
      </c>
      <c r="O101" s="1">
        <v>1888</v>
      </c>
      <c r="P101" s="16">
        <v>37346</v>
      </c>
      <c r="Q101" s="1">
        <v>7411.4120000000003</v>
      </c>
      <c r="R101" s="16">
        <v>37346</v>
      </c>
      <c r="S101" s="1">
        <v>2407.9749999999999</v>
      </c>
      <c r="T101" s="16">
        <v>37346</v>
      </c>
      <c r="U101" s="1">
        <v>3308.3110000000001</v>
      </c>
      <c r="V101" s="16">
        <v>37346</v>
      </c>
      <c r="W101" s="1">
        <v>1456.32</v>
      </c>
      <c r="X101" s="15">
        <v>34730</v>
      </c>
      <c r="Y101" s="8">
        <v>25200</v>
      </c>
      <c r="Z101" s="15">
        <v>34699</v>
      </c>
      <c r="AA101" s="8">
        <v>8050</v>
      </c>
      <c r="AB101" s="15">
        <v>34699</v>
      </c>
      <c r="AC101" s="8">
        <v>2180</v>
      </c>
      <c r="AD101" s="15">
        <v>34699</v>
      </c>
      <c r="AE101" s="8">
        <v>3600</v>
      </c>
      <c r="AF101" s="15">
        <v>34699</v>
      </c>
      <c r="AG101" s="8">
        <v>630</v>
      </c>
      <c r="AH101" s="15">
        <v>34699</v>
      </c>
      <c r="AI101" s="8">
        <v>1380</v>
      </c>
      <c r="AJ101" s="15">
        <v>34699</v>
      </c>
      <c r="AK101" s="8">
        <v>1930</v>
      </c>
      <c r="AL101" s="15">
        <v>34699</v>
      </c>
      <c r="AM101" s="8">
        <v>2490</v>
      </c>
      <c r="AN101" s="15">
        <v>34699</v>
      </c>
      <c r="AO101" s="8">
        <v>2040</v>
      </c>
      <c r="AP101" s="5">
        <v>39172</v>
      </c>
      <c r="AQ101" s="4">
        <v>15.647</v>
      </c>
      <c r="AR101" s="11">
        <v>35307</v>
      </c>
      <c r="AS101" s="11">
        <v>35307</v>
      </c>
      <c r="AT101" s="10">
        <v>20.78</v>
      </c>
    </row>
    <row r="102" spans="1:46" x14ac:dyDescent="0.25">
      <c r="A102" s="16">
        <v>21305</v>
      </c>
      <c r="B102" s="1">
        <v>6300</v>
      </c>
      <c r="C102" s="13" t="str">
        <f t="shared" si="1"/>
        <v>111990</v>
      </c>
      <c r="D102" s="2">
        <v>33207</v>
      </c>
      <c r="E102" s="1">
        <v>2587</v>
      </c>
      <c r="F102" s="16">
        <v>37376</v>
      </c>
      <c r="G102" s="1">
        <v>7140</v>
      </c>
      <c r="H102" s="16">
        <v>37376</v>
      </c>
      <c r="I102" s="1">
        <v>3333</v>
      </c>
      <c r="J102" s="16">
        <v>37376</v>
      </c>
      <c r="K102" s="1">
        <v>1223.3330000000001</v>
      </c>
      <c r="L102" s="16">
        <v>37376</v>
      </c>
      <c r="M102" s="1">
        <v>1290</v>
      </c>
      <c r="N102" s="16">
        <v>37376</v>
      </c>
      <c r="O102" s="1">
        <v>1919</v>
      </c>
      <c r="P102" s="16">
        <v>37376</v>
      </c>
      <c r="Q102" s="1">
        <v>7421.7820000000002</v>
      </c>
      <c r="R102" s="16">
        <v>37376</v>
      </c>
      <c r="S102" s="1">
        <v>2135.4250000000002</v>
      </c>
      <c r="T102" s="16">
        <v>37376</v>
      </c>
      <c r="U102" s="1">
        <v>3291.7660000000001</v>
      </c>
      <c r="V102" s="16">
        <v>37376</v>
      </c>
      <c r="W102" s="1">
        <v>1469.05</v>
      </c>
      <c r="X102" s="15">
        <v>34758</v>
      </c>
      <c r="Y102" s="8">
        <v>25180</v>
      </c>
      <c r="Z102" s="15">
        <v>34730</v>
      </c>
      <c r="AA102" s="8">
        <v>8100</v>
      </c>
      <c r="AB102" s="15">
        <v>34730</v>
      </c>
      <c r="AC102" s="8">
        <v>2190</v>
      </c>
      <c r="AD102" s="15">
        <v>34730</v>
      </c>
      <c r="AE102" s="8">
        <v>3650</v>
      </c>
      <c r="AF102" s="15">
        <v>34730</v>
      </c>
      <c r="AG102" s="8">
        <v>650</v>
      </c>
      <c r="AH102" s="15">
        <v>34730</v>
      </c>
      <c r="AI102" s="8">
        <v>1390</v>
      </c>
      <c r="AJ102" s="15">
        <v>34730</v>
      </c>
      <c r="AK102" s="8">
        <v>1870</v>
      </c>
      <c r="AL102" s="15">
        <v>34730</v>
      </c>
      <c r="AM102" s="8">
        <v>2490</v>
      </c>
      <c r="AN102" s="15">
        <v>34730</v>
      </c>
      <c r="AO102" s="8">
        <v>2030</v>
      </c>
      <c r="AP102" s="5">
        <v>39202</v>
      </c>
      <c r="AQ102" s="4">
        <v>15.407</v>
      </c>
      <c r="AR102" s="11">
        <v>35338</v>
      </c>
      <c r="AS102" s="11">
        <v>35338</v>
      </c>
      <c r="AT102" s="10">
        <v>23.21</v>
      </c>
    </row>
    <row r="103" spans="1:46" x14ac:dyDescent="0.25">
      <c r="A103" s="16">
        <v>21336</v>
      </c>
      <c r="B103" s="1">
        <v>6232</v>
      </c>
      <c r="C103" s="13" t="str">
        <f t="shared" si="1"/>
        <v>121990</v>
      </c>
      <c r="D103" s="2">
        <v>33238</v>
      </c>
      <c r="E103" s="1">
        <v>-6072</v>
      </c>
      <c r="F103" s="16">
        <v>37407</v>
      </c>
      <c r="G103" s="1">
        <v>7300</v>
      </c>
      <c r="H103" s="16">
        <v>37407</v>
      </c>
      <c r="I103" s="1">
        <v>3325</v>
      </c>
      <c r="J103" s="16">
        <v>37407</v>
      </c>
      <c r="K103" s="1">
        <v>1756.452</v>
      </c>
      <c r="L103" s="16">
        <v>37407</v>
      </c>
      <c r="M103" s="1">
        <v>1310</v>
      </c>
      <c r="N103" s="16">
        <v>37407</v>
      </c>
      <c r="O103" s="1">
        <v>1950</v>
      </c>
      <c r="P103" s="16">
        <v>37407</v>
      </c>
      <c r="Q103" s="1">
        <v>7534.3770000000004</v>
      </c>
      <c r="R103" s="16">
        <v>37407</v>
      </c>
      <c r="S103" s="1">
        <v>2202.1080000000002</v>
      </c>
      <c r="T103" s="16">
        <v>37407</v>
      </c>
      <c r="U103" s="1">
        <v>3326.9850000000001</v>
      </c>
      <c r="V103" s="16">
        <v>37407</v>
      </c>
      <c r="W103" s="1">
        <v>1482.09</v>
      </c>
      <c r="X103" s="15">
        <v>34789</v>
      </c>
      <c r="Y103" s="8">
        <v>25100</v>
      </c>
      <c r="Z103" s="15">
        <v>34758</v>
      </c>
      <c r="AA103" s="8">
        <v>8100</v>
      </c>
      <c r="AB103" s="15">
        <v>34758</v>
      </c>
      <c r="AC103" s="8">
        <v>2180</v>
      </c>
      <c r="AD103" s="15">
        <v>34758</v>
      </c>
      <c r="AE103" s="8">
        <v>3630</v>
      </c>
      <c r="AF103" s="15">
        <v>34758</v>
      </c>
      <c r="AG103" s="8">
        <v>630</v>
      </c>
      <c r="AH103" s="15">
        <v>34758</v>
      </c>
      <c r="AI103" s="8">
        <v>1390</v>
      </c>
      <c r="AJ103" s="15">
        <v>34758</v>
      </c>
      <c r="AK103" s="8">
        <v>1900</v>
      </c>
      <c r="AL103" s="15">
        <v>34758</v>
      </c>
      <c r="AM103" s="8">
        <v>2490</v>
      </c>
      <c r="AN103" s="15">
        <v>34758</v>
      </c>
      <c r="AO103" s="8">
        <v>2040</v>
      </c>
      <c r="AP103" s="5">
        <v>39233</v>
      </c>
      <c r="AQ103" s="4">
        <v>16.055</v>
      </c>
      <c r="AR103" s="11">
        <v>35369</v>
      </c>
      <c r="AS103" s="11">
        <v>35369</v>
      </c>
      <c r="AT103" s="10">
        <v>22.67</v>
      </c>
    </row>
    <row r="104" spans="1:46" x14ac:dyDescent="0.25">
      <c r="A104" s="16">
        <v>21366</v>
      </c>
      <c r="B104" s="1">
        <v>6339</v>
      </c>
      <c r="C104" s="13" t="str">
        <f t="shared" si="1"/>
        <v>11991</v>
      </c>
      <c r="D104" s="2">
        <v>33269</v>
      </c>
      <c r="E104" s="1">
        <v>-8</v>
      </c>
      <c r="F104" s="16">
        <v>37437</v>
      </c>
      <c r="G104" s="1">
        <v>7250</v>
      </c>
      <c r="H104" s="16">
        <v>37437</v>
      </c>
      <c r="I104" s="1">
        <v>3257</v>
      </c>
      <c r="J104" s="16">
        <v>37437</v>
      </c>
      <c r="K104" s="1">
        <v>1643.3330000000001</v>
      </c>
      <c r="L104" s="16">
        <v>37437</v>
      </c>
      <c r="M104" s="1">
        <v>1320</v>
      </c>
      <c r="N104" s="16">
        <v>37437</v>
      </c>
      <c r="O104" s="1">
        <v>1930</v>
      </c>
      <c r="P104" s="16">
        <v>37437</v>
      </c>
      <c r="Q104" s="1">
        <v>7624.6009999999997</v>
      </c>
      <c r="R104" s="16">
        <v>37437</v>
      </c>
      <c r="S104" s="1">
        <v>2204.8589999999999</v>
      </c>
      <c r="T104" s="16">
        <v>37437</v>
      </c>
      <c r="U104" s="1">
        <v>3373.9760000000001</v>
      </c>
      <c r="V104" s="16">
        <v>37437</v>
      </c>
      <c r="W104" s="1">
        <v>1502.43</v>
      </c>
      <c r="X104" s="15">
        <v>34819</v>
      </c>
      <c r="Y104" s="8">
        <v>25190</v>
      </c>
      <c r="Z104" s="15">
        <v>34789</v>
      </c>
      <c r="AA104" s="8">
        <v>8110</v>
      </c>
      <c r="AB104" s="15">
        <v>34789</v>
      </c>
      <c r="AC104" s="8">
        <v>2190</v>
      </c>
      <c r="AD104" s="15">
        <v>34789</v>
      </c>
      <c r="AE104" s="8">
        <v>3550</v>
      </c>
      <c r="AF104" s="15">
        <v>34789</v>
      </c>
      <c r="AG104" s="8">
        <v>630</v>
      </c>
      <c r="AH104" s="15">
        <v>34789</v>
      </c>
      <c r="AI104" s="8">
        <v>1390</v>
      </c>
      <c r="AJ104" s="15">
        <v>34789</v>
      </c>
      <c r="AK104" s="8">
        <v>1860</v>
      </c>
      <c r="AL104" s="15">
        <v>34789</v>
      </c>
      <c r="AM104" s="8">
        <v>2500</v>
      </c>
      <c r="AN104" s="15">
        <v>34789</v>
      </c>
      <c r="AO104" s="8">
        <v>2030</v>
      </c>
      <c r="AP104" s="5">
        <v>39263</v>
      </c>
      <c r="AQ104" s="4">
        <v>15.722</v>
      </c>
      <c r="AR104" s="11">
        <v>35398</v>
      </c>
      <c r="AS104" s="11">
        <v>35398</v>
      </c>
      <c r="AT104" s="10">
        <v>22.77</v>
      </c>
    </row>
    <row r="105" spans="1:46" x14ac:dyDescent="0.25">
      <c r="A105" s="16">
        <v>21397</v>
      </c>
      <c r="B105" s="1">
        <v>6571</v>
      </c>
      <c r="C105" s="13" t="str">
        <f t="shared" si="1"/>
        <v>21991</v>
      </c>
      <c r="D105" s="2">
        <v>33297</v>
      </c>
      <c r="E105" s="1">
        <v>-1095</v>
      </c>
      <c r="F105" s="16">
        <v>37468</v>
      </c>
      <c r="G105" s="1">
        <v>7400</v>
      </c>
      <c r="H105" s="16">
        <v>37468</v>
      </c>
      <c r="I105" s="1">
        <v>3560</v>
      </c>
      <c r="J105" s="16">
        <v>37468</v>
      </c>
      <c r="K105" s="1">
        <v>1827.4190000000001</v>
      </c>
      <c r="L105" s="16">
        <v>37468</v>
      </c>
      <c r="M105" s="1">
        <v>1330</v>
      </c>
      <c r="N105" s="16">
        <v>37468</v>
      </c>
      <c r="O105" s="1">
        <v>1973</v>
      </c>
      <c r="P105" s="16">
        <v>37468</v>
      </c>
      <c r="Q105" s="1">
        <v>7685.415</v>
      </c>
      <c r="R105" s="16">
        <v>37468</v>
      </c>
      <c r="S105" s="1">
        <v>2657.585</v>
      </c>
      <c r="T105" s="16">
        <v>37468</v>
      </c>
      <c r="U105" s="1">
        <v>3356.0880000000002</v>
      </c>
      <c r="V105" s="16">
        <v>37468</v>
      </c>
      <c r="W105" s="1">
        <v>1453.57</v>
      </c>
      <c r="X105" s="15">
        <v>34850</v>
      </c>
      <c r="Y105" s="8">
        <v>25290</v>
      </c>
      <c r="Z105" s="15">
        <v>34819</v>
      </c>
      <c r="AA105" s="8">
        <v>8060</v>
      </c>
      <c r="AB105" s="15">
        <v>34819</v>
      </c>
      <c r="AC105" s="8">
        <v>2200</v>
      </c>
      <c r="AD105" s="15">
        <v>34819</v>
      </c>
      <c r="AE105" s="8">
        <v>3580</v>
      </c>
      <c r="AF105" s="15">
        <v>34819</v>
      </c>
      <c r="AG105" s="8">
        <v>610</v>
      </c>
      <c r="AH105" s="15">
        <v>34819</v>
      </c>
      <c r="AI105" s="8">
        <v>1420</v>
      </c>
      <c r="AJ105" s="15">
        <v>34819</v>
      </c>
      <c r="AK105" s="8">
        <v>1890</v>
      </c>
      <c r="AL105" s="15">
        <v>34819</v>
      </c>
      <c r="AM105" s="8">
        <v>2510</v>
      </c>
      <c r="AN105" s="15">
        <v>34819</v>
      </c>
      <c r="AO105" s="8">
        <v>2030</v>
      </c>
      <c r="AP105" s="5">
        <v>39294</v>
      </c>
      <c r="AQ105" s="4">
        <v>15.47</v>
      </c>
      <c r="AR105" s="11">
        <v>35430</v>
      </c>
      <c r="AS105" s="11">
        <v>35430</v>
      </c>
      <c r="AT105" s="10">
        <v>23.81</v>
      </c>
    </row>
    <row r="106" spans="1:46" x14ac:dyDescent="0.25">
      <c r="A106" s="16">
        <v>21428</v>
      </c>
      <c r="B106" s="1">
        <v>6936</v>
      </c>
      <c r="C106" s="13" t="str">
        <f t="shared" si="1"/>
        <v>31991</v>
      </c>
      <c r="D106" s="2">
        <v>33326</v>
      </c>
      <c r="E106" s="1">
        <v>4737</v>
      </c>
      <c r="F106" s="16">
        <v>37499</v>
      </c>
      <c r="G106" s="1">
        <v>7450</v>
      </c>
      <c r="H106" s="16">
        <v>37499</v>
      </c>
      <c r="I106" s="1">
        <v>3350</v>
      </c>
      <c r="J106" s="16">
        <v>37499</v>
      </c>
      <c r="K106" s="1">
        <v>1542.627</v>
      </c>
      <c r="L106" s="16">
        <v>37499</v>
      </c>
      <c r="M106" s="1">
        <v>1340</v>
      </c>
      <c r="N106" s="16">
        <v>37499</v>
      </c>
      <c r="O106" s="1">
        <v>1991</v>
      </c>
      <c r="P106" s="16">
        <v>37499</v>
      </c>
      <c r="Q106" s="1">
        <v>7820.0159999999996</v>
      </c>
      <c r="R106" s="16">
        <v>37499</v>
      </c>
      <c r="S106" s="1">
        <v>2790.395</v>
      </c>
      <c r="T106" s="16">
        <v>37499</v>
      </c>
      <c r="U106" s="1">
        <v>3446.94</v>
      </c>
      <c r="V106" s="16">
        <v>37499</v>
      </c>
      <c r="W106" s="1">
        <v>1504.01</v>
      </c>
      <c r="X106" s="15">
        <v>34880</v>
      </c>
      <c r="Y106" s="8">
        <v>25270</v>
      </c>
      <c r="Z106" s="15">
        <v>34850</v>
      </c>
      <c r="AA106" s="8">
        <v>8030</v>
      </c>
      <c r="AB106" s="15">
        <v>34850</v>
      </c>
      <c r="AC106" s="8">
        <v>2210</v>
      </c>
      <c r="AD106" s="15">
        <v>34850</v>
      </c>
      <c r="AE106" s="8">
        <v>3700</v>
      </c>
      <c r="AF106" s="15">
        <v>34850</v>
      </c>
      <c r="AG106" s="8">
        <v>600</v>
      </c>
      <c r="AH106" s="15">
        <v>34850</v>
      </c>
      <c r="AI106" s="8">
        <v>1410</v>
      </c>
      <c r="AJ106" s="15">
        <v>34850</v>
      </c>
      <c r="AK106" s="8">
        <v>1940</v>
      </c>
      <c r="AL106" s="15">
        <v>34850</v>
      </c>
      <c r="AM106" s="8">
        <v>2500</v>
      </c>
      <c r="AN106" s="15">
        <v>34850</v>
      </c>
      <c r="AO106" s="8">
        <v>2030</v>
      </c>
      <c r="AP106" s="5">
        <v>39325</v>
      </c>
      <c r="AQ106" s="4">
        <v>15.91</v>
      </c>
      <c r="AR106" s="11">
        <v>35461</v>
      </c>
      <c r="AS106" s="11">
        <v>35461</v>
      </c>
      <c r="AT106" s="10">
        <v>22.52</v>
      </c>
    </row>
    <row r="107" spans="1:46" x14ac:dyDescent="0.25">
      <c r="A107" s="16">
        <v>21458</v>
      </c>
      <c r="B107" s="1">
        <v>7088</v>
      </c>
      <c r="C107" s="13" t="str">
        <f t="shared" si="1"/>
        <v>41991</v>
      </c>
      <c r="D107" s="2">
        <v>33358</v>
      </c>
      <c r="E107" s="1">
        <v>5544</v>
      </c>
      <c r="F107" s="16">
        <v>37529</v>
      </c>
      <c r="G107" s="1">
        <v>7600</v>
      </c>
      <c r="H107" s="16">
        <v>37529</v>
      </c>
      <c r="I107" s="1">
        <v>3494</v>
      </c>
      <c r="J107" s="16">
        <v>37529</v>
      </c>
      <c r="K107" s="1">
        <v>1884.2860000000001</v>
      </c>
      <c r="L107" s="16">
        <v>37529</v>
      </c>
      <c r="M107" s="1">
        <v>1340</v>
      </c>
      <c r="N107" s="16">
        <v>37529</v>
      </c>
      <c r="O107" s="1">
        <v>2013</v>
      </c>
      <c r="P107" s="16">
        <v>37529</v>
      </c>
      <c r="Q107" s="1">
        <v>7948.6859999999997</v>
      </c>
      <c r="R107" s="16">
        <v>37529</v>
      </c>
      <c r="S107" s="1">
        <v>2516.1469999999999</v>
      </c>
      <c r="T107" s="16">
        <v>37529</v>
      </c>
      <c r="U107" s="1">
        <v>3388.538</v>
      </c>
      <c r="V107" s="16">
        <v>37529</v>
      </c>
      <c r="W107" s="1">
        <v>1485.64</v>
      </c>
      <c r="X107" s="15">
        <v>34911</v>
      </c>
      <c r="Y107" s="8">
        <v>25290</v>
      </c>
      <c r="Z107" s="15">
        <v>34880</v>
      </c>
      <c r="AA107" s="8">
        <v>8070</v>
      </c>
      <c r="AB107" s="15">
        <v>34880</v>
      </c>
      <c r="AC107" s="8">
        <v>2180</v>
      </c>
      <c r="AD107" s="15">
        <v>34880</v>
      </c>
      <c r="AE107" s="8">
        <v>3570</v>
      </c>
      <c r="AF107" s="15">
        <v>34880</v>
      </c>
      <c r="AG107" s="8">
        <v>600</v>
      </c>
      <c r="AH107" s="15">
        <v>34880</v>
      </c>
      <c r="AI107" s="8">
        <v>1400</v>
      </c>
      <c r="AJ107" s="15">
        <v>34880</v>
      </c>
      <c r="AK107" s="8">
        <v>1910</v>
      </c>
      <c r="AL107" s="15">
        <v>34880</v>
      </c>
      <c r="AM107" s="8">
        <v>2580</v>
      </c>
      <c r="AN107" s="15">
        <v>34880</v>
      </c>
      <c r="AO107" s="8">
        <v>2050</v>
      </c>
      <c r="AP107" s="5">
        <v>39355</v>
      </c>
      <c r="AQ107" s="4">
        <v>15.271000000000001</v>
      </c>
      <c r="AR107" s="11">
        <v>35489</v>
      </c>
      <c r="AS107" s="11">
        <v>35489</v>
      </c>
      <c r="AT107" s="10">
        <v>18.850000000000001</v>
      </c>
    </row>
    <row r="108" spans="1:46" x14ac:dyDescent="0.25">
      <c r="A108" s="16">
        <v>21489</v>
      </c>
      <c r="B108" s="1">
        <v>6964</v>
      </c>
      <c r="C108" s="13" t="str">
        <f t="shared" si="1"/>
        <v>51991</v>
      </c>
      <c r="D108" s="2">
        <v>33389</v>
      </c>
      <c r="E108" s="1">
        <v>6877</v>
      </c>
      <c r="F108" s="16">
        <v>37560</v>
      </c>
      <c r="G108" s="1">
        <v>7750</v>
      </c>
      <c r="H108" s="16">
        <v>37560</v>
      </c>
      <c r="I108" s="1">
        <v>3290</v>
      </c>
      <c r="J108" s="16">
        <v>37560</v>
      </c>
      <c r="K108" s="1">
        <v>2444.931</v>
      </c>
      <c r="L108" s="16">
        <v>37560</v>
      </c>
      <c r="M108" s="1">
        <v>1340</v>
      </c>
      <c r="N108" s="16">
        <v>37560</v>
      </c>
      <c r="O108" s="1">
        <v>1959</v>
      </c>
      <c r="P108" s="16">
        <v>37560</v>
      </c>
      <c r="Q108" s="1">
        <v>8011.7690000000002</v>
      </c>
      <c r="R108" s="16">
        <v>37560</v>
      </c>
      <c r="S108" s="1">
        <v>2701.3290000000002</v>
      </c>
      <c r="T108" s="16">
        <v>37560</v>
      </c>
      <c r="U108" s="1">
        <v>3403.0549999999998</v>
      </c>
      <c r="V108" s="16">
        <v>37560</v>
      </c>
      <c r="W108" s="1">
        <v>1474.8</v>
      </c>
      <c r="X108" s="15">
        <v>34942</v>
      </c>
      <c r="Y108" s="8">
        <v>25540</v>
      </c>
      <c r="Z108" s="15">
        <v>34911</v>
      </c>
      <c r="AA108" s="8">
        <v>8070</v>
      </c>
      <c r="AB108" s="15">
        <v>34911</v>
      </c>
      <c r="AC108" s="8">
        <v>2180</v>
      </c>
      <c r="AD108" s="15">
        <v>34911</v>
      </c>
      <c r="AE108" s="8">
        <v>3570</v>
      </c>
      <c r="AF108" s="15">
        <v>34911</v>
      </c>
      <c r="AG108" s="8">
        <v>600</v>
      </c>
      <c r="AH108" s="15">
        <v>34911</v>
      </c>
      <c r="AI108" s="8">
        <v>1400</v>
      </c>
      <c r="AJ108" s="15">
        <v>34911</v>
      </c>
      <c r="AK108" s="8">
        <v>1910</v>
      </c>
      <c r="AL108" s="15">
        <v>34911</v>
      </c>
      <c r="AM108" s="8">
        <v>2600</v>
      </c>
      <c r="AN108" s="15">
        <v>34911</v>
      </c>
      <c r="AO108" s="8">
        <v>2050</v>
      </c>
      <c r="AP108" s="5">
        <v>39386</v>
      </c>
      <c r="AQ108" s="4">
        <v>15.805999999999999</v>
      </c>
      <c r="AR108" s="11">
        <v>35520</v>
      </c>
      <c r="AS108" s="11">
        <v>35520</v>
      </c>
      <c r="AT108" s="10">
        <v>19.38</v>
      </c>
    </row>
    <row r="109" spans="1:46" x14ac:dyDescent="0.25">
      <c r="A109" s="16">
        <v>21519</v>
      </c>
      <c r="B109" s="1">
        <v>6975</v>
      </c>
      <c r="C109" s="13" t="str">
        <f t="shared" si="1"/>
        <v>61991</v>
      </c>
      <c r="D109" s="2">
        <v>33417</v>
      </c>
      <c r="E109" s="1">
        <v>-3053</v>
      </c>
      <c r="F109" s="16">
        <v>37590</v>
      </c>
      <c r="G109" s="1">
        <v>7700</v>
      </c>
      <c r="H109" s="16">
        <v>37590</v>
      </c>
      <c r="I109" s="1">
        <v>3526</v>
      </c>
      <c r="J109" s="16">
        <v>37590</v>
      </c>
      <c r="K109" s="1">
        <v>2380</v>
      </c>
      <c r="L109" s="16">
        <v>37590</v>
      </c>
      <c r="M109" s="1">
        <v>1340</v>
      </c>
      <c r="N109" s="16">
        <v>37590</v>
      </c>
      <c r="O109" s="1">
        <v>2009</v>
      </c>
      <c r="P109" s="16">
        <v>37590</v>
      </c>
      <c r="Q109" s="1">
        <v>8015.4189999999999</v>
      </c>
      <c r="R109" s="16">
        <v>37590</v>
      </c>
      <c r="S109" s="1">
        <v>2745.1860000000001</v>
      </c>
      <c r="T109" s="16">
        <v>37590</v>
      </c>
      <c r="U109" s="1">
        <v>3341.26</v>
      </c>
      <c r="V109" s="16">
        <v>37590</v>
      </c>
      <c r="W109" s="1">
        <v>1384.45</v>
      </c>
      <c r="X109" s="15">
        <v>34972</v>
      </c>
      <c r="Y109" s="8">
        <v>25570</v>
      </c>
      <c r="Z109" s="15">
        <v>34942</v>
      </c>
      <c r="AA109" s="8">
        <v>8170</v>
      </c>
      <c r="AB109" s="15">
        <v>34942</v>
      </c>
      <c r="AC109" s="8">
        <v>2200</v>
      </c>
      <c r="AD109" s="15">
        <v>34942</v>
      </c>
      <c r="AE109" s="8">
        <v>3600</v>
      </c>
      <c r="AF109" s="15">
        <v>34942</v>
      </c>
      <c r="AG109" s="8">
        <v>600</v>
      </c>
      <c r="AH109" s="15">
        <v>34942</v>
      </c>
      <c r="AI109" s="8">
        <v>1400</v>
      </c>
      <c r="AJ109" s="15">
        <v>34942</v>
      </c>
      <c r="AK109" s="8">
        <v>1930</v>
      </c>
      <c r="AL109" s="15">
        <v>34942</v>
      </c>
      <c r="AM109" s="8">
        <v>2670</v>
      </c>
      <c r="AN109" s="15">
        <v>34942</v>
      </c>
      <c r="AO109" s="8">
        <v>2060</v>
      </c>
      <c r="AP109" s="5">
        <v>39416</v>
      </c>
      <c r="AQ109" s="4">
        <v>15.314</v>
      </c>
      <c r="AR109" s="11">
        <v>35550</v>
      </c>
      <c r="AS109" s="11">
        <v>35550</v>
      </c>
      <c r="AT109" s="10">
        <v>18.52</v>
      </c>
    </row>
    <row r="110" spans="1:46" x14ac:dyDescent="0.25">
      <c r="A110" s="16">
        <v>21550</v>
      </c>
      <c r="B110" s="1">
        <v>7138</v>
      </c>
      <c r="C110" s="13" t="str">
        <f t="shared" si="1"/>
        <v>71991</v>
      </c>
      <c r="D110" s="2">
        <v>33450</v>
      </c>
      <c r="E110" s="1">
        <v>-3769</v>
      </c>
      <c r="F110" s="16">
        <v>37621</v>
      </c>
      <c r="G110" s="1">
        <v>7750</v>
      </c>
      <c r="H110" s="16">
        <v>37621</v>
      </c>
      <c r="I110" s="1">
        <v>3521</v>
      </c>
      <c r="J110" s="16">
        <v>37621</v>
      </c>
      <c r="K110" s="1">
        <v>2319.125</v>
      </c>
      <c r="L110" s="16">
        <v>37621</v>
      </c>
      <c r="M110" s="1">
        <v>1340</v>
      </c>
      <c r="N110" s="16">
        <v>37621</v>
      </c>
      <c r="O110" s="1">
        <v>2064</v>
      </c>
      <c r="P110" s="16">
        <v>37621</v>
      </c>
      <c r="Q110" s="1">
        <v>7993.9380000000001</v>
      </c>
      <c r="R110" s="16">
        <v>37621</v>
      </c>
      <c r="S110" s="1">
        <v>1810.548</v>
      </c>
      <c r="T110" s="16">
        <v>37621</v>
      </c>
      <c r="U110" s="1">
        <v>3327.0320000000002</v>
      </c>
      <c r="V110" s="16">
        <v>37621</v>
      </c>
      <c r="W110" s="1">
        <v>1342.39</v>
      </c>
      <c r="X110" s="15">
        <v>35003</v>
      </c>
      <c r="Y110" s="8">
        <v>25550</v>
      </c>
      <c r="Z110" s="15">
        <v>34972</v>
      </c>
      <c r="AA110" s="8">
        <v>8210</v>
      </c>
      <c r="AB110" s="15">
        <v>34972</v>
      </c>
      <c r="AC110" s="8">
        <v>2180</v>
      </c>
      <c r="AD110" s="15">
        <v>34972</v>
      </c>
      <c r="AE110" s="8">
        <v>3630</v>
      </c>
      <c r="AF110" s="15">
        <v>34972</v>
      </c>
      <c r="AG110" s="8">
        <v>600</v>
      </c>
      <c r="AH110" s="15">
        <v>34972</v>
      </c>
      <c r="AI110" s="8">
        <v>1390</v>
      </c>
      <c r="AJ110" s="15">
        <v>34972</v>
      </c>
      <c r="AK110" s="8">
        <v>1930</v>
      </c>
      <c r="AL110" s="15">
        <v>34972</v>
      </c>
      <c r="AM110" s="8">
        <v>2690</v>
      </c>
      <c r="AN110" s="15">
        <v>34972</v>
      </c>
      <c r="AO110" s="8">
        <v>2040</v>
      </c>
      <c r="AP110" s="5">
        <v>39447</v>
      </c>
      <c r="AQ110" s="4">
        <v>15.673</v>
      </c>
      <c r="AR110" s="11">
        <v>35580</v>
      </c>
      <c r="AS110" s="11">
        <v>35580</v>
      </c>
      <c r="AT110" s="10">
        <v>19.399999999999999</v>
      </c>
    </row>
    <row r="111" spans="1:46" x14ac:dyDescent="0.25">
      <c r="A111" s="16">
        <v>21581</v>
      </c>
      <c r="B111" s="1">
        <v>7223</v>
      </c>
      <c r="C111" s="13" t="str">
        <f t="shared" si="1"/>
        <v>81991</v>
      </c>
      <c r="D111" s="2">
        <v>33480</v>
      </c>
      <c r="E111" s="1">
        <v>1902</v>
      </c>
      <c r="F111" s="16">
        <v>37652</v>
      </c>
      <c r="G111" s="1">
        <v>8825</v>
      </c>
      <c r="H111" s="16">
        <v>37652</v>
      </c>
      <c r="I111" s="1">
        <v>3581</v>
      </c>
      <c r="J111" s="16">
        <v>37652</v>
      </c>
      <c r="K111" s="1">
        <v>2492.3960000000002</v>
      </c>
      <c r="L111" s="16">
        <v>37652</v>
      </c>
      <c r="M111" s="1">
        <v>1385</v>
      </c>
      <c r="N111" s="16">
        <v>37652</v>
      </c>
      <c r="O111" s="1">
        <v>2298.1660000000002</v>
      </c>
      <c r="P111" s="16">
        <v>37652</v>
      </c>
      <c r="Q111" s="1">
        <v>8042.7730000000001</v>
      </c>
      <c r="R111" s="16">
        <v>37652</v>
      </c>
      <c r="S111" s="1">
        <v>1361.6469999999999</v>
      </c>
      <c r="T111" s="16">
        <v>37652</v>
      </c>
      <c r="U111" s="1">
        <v>3322.5459999999998</v>
      </c>
      <c r="V111" s="16">
        <v>37652</v>
      </c>
      <c r="W111" s="1">
        <v>1504.0730000000001</v>
      </c>
      <c r="X111" s="15">
        <v>35033</v>
      </c>
      <c r="Y111" s="8">
        <v>25580</v>
      </c>
      <c r="Z111" s="15">
        <v>35003</v>
      </c>
      <c r="AA111" s="8">
        <v>8180</v>
      </c>
      <c r="AB111" s="15">
        <v>35003</v>
      </c>
      <c r="AC111" s="8">
        <v>2150</v>
      </c>
      <c r="AD111" s="15">
        <v>35003</v>
      </c>
      <c r="AE111" s="8">
        <v>3670</v>
      </c>
      <c r="AF111" s="15">
        <v>35003</v>
      </c>
      <c r="AG111" s="8">
        <v>600</v>
      </c>
      <c r="AH111" s="15">
        <v>35003</v>
      </c>
      <c r="AI111" s="8">
        <v>1390</v>
      </c>
      <c r="AJ111" s="15">
        <v>35003</v>
      </c>
      <c r="AK111" s="8">
        <v>1920</v>
      </c>
      <c r="AL111" s="15">
        <v>35003</v>
      </c>
      <c r="AM111" s="8">
        <v>2690</v>
      </c>
      <c r="AN111" s="15">
        <v>35003</v>
      </c>
      <c r="AO111" s="8">
        <v>2030</v>
      </c>
      <c r="AP111" s="5">
        <v>39478</v>
      </c>
      <c r="AQ111" s="4">
        <v>15.895</v>
      </c>
      <c r="AR111" s="11">
        <v>35611</v>
      </c>
      <c r="AS111" s="11">
        <v>35611</v>
      </c>
      <c r="AT111" s="10">
        <v>18.510000000000002</v>
      </c>
    </row>
    <row r="112" spans="1:46" x14ac:dyDescent="0.25">
      <c r="A112" s="16">
        <v>21609</v>
      </c>
      <c r="B112" s="1">
        <v>7194</v>
      </c>
      <c r="C112" s="13" t="str">
        <f t="shared" si="1"/>
        <v>91991</v>
      </c>
      <c r="D112" s="2">
        <v>33511</v>
      </c>
      <c r="E112" s="1">
        <v>4707</v>
      </c>
      <c r="F112" s="16">
        <v>37680</v>
      </c>
      <c r="G112" s="1">
        <v>9160.5</v>
      </c>
      <c r="H112" s="16">
        <v>37680</v>
      </c>
      <c r="I112" s="1">
        <v>3892</v>
      </c>
      <c r="J112" s="16">
        <v>37680</v>
      </c>
      <c r="K112" s="1">
        <v>2485</v>
      </c>
      <c r="L112" s="16">
        <v>37680</v>
      </c>
      <c r="M112" s="1">
        <v>1415</v>
      </c>
      <c r="N112" s="16">
        <v>37680</v>
      </c>
      <c r="O112" s="1">
        <v>2274.1660000000002</v>
      </c>
      <c r="P112" s="16">
        <v>37680</v>
      </c>
      <c r="Q112" s="1">
        <v>8113.6170000000002</v>
      </c>
      <c r="R112" s="16">
        <v>37680</v>
      </c>
      <c r="S112" s="1">
        <v>1604.2260000000001</v>
      </c>
      <c r="T112" s="16">
        <v>37680</v>
      </c>
      <c r="U112" s="1">
        <v>3365.0059999999999</v>
      </c>
      <c r="V112" s="16">
        <v>37680</v>
      </c>
      <c r="W112" s="1">
        <v>1544.9390000000001</v>
      </c>
      <c r="X112" s="15">
        <v>35064</v>
      </c>
      <c r="Y112" s="8">
        <v>25720</v>
      </c>
      <c r="Z112" s="15">
        <v>35033</v>
      </c>
      <c r="AA112" s="8">
        <v>8170</v>
      </c>
      <c r="AB112" s="15">
        <v>35033</v>
      </c>
      <c r="AC112" s="8">
        <v>2150</v>
      </c>
      <c r="AD112" s="15">
        <v>35033</v>
      </c>
      <c r="AE112" s="8">
        <v>3650</v>
      </c>
      <c r="AF112" s="15">
        <v>35033</v>
      </c>
      <c r="AG112" s="8">
        <v>600</v>
      </c>
      <c r="AH112" s="15">
        <v>35033</v>
      </c>
      <c r="AI112" s="8">
        <v>1400</v>
      </c>
      <c r="AJ112" s="15">
        <v>35033</v>
      </c>
      <c r="AK112" s="8">
        <v>1940</v>
      </c>
      <c r="AL112" s="15">
        <v>35033</v>
      </c>
      <c r="AM112" s="8">
        <v>2700</v>
      </c>
      <c r="AN112" s="15">
        <v>35033</v>
      </c>
      <c r="AO112" s="8">
        <v>2040</v>
      </c>
      <c r="AP112" s="5">
        <v>39507</v>
      </c>
      <c r="AQ112" s="4">
        <v>14.885</v>
      </c>
      <c r="AR112" s="11">
        <v>35642</v>
      </c>
      <c r="AS112" s="11">
        <v>35642</v>
      </c>
      <c r="AT112" s="10">
        <v>18.940000000000001</v>
      </c>
    </row>
    <row r="113" spans="1:46" x14ac:dyDescent="0.25">
      <c r="A113" s="16">
        <v>21640</v>
      </c>
      <c r="B113" s="1">
        <v>7188</v>
      </c>
      <c r="C113" s="13" t="str">
        <f t="shared" si="1"/>
        <v>101991</v>
      </c>
      <c r="D113" s="2">
        <v>33542</v>
      </c>
      <c r="E113" s="1">
        <v>8821</v>
      </c>
      <c r="F113" s="16">
        <v>37711</v>
      </c>
      <c r="G113" s="1">
        <v>9605.5</v>
      </c>
      <c r="H113" s="16">
        <v>37711</v>
      </c>
      <c r="I113" s="1">
        <v>3701</v>
      </c>
      <c r="J113" s="16">
        <v>37711</v>
      </c>
      <c r="K113" s="1">
        <v>1429.6130000000001</v>
      </c>
      <c r="L113" s="16">
        <v>37711</v>
      </c>
      <c r="M113" s="1">
        <v>1450</v>
      </c>
      <c r="N113" s="16">
        <v>37711</v>
      </c>
      <c r="O113" s="1">
        <v>2083.9160000000002</v>
      </c>
      <c r="P113" s="16">
        <v>37711</v>
      </c>
      <c r="Q113" s="1">
        <v>8171.8360000000002</v>
      </c>
      <c r="R113" s="16">
        <v>37711</v>
      </c>
      <c r="S113" s="1">
        <v>2238.6860000000001</v>
      </c>
      <c r="T113" s="16">
        <v>37711</v>
      </c>
      <c r="U113" s="1">
        <v>3374.3620000000001</v>
      </c>
      <c r="V113" s="16">
        <v>37711</v>
      </c>
      <c r="W113" s="1">
        <v>1509.508</v>
      </c>
      <c r="X113" s="15">
        <v>35095</v>
      </c>
      <c r="Y113" s="8">
        <v>25480</v>
      </c>
      <c r="Z113" s="15">
        <v>35064</v>
      </c>
      <c r="AA113" s="8">
        <v>8140</v>
      </c>
      <c r="AB113" s="15">
        <v>35064</v>
      </c>
      <c r="AC113" s="8">
        <v>2170</v>
      </c>
      <c r="AD113" s="15">
        <v>35064</v>
      </c>
      <c r="AE113" s="8">
        <v>3710</v>
      </c>
      <c r="AF113" s="15">
        <v>35064</v>
      </c>
      <c r="AG113" s="8">
        <v>600</v>
      </c>
      <c r="AH113" s="15">
        <v>35064</v>
      </c>
      <c r="AI113" s="8">
        <v>1400</v>
      </c>
      <c r="AJ113" s="15">
        <v>35064</v>
      </c>
      <c r="AK113" s="8">
        <v>1970</v>
      </c>
      <c r="AL113" s="15">
        <v>35064</v>
      </c>
      <c r="AM113" s="8">
        <v>2720</v>
      </c>
      <c r="AN113" s="15">
        <v>35064</v>
      </c>
      <c r="AO113" s="8">
        <v>2060</v>
      </c>
      <c r="AP113" s="5">
        <v>39538</v>
      </c>
      <c r="AQ113" s="4">
        <v>16.004000000000001</v>
      </c>
      <c r="AR113" s="11">
        <v>35671</v>
      </c>
      <c r="AS113" s="11">
        <v>35671</v>
      </c>
      <c r="AT113" s="10">
        <v>18.510000000000002</v>
      </c>
    </row>
    <row r="114" spans="1:46" x14ac:dyDescent="0.25">
      <c r="A114" s="16">
        <v>21670</v>
      </c>
      <c r="B114" s="1">
        <v>7256</v>
      </c>
      <c r="C114" s="13" t="str">
        <f t="shared" si="1"/>
        <v>111991</v>
      </c>
      <c r="D114" s="2">
        <v>33571</v>
      </c>
      <c r="E114" s="1">
        <v>-5457</v>
      </c>
      <c r="F114" s="16">
        <v>37741</v>
      </c>
      <c r="G114" s="1">
        <v>9690.5</v>
      </c>
      <c r="H114" s="16">
        <v>37741</v>
      </c>
      <c r="I114" s="1">
        <v>3668</v>
      </c>
      <c r="J114" s="16">
        <v>37741</v>
      </c>
      <c r="K114" s="1">
        <v>160</v>
      </c>
      <c r="L114" s="16">
        <v>37741</v>
      </c>
      <c r="M114" s="1">
        <v>1460</v>
      </c>
      <c r="N114" s="16">
        <v>37741</v>
      </c>
      <c r="O114" s="1">
        <v>1908.1310000000001</v>
      </c>
      <c r="P114" s="16">
        <v>37741</v>
      </c>
      <c r="Q114" s="1">
        <v>8236.1530000000002</v>
      </c>
      <c r="R114" s="16">
        <v>37741</v>
      </c>
      <c r="S114" s="1">
        <v>2576.076</v>
      </c>
      <c r="T114" s="16">
        <v>37741</v>
      </c>
      <c r="U114" s="1">
        <v>3391.3609999999999</v>
      </c>
      <c r="V114" s="16">
        <v>37741</v>
      </c>
      <c r="W114" s="1">
        <v>1521.127</v>
      </c>
      <c r="X114" s="15">
        <v>35124</v>
      </c>
      <c r="Y114" s="8">
        <v>25520</v>
      </c>
      <c r="Z114" s="15">
        <v>35095</v>
      </c>
      <c r="AA114" s="8">
        <v>8120</v>
      </c>
      <c r="AB114" s="15">
        <v>35095</v>
      </c>
      <c r="AC114" s="8">
        <v>2180</v>
      </c>
      <c r="AD114" s="15">
        <v>35095</v>
      </c>
      <c r="AE114" s="8">
        <v>3750</v>
      </c>
      <c r="AF114" s="15">
        <v>35095</v>
      </c>
      <c r="AG114" s="8">
        <v>620</v>
      </c>
      <c r="AH114" s="15">
        <v>35095</v>
      </c>
      <c r="AI114" s="8">
        <v>1390</v>
      </c>
      <c r="AJ114" s="15">
        <v>35095</v>
      </c>
      <c r="AK114" s="8">
        <v>1980</v>
      </c>
      <c r="AL114" s="15">
        <v>35095</v>
      </c>
      <c r="AM114" s="8">
        <v>2770</v>
      </c>
      <c r="AN114" s="15">
        <v>35095</v>
      </c>
      <c r="AO114" s="8">
        <v>2050</v>
      </c>
      <c r="AP114" s="5">
        <v>39568</v>
      </c>
      <c r="AQ114" s="4">
        <v>15.414</v>
      </c>
      <c r="AR114" s="11">
        <v>35703</v>
      </c>
      <c r="AS114" s="11">
        <v>35703</v>
      </c>
      <c r="AT114" s="10">
        <v>19.899999999999999</v>
      </c>
    </row>
    <row r="115" spans="1:46" x14ac:dyDescent="0.25">
      <c r="A115" s="16">
        <v>21701</v>
      </c>
      <c r="B115" s="1">
        <v>7220</v>
      </c>
      <c r="C115" s="13" t="str">
        <f t="shared" si="1"/>
        <v>121991</v>
      </c>
      <c r="D115" s="2">
        <v>33603</v>
      </c>
      <c r="E115" s="1">
        <v>-10080</v>
      </c>
      <c r="F115" s="16">
        <v>37772</v>
      </c>
      <c r="G115" s="1">
        <v>9485.5</v>
      </c>
      <c r="H115" s="16">
        <v>37772</v>
      </c>
      <c r="I115" s="1">
        <v>3507</v>
      </c>
      <c r="J115" s="16">
        <v>37772</v>
      </c>
      <c r="K115" s="1">
        <v>280</v>
      </c>
      <c r="L115" s="16">
        <v>37772</v>
      </c>
      <c r="M115" s="1">
        <v>1460</v>
      </c>
      <c r="N115" s="16">
        <v>37772</v>
      </c>
      <c r="O115" s="1">
        <v>2130.018</v>
      </c>
      <c r="P115" s="16">
        <v>37772</v>
      </c>
      <c r="Q115" s="1">
        <v>8329.3040000000001</v>
      </c>
      <c r="R115" s="16">
        <v>37772</v>
      </c>
      <c r="S115" s="1">
        <v>2668.3879999999999</v>
      </c>
      <c r="T115" s="16">
        <v>37772</v>
      </c>
      <c r="U115" s="1">
        <v>3378.1619999999998</v>
      </c>
      <c r="V115" s="16">
        <v>37772</v>
      </c>
      <c r="W115" s="1">
        <v>1488.752</v>
      </c>
      <c r="X115" s="15">
        <v>35155</v>
      </c>
      <c r="Y115" s="8">
        <v>25620</v>
      </c>
      <c r="Z115" s="15">
        <v>35124</v>
      </c>
      <c r="AA115" s="8">
        <v>8100</v>
      </c>
      <c r="AB115" s="15">
        <v>35124</v>
      </c>
      <c r="AC115" s="8">
        <v>2190</v>
      </c>
      <c r="AD115" s="15">
        <v>35124</v>
      </c>
      <c r="AE115" s="8">
        <v>3710</v>
      </c>
      <c r="AF115" s="15">
        <v>35124</v>
      </c>
      <c r="AG115" s="8">
        <v>620</v>
      </c>
      <c r="AH115" s="15">
        <v>35124</v>
      </c>
      <c r="AI115" s="8">
        <v>1380</v>
      </c>
      <c r="AJ115" s="15">
        <v>35124</v>
      </c>
      <c r="AK115" s="8">
        <v>1970</v>
      </c>
      <c r="AL115" s="15">
        <v>35124</v>
      </c>
      <c r="AM115" s="8">
        <v>2820</v>
      </c>
      <c r="AN115" s="15">
        <v>35124</v>
      </c>
      <c r="AO115" s="8">
        <v>2060</v>
      </c>
      <c r="AP115" s="5">
        <v>39599</v>
      </c>
      <c r="AQ115" s="4">
        <v>16.181999999999999</v>
      </c>
      <c r="AR115" s="11">
        <v>35734</v>
      </c>
      <c r="AS115" s="11">
        <v>35734</v>
      </c>
      <c r="AT115" s="10">
        <v>20.02</v>
      </c>
    </row>
    <row r="116" spans="1:46" x14ac:dyDescent="0.25">
      <c r="A116" s="16">
        <v>21731</v>
      </c>
      <c r="B116" s="1">
        <v>7083</v>
      </c>
      <c r="C116" s="13" t="str">
        <f t="shared" si="1"/>
        <v>11992</v>
      </c>
      <c r="D116" s="2">
        <v>33634</v>
      </c>
      <c r="E116" s="1">
        <v>-4416</v>
      </c>
      <c r="F116" s="16">
        <v>37802</v>
      </c>
      <c r="G116" s="1">
        <v>8890.5</v>
      </c>
      <c r="H116" s="16">
        <v>37802</v>
      </c>
      <c r="I116" s="1">
        <v>4102</v>
      </c>
      <c r="J116" s="16">
        <v>37802</v>
      </c>
      <c r="K116" s="1">
        <v>440</v>
      </c>
      <c r="L116" s="16">
        <v>37802</v>
      </c>
      <c r="M116" s="1">
        <v>1440</v>
      </c>
      <c r="N116" s="16">
        <v>37802</v>
      </c>
      <c r="O116" s="1">
        <v>2136.6309999999999</v>
      </c>
      <c r="P116" s="16">
        <v>37802</v>
      </c>
      <c r="Q116" s="1">
        <v>8470.5249999999996</v>
      </c>
      <c r="R116" s="16">
        <v>37802</v>
      </c>
      <c r="S116" s="1">
        <v>2590.654</v>
      </c>
      <c r="T116" s="16">
        <v>37802</v>
      </c>
      <c r="U116" s="1">
        <v>3399.8760000000002</v>
      </c>
      <c r="V116" s="16">
        <v>37802</v>
      </c>
      <c r="W116" s="1">
        <v>1373.3119999999999</v>
      </c>
      <c r="X116" s="15">
        <v>35185</v>
      </c>
      <c r="Y116" s="8">
        <v>25690</v>
      </c>
      <c r="Z116" s="15">
        <v>35155</v>
      </c>
      <c r="AA116" s="8">
        <v>8200</v>
      </c>
      <c r="AB116" s="15">
        <v>35155</v>
      </c>
      <c r="AC116" s="8">
        <v>2170</v>
      </c>
      <c r="AD116" s="15">
        <v>35155</v>
      </c>
      <c r="AE116" s="8">
        <v>3700</v>
      </c>
      <c r="AF116" s="15">
        <v>35155</v>
      </c>
      <c r="AG116" s="8">
        <v>620</v>
      </c>
      <c r="AH116" s="15">
        <v>35155</v>
      </c>
      <c r="AI116" s="8">
        <v>1380</v>
      </c>
      <c r="AJ116" s="15">
        <v>35155</v>
      </c>
      <c r="AK116" s="8">
        <v>2020</v>
      </c>
      <c r="AL116" s="15">
        <v>35155</v>
      </c>
      <c r="AM116" s="8">
        <v>2830</v>
      </c>
      <c r="AN116" s="15">
        <v>35155</v>
      </c>
      <c r="AO116" s="8">
        <v>2060</v>
      </c>
      <c r="AP116" s="5">
        <v>39629</v>
      </c>
      <c r="AQ116" s="4">
        <v>15.962999999999999</v>
      </c>
      <c r="AR116" s="11">
        <v>35762</v>
      </c>
      <c r="AS116" s="11">
        <v>35762</v>
      </c>
      <c r="AT116" s="10">
        <v>18.940000000000001</v>
      </c>
    </row>
    <row r="117" spans="1:46" x14ac:dyDescent="0.25">
      <c r="A117" s="16">
        <v>21762</v>
      </c>
      <c r="B117" s="1">
        <v>6784</v>
      </c>
      <c r="C117" s="13" t="str">
        <f t="shared" si="1"/>
        <v>21992</v>
      </c>
      <c r="D117" s="2">
        <v>33662</v>
      </c>
      <c r="E117" s="1">
        <v>7021</v>
      </c>
      <c r="F117" s="16">
        <v>37833</v>
      </c>
      <c r="G117" s="1">
        <v>8965</v>
      </c>
      <c r="H117" s="16">
        <v>37833</v>
      </c>
      <c r="I117" s="1">
        <v>3965</v>
      </c>
      <c r="J117" s="16">
        <v>37833</v>
      </c>
      <c r="K117" s="1">
        <v>695</v>
      </c>
      <c r="L117" s="16">
        <v>37833</v>
      </c>
      <c r="M117" s="1">
        <v>1440</v>
      </c>
      <c r="N117" s="16">
        <v>37833</v>
      </c>
      <c r="O117" s="1">
        <v>2199.8629999999998</v>
      </c>
      <c r="P117" s="16">
        <v>37833</v>
      </c>
      <c r="Q117" s="1">
        <v>8599.9609999999993</v>
      </c>
      <c r="R117" s="16">
        <v>37833</v>
      </c>
      <c r="S117" s="1">
        <v>2311.7049999999999</v>
      </c>
      <c r="T117" s="16">
        <v>37833</v>
      </c>
      <c r="U117" s="1">
        <v>3330.826</v>
      </c>
      <c r="V117" s="16">
        <v>37833</v>
      </c>
      <c r="W117" s="1">
        <v>1497.319</v>
      </c>
      <c r="X117" s="15">
        <v>35216</v>
      </c>
      <c r="Y117" s="8">
        <v>25660</v>
      </c>
      <c r="Z117" s="15">
        <v>35185</v>
      </c>
      <c r="AA117" s="8">
        <v>8120</v>
      </c>
      <c r="AB117" s="15">
        <v>35185</v>
      </c>
      <c r="AC117" s="8">
        <v>2170</v>
      </c>
      <c r="AD117" s="15">
        <v>35185</v>
      </c>
      <c r="AE117" s="8">
        <v>3710</v>
      </c>
      <c r="AF117" s="15">
        <v>35185</v>
      </c>
      <c r="AG117" s="8">
        <v>620</v>
      </c>
      <c r="AH117" s="15">
        <v>35185</v>
      </c>
      <c r="AI117" s="8">
        <v>1380</v>
      </c>
      <c r="AJ117" s="15">
        <v>35185</v>
      </c>
      <c r="AK117" s="8">
        <v>2060</v>
      </c>
      <c r="AL117" s="15">
        <v>35185</v>
      </c>
      <c r="AM117" s="8">
        <v>2890</v>
      </c>
      <c r="AN117" s="15">
        <v>35185</v>
      </c>
      <c r="AO117" s="8">
        <v>2050</v>
      </c>
      <c r="AP117" s="5">
        <v>39660</v>
      </c>
      <c r="AQ117" s="4">
        <v>16.170000000000002</v>
      </c>
      <c r="AR117" s="11">
        <v>35795</v>
      </c>
      <c r="AS117" s="11">
        <v>35795</v>
      </c>
      <c r="AT117" s="10">
        <v>16.52</v>
      </c>
    </row>
    <row r="118" spans="1:46" x14ac:dyDescent="0.25">
      <c r="A118" s="16">
        <v>21793</v>
      </c>
      <c r="B118" s="1">
        <v>6766</v>
      </c>
      <c r="C118" s="13" t="str">
        <f t="shared" si="1"/>
        <v>31992</v>
      </c>
      <c r="D118" s="2">
        <v>33694</v>
      </c>
      <c r="E118" s="1">
        <v>-5520</v>
      </c>
      <c r="F118" s="16">
        <v>37864</v>
      </c>
      <c r="G118" s="1">
        <v>8915</v>
      </c>
      <c r="H118" s="16">
        <v>37864</v>
      </c>
      <c r="I118" s="1">
        <v>4010</v>
      </c>
      <c r="J118" s="16">
        <v>37864</v>
      </c>
      <c r="K118" s="1">
        <v>1105</v>
      </c>
      <c r="L118" s="16">
        <v>37864</v>
      </c>
      <c r="M118" s="1">
        <v>1440</v>
      </c>
      <c r="N118" s="16">
        <v>37864</v>
      </c>
      <c r="O118" s="1">
        <v>2229.8629999999998</v>
      </c>
      <c r="P118" s="16">
        <v>37864</v>
      </c>
      <c r="Q118" s="1">
        <v>8682.4940000000006</v>
      </c>
      <c r="R118" s="16">
        <v>37864</v>
      </c>
      <c r="S118" s="1">
        <v>2464.3249999999998</v>
      </c>
      <c r="T118" s="16">
        <v>37864</v>
      </c>
      <c r="U118" s="1">
        <v>3335.2570000000001</v>
      </c>
      <c r="V118" s="16">
        <v>37864</v>
      </c>
      <c r="W118" s="1">
        <v>1548.6020000000001</v>
      </c>
      <c r="X118" s="15">
        <v>35246</v>
      </c>
      <c r="Y118" s="8">
        <v>25700</v>
      </c>
      <c r="Z118" s="15">
        <v>35216</v>
      </c>
      <c r="AA118" s="8">
        <v>8090</v>
      </c>
      <c r="AB118" s="15">
        <v>35216</v>
      </c>
      <c r="AC118" s="8">
        <v>2190</v>
      </c>
      <c r="AD118" s="15">
        <v>35216</v>
      </c>
      <c r="AE118" s="8">
        <v>3670</v>
      </c>
      <c r="AF118" s="15">
        <v>35216</v>
      </c>
      <c r="AG118" s="8">
        <v>620</v>
      </c>
      <c r="AH118" s="15">
        <v>35216</v>
      </c>
      <c r="AI118" s="8">
        <v>1390</v>
      </c>
      <c r="AJ118" s="15">
        <v>35216</v>
      </c>
      <c r="AK118" s="8">
        <v>2060</v>
      </c>
      <c r="AL118" s="15">
        <v>35216</v>
      </c>
      <c r="AM118" s="8">
        <v>2930</v>
      </c>
      <c r="AN118" s="15">
        <v>35216</v>
      </c>
      <c r="AO118" s="8">
        <v>2040</v>
      </c>
      <c r="AP118" s="5">
        <v>39691</v>
      </c>
      <c r="AQ118" s="4">
        <v>16.026</v>
      </c>
      <c r="AR118" s="11">
        <v>35825</v>
      </c>
      <c r="AS118" s="11">
        <v>35825</v>
      </c>
      <c r="AT118" s="10">
        <v>15.96</v>
      </c>
    </row>
    <row r="119" spans="1:46" x14ac:dyDescent="0.25">
      <c r="A119" s="16">
        <v>21823</v>
      </c>
      <c r="B119" s="1">
        <v>6857</v>
      </c>
      <c r="C119" s="13" t="str">
        <f t="shared" si="1"/>
        <v>41992</v>
      </c>
      <c r="D119" s="2">
        <v>33724</v>
      </c>
      <c r="E119" s="1">
        <v>802</v>
      </c>
      <c r="F119" s="16">
        <v>37894</v>
      </c>
      <c r="G119" s="1">
        <v>8765.5</v>
      </c>
      <c r="H119" s="16">
        <v>37894</v>
      </c>
      <c r="I119" s="1">
        <v>3850</v>
      </c>
      <c r="J119" s="16">
        <v>37894</v>
      </c>
      <c r="K119" s="1">
        <v>1410</v>
      </c>
      <c r="L119" s="16">
        <v>37894</v>
      </c>
      <c r="M119" s="1">
        <v>1460</v>
      </c>
      <c r="N119" s="16">
        <v>37894</v>
      </c>
      <c r="O119" s="1">
        <v>2234.5300000000002</v>
      </c>
      <c r="P119" s="16">
        <v>37894</v>
      </c>
      <c r="Q119" s="1">
        <v>8780.06</v>
      </c>
      <c r="R119" s="16">
        <v>37894</v>
      </c>
      <c r="S119" s="1">
        <v>2330.027</v>
      </c>
      <c r="T119" s="16">
        <v>37894</v>
      </c>
      <c r="U119" s="1">
        <v>3316.9760000000001</v>
      </c>
      <c r="V119" s="16">
        <v>37894</v>
      </c>
      <c r="W119" s="1">
        <v>1529.8489999999999</v>
      </c>
      <c r="X119" s="15">
        <v>35277</v>
      </c>
      <c r="Y119" s="8">
        <v>25740</v>
      </c>
      <c r="Z119" s="15">
        <v>35246</v>
      </c>
      <c r="AA119" s="8">
        <v>8120</v>
      </c>
      <c r="AB119" s="15">
        <v>35246</v>
      </c>
      <c r="AC119" s="8">
        <v>2170</v>
      </c>
      <c r="AD119" s="15">
        <v>35246</v>
      </c>
      <c r="AE119" s="8">
        <v>3670</v>
      </c>
      <c r="AF119" s="15">
        <v>35246</v>
      </c>
      <c r="AG119" s="8">
        <v>620</v>
      </c>
      <c r="AH119" s="15">
        <v>35246</v>
      </c>
      <c r="AI119" s="8">
        <v>1400</v>
      </c>
      <c r="AJ119" s="15">
        <v>35246</v>
      </c>
      <c r="AK119" s="8">
        <v>2060</v>
      </c>
      <c r="AL119" s="15">
        <v>35246</v>
      </c>
      <c r="AM119" s="8">
        <v>2950</v>
      </c>
      <c r="AN119" s="15">
        <v>35246</v>
      </c>
      <c r="AO119" s="8">
        <v>2020</v>
      </c>
      <c r="AP119" s="5">
        <v>39721</v>
      </c>
      <c r="AQ119" s="4">
        <v>15.566000000000001</v>
      </c>
      <c r="AR119" s="11">
        <v>35853</v>
      </c>
      <c r="AS119" s="11">
        <v>35853</v>
      </c>
      <c r="AT119" s="10">
        <v>14.17</v>
      </c>
    </row>
    <row r="120" spans="1:46" x14ac:dyDescent="0.25">
      <c r="A120" s="16">
        <v>21854</v>
      </c>
      <c r="B120" s="1">
        <v>6911</v>
      </c>
      <c r="C120" s="13" t="str">
        <f t="shared" si="1"/>
        <v>51992</v>
      </c>
      <c r="D120" s="2">
        <v>33753</v>
      </c>
      <c r="E120" s="1">
        <v>-2646</v>
      </c>
      <c r="F120" s="16">
        <v>37925</v>
      </c>
      <c r="G120" s="1">
        <v>8890</v>
      </c>
      <c r="H120" s="16">
        <v>37925</v>
      </c>
      <c r="I120" s="1">
        <v>4030</v>
      </c>
      <c r="J120" s="16">
        <v>37925</v>
      </c>
      <c r="K120" s="1">
        <v>1580</v>
      </c>
      <c r="L120" s="16">
        <v>37925</v>
      </c>
      <c r="M120" s="1">
        <v>1470</v>
      </c>
      <c r="N120" s="16">
        <v>37925</v>
      </c>
      <c r="O120" s="1">
        <v>2317.6509999999998</v>
      </c>
      <c r="P120" s="16">
        <v>37925</v>
      </c>
      <c r="Q120" s="1">
        <v>8798.8619999999992</v>
      </c>
      <c r="R120" s="16">
        <v>37925</v>
      </c>
      <c r="S120" s="1">
        <v>2528.8139999999999</v>
      </c>
      <c r="T120" s="16">
        <v>37925</v>
      </c>
      <c r="U120" s="1">
        <v>3347.076</v>
      </c>
      <c r="V120" s="16">
        <v>37925</v>
      </c>
      <c r="W120" s="1">
        <v>1507.0840000000001</v>
      </c>
      <c r="X120" s="15">
        <v>35308</v>
      </c>
      <c r="Y120" s="8">
        <v>25800</v>
      </c>
      <c r="Z120" s="15">
        <v>35277</v>
      </c>
      <c r="AA120" s="8">
        <v>8110</v>
      </c>
      <c r="AB120" s="15">
        <v>35277</v>
      </c>
      <c r="AC120" s="8">
        <v>2190</v>
      </c>
      <c r="AD120" s="15">
        <v>35277</v>
      </c>
      <c r="AE120" s="8">
        <v>3660</v>
      </c>
      <c r="AF120" s="15">
        <v>35277</v>
      </c>
      <c r="AG120" s="8">
        <v>620</v>
      </c>
      <c r="AH120" s="15">
        <v>35277</v>
      </c>
      <c r="AI120" s="8">
        <v>1400</v>
      </c>
      <c r="AJ120" s="15">
        <v>35277</v>
      </c>
      <c r="AK120" s="8">
        <v>2020</v>
      </c>
      <c r="AL120" s="15">
        <v>35277</v>
      </c>
      <c r="AM120" s="8">
        <v>3000</v>
      </c>
      <c r="AN120" s="15">
        <v>35277</v>
      </c>
      <c r="AO120" s="8">
        <v>2040</v>
      </c>
      <c r="AP120" s="5">
        <v>39752</v>
      </c>
      <c r="AQ120" s="4">
        <v>16.350000000000001</v>
      </c>
      <c r="AR120" s="11">
        <v>35885</v>
      </c>
      <c r="AS120" s="11">
        <v>35885</v>
      </c>
      <c r="AT120" s="10">
        <v>14.26</v>
      </c>
    </row>
    <row r="121" spans="1:46" x14ac:dyDescent="0.25">
      <c r="A121" s="16">
        <v>21884</v>
      </c>
      <c r="B121" s="1">
        <v>6982</v>
      </c>
      <c r="C121" s="13" t="str">
        <f t="shared" si="1"/>
        <v>61992</v>
      </c>
      <c r="D121" s="2">
        <v>33785</v>
      </c>
      <c r="E121" s="1">
        <v>-10904</v>
      </c>
      <c r="F121" s="16">
        <v>37955</v>
      </c>
      <c r="G121" s="1">
        <v>8791</v>
      </c>
      <c r="H121" s="16">
        <v>37955</v>
      </c>
      <c r="I121" s="1">
        <v>4125</v>
      </c>
      <c r="J121" s="16">
        <v>37955</v>
      </c>
      <c r="K121" s="1">
        <v>1920</v>
      </c>
      <c r="L121" s="16">
        <v>37955</v>
      </c>
      <c r="M121" s="1">
        <v>1470</v>
      </c>
      <c r="N121" s="16">
        <v>37955</v>
      </c>
      <c r="O121" s="1">
        <v>2337.5219999999999</v>
      </c>
      <c r="P121" s="16">
        <v>37955</v>
      </c>
      <c r="Q121" s="1">
        <v>8823.6980000000003</v>
      </c>
      <c r="R121" s="16">
        <v>37955</v>
      </c>
      <c r="S121" s="1">
        <v>2376.627</v>
      </c>
      <c r="T121" s="16">
        <v>37955</v>
      </c>
      <c r="U121" s="1">
        <v>3336.1390000000001</v>
      </c>
      <c r="V121" s="16">
        <v>37955</v>
      </c>
      <c r="W121" s="1">
        <v>1487.4280000000001</v>
      </c>
      <c r="X121" s="15">
        <v>35338</v>
      </c>
      <c r="Y121" s="8">
        <v>25870</v>
      </c>
      <c r="Z121" s="15">
        <v>35308</v>
      </c>
      <c r="AA121" s="8">
        <v>8100</v>
      </c>
      <c r="AB121" s="15">
        <v>35308</v>
      </c>
      <c r="AC121" s="8">
        <v>2190</v>
      </c>
      <c r="AD121" s="15">
        <v>35308</v>
      </c>
      <c r="AE121" s="8">
        <v>3670</v>
      </c>
      <c r="AF121" s="15">
        <v>35308</v>
      </c>
      <c r="AG121" s="8">
        <v>620</v>
      </c>
      <c r="AH121" s="15">
        <v>35308</v>
      </c>
      <c r="AI121" s="8">
        <v>1400</v>
      </c>
      <c r="AJ121" s="15">
        <v>35308</v>
      </c>
      <c r="AK121" s="8">
        <v>2040</v>
      </c>
      <c r="AL121" s="15">
        <v>35308</v>
      </c>
      <c r="AM121" s="8">
        <v>3030</v>
      </c>
      <c r="AN121" s="15">
        <v>35308</v>
      </c>
      <c r="AO121" s="8">
        <v>2040</v>
      </c>
      <c r="AP121" s="5">
        <v>39782</v>
      </c>
      <c r="AQ121" s="4">
        <v>15.86</v>
      </c>
      <c r="AR121" s="11">
        <v>35915</v>
      </c>
      <c r="AS121" s="11">
        <v>35915</v>
      </c>
      <c r="AT121" s="10">
        <v>14.46</v>
      </c>
    </row>
    <row r="122" spans="1:46" x14ac:dyDescent="0.25">
      <c r="A122" s="16">
        <v>21915</v>
      </c>
      <c r="B122" s="1">
        <v>7193</v>
      </c>
      <c r="C122" s="13" t="str">
        <f t="shared" si="1"/>
        <v>71992</v>
      </c>
      <c r="D122" s="2">
        <v>33816</v>
      </c>
      <c r="E122" s="1">
        <v>5791</v>
      </c>
      <c r="F122" s="16">
        <v>37986</v>
      </c>
      <c r="G122" s="1">
        <v>8835.5</v>
      </c>
      <c r="H122" s="16">
        <v>37986</v>
      </c>
      <c r="I122" s="1">
        <v>3925</v>
      </c>
      <c r="J122" s="16">
        <v>37986</v>
      </c>
      <c r="K122" s="1">
        <v>1970</v>
      </c>
      <c r="L122" s="16">
        <v>37986</v>
      </c>
      <c r="M122" s="1">
        <v>1480</v>
      </c>
      <c r="N122" s="16">
        <v>37986</v>
      </c>
      <c r="O122" s="1">
        <v>2377.5219999999999</v>
      </c>
      <c r="P122" s="16">
        <v>37986</v>
      </c>
      <c r="Q122" s="1">
        <v>8854.9429999999993</v>
      </c>
      <c r="R122" s="16">
        <v>37986</v>
      </c>
      <c r="S122" s="1">
        <v>2544.3719999999998</v>
      </c>
      <c r="T122" s="16">
        <v>37986</v>
      </c>
      <c r="U122" s="1">
        <v>3384.2469999999998</v>
      </c>
      <c r="V122" s="16">
        <v>37986</v>
      </c>
      <c r="W122" s="1">
        <v>1486.385</v>
      </c>
      <c r="X122" s="15">
        <v>35369</v>
      </c>
      <c r="Y122" s="8">
        <v>25990</v>
      </c>
      <c r="Z122" s="15">
        <v>35338</v>
      </c>
      <c r="AA122" s="8">
        <v>8110</v>
      </c>
      <c r="AB122" s="15">
        <v>35338</v>
      </c>
      <c r="AC122" s="8">
        <v>2200</v>
      </c>
      <c r="AD122" s="15">
        <v>35338</v>
      </c>
      <c r="AE122" s="8">
        <v>3720</v>
      </c>
      <c r="AF122" s="15">
        <v>35338</v>
      </c>
      <c r="AG122" s="8">
        <v>620</v>
      </c>
      <c r="AH122" s="15">
        <v>35338</v>
      </c>
      <c r="AI122" s="8">
        <v>1400</v>
      </c>
      <c r="AJ122" s="15">
        <v>35338</v>
      </c>
      <c r="AK122" s="8">
        <v>2030</v>
      </c>
      <c r="AL122" s="15">
        <v>35338</v>
      </c>
      <c r="AM122" s="8">
        <v>3020</v>
      </c>
      <c r="AN122" s="15">
        <v>35338</v>
      </c>
      <c r="AO122" s="8">
        <v>2050</v>
      </c>
      <c r="AP122" s="5">
        <v>39813</v>
      </c>
      <c r="AQ122" s="4">
        <v>15.706</v>
      </c>
      <c r="AR122" s="11">
        <v>35944</v>
      </c>
      <c r="AS122" s="11">
        <v>35944</v>
      </c>
      <c r="AT122" s="10">
        <v>14.37</v>
      </c>
    </row>
    <row r="123" spans="1:46" x14ac:dyDescent="0.25">
      <c r="A123" s="16">
        <v>21946</v>
      </c>
      <c r="B123" s="1">
        <v>7230</v>
      </c>
      <c r="C123" s="13" t="str">
        <f t="shared" si="1"/>
        <v>81992</v>
      </c>
      <c r="D123" s="2">
        <v>33847</v>
      </c>
      <c r="E123" s="1">
        <v>-7452</v>
      </c>
      <c r="F123" s="16">
        <v>38017</v>
      </c>
      <c r="G123" s="1">
        <v>8432.5</v>
      </c>
      <c r="H123" s="16">
        <v>38017</v>
      </c>
      <c r="I123" s="1">
        <v>4079</v>
      </c>
      <c r="J123" s="16">
        <v>38017</v>
      </c>
      <c r="K123" s="1">
        <v>2043</v>
      </c>
      <c r="L123" s="16">
        <v>38017</v>
      </c>
      <c r="M123" s="1">
        <v>1490</v>
      </c>
      <c r="N123" s="16">
        <v>38017</v>
      </c>
      <c r="O123" s="1">
        <v>2415</v>
      </c>
      <c r="P123" s="16">
        <v>38017</v>
      </c>
      <c r="Q123" s="1">
        <v>8899.4279999999999</v>
      </c>
      <c r="R123" s="16">
        <v>38017</v>
      </c>
      <c r="S123" s="1">
        <v>2379.1610000000001</v>
      </c>
      <c r="T123" s="16">
        <v>38017</v>
      </c>
      <c r="U123" s="1">
        <v>3409.15</v>
      </c>
      <c r="V123" s="16">
        <v>38017</v>
      </c>
      <c r="W123" s="1">
        <v>1464.8150000000001</v>
      </c>
      <c r="X123" s="15">
        <v>35399</v>
      </c>
      <c r="Y123" s="8">
        <v>26050</v>
      </c>
      <c r="Z123" s="15">
        <v>35369</v>
      </c>
      <c r="AA123" s="8">
        <v>8150</v>
      </c>
      <c r="AB123" s="15">
        <v>35369</v>
      </c>
      <c r="AC123" s="8">
        <v>2210</v>
      </c>
      <c r="AD123" s="15">
        <v>35369</v>
      </c>
      <c r="AE123" s="8">
        <v>3710</v>
      </c>
      <c r="AF123" s="15">
        <v>35369</v>
      </c>
      <c r="AG123" s="8">
        <v>620</v>
      </c>
      <c r="AH123" s="15">
        <v>35369</v>
      </c>
      <c r="AI123" s="8">
        <v>1410</v>
      </c>
      <c r="AJ123" s="15">
        <v>35369</v>
      </c>
      <c r="AK123" s="8">
        <v>2050</v>
      </c>
      <c r="AL123" s="15">
        <v>35369</v>
      </c>
      <c r="AM123" s="8">
        <v>3050</v>
      </c>
      <c r="AN123" s="15">
        <v>35369</v>
      </c>
      <c r="AO123" s="8">
        <v>2050</v>
      </c>
      <c r="AP123" s="5">
        <v>39844</v>
      </c>
      <c r="AQ123" s="4">
        <v>15.952</v>
      </c>
      <c r="AR123" s="11">
        <v>35976</v>
      </c>
      <c r="AS123" s="11">
        <v>35976</v>
      </c>
      <c r="AT123" s="10">
        <v>13.38</v>
      </c>
    </row>
    <row r="124" spans="1:46" x14ac:dyDescent="0.25">
      <c r="A124" s="16">
        <v>21975</v>
      </c>
      <c r="B124" s="1">
        <v>7241</v>
      </c>
      <c r="C124" s="13" t="str">
        <f t="shared" si="1"/>
        <v>91992</v>
      </c>
      <c r="D124" s="2">
        <v>33877</v>
      </c>
      <c r="E124" s="1">
        <v>-4734</v>
      </c>
      <c r="F124" s="16">
        <v>38046</v>
      </c>
      <c r="G124" s="1">
        <v>8515.5</v>
      </c>
      <c r="H124" s="16">
        <v>38046</v>
      </c>
      <c r="I124" s="1">
        <v>3979</v>
      </c>
      <c r="J124" s="16">
        <v>38046</v>
      </c>
      <c r="K124" s="1">
        <v>1893</v>
      </c>
      <c r="L124" s="16">
        <v>38046</v>
      </c>
      <c r="M124" s="1">
        <v>1500</v>
      </c>
      <c r="N124" s="16">
        <v>38046</v>
      </c>
      <c r="O124" s="1">
        <v>2390</v>
      </c>
      <c r="P124" s="16">
        <v>38046</v>
      </c>
      <c r="Q124" s="1">
        <v>8937.8389999999999</v>
      </c>
      <c r="R124" s="16">
        <v>38046</v>
      </c>
      <c r="S124" s="1">
        <v>2515.518</v>
      </c>
      <c r="T124" s="16">
        <v>38046</v>
      </c>
      <c r="U124" s="1">
        <v>3461.5720000000001</v>
      </c>
      <c r="V124" s="16">
        <v>38046</v>
      </c>
      <c r="W124" s="1">
        <v>1459.5540000000001</v>
      </c>
      <c r="X124" s="15">
        <v>35430</v>
      </c>
      <c r="Y124" s="8">
        <v>26440</v>
      </c>
      <c r="Z124" s="15">
        <v>35399</v>
      </c>
      <c r="AA124" s="8">
        <v>8160</v>
      </c>
      <c r="AB124" s="15">
        <v>35399</v>
      </c>
      <c r="AC124" s="8">
        <v>2230</v>
      </c>
      <c r="AD124" s="15">
        <v>35399</v>
      </c>
      <c r="AE124" s="8">
        <v>3670</v>
      </c>
      <c r="AF124" s="15">
        <v>35399</v>
      </c>
      <c r="AG124" s="8">
        <v>620</v>
      </c>
      <c r="AH124" s="15">
        <v>35399</v>
      </c>
      <c r="AI124" s="8">
        <v>1410</v>
      </c>
      <c r="AJ124" s="15">
        <v>35399</v>
      </c>
      <c r="AK124" s="8">
        <v>2120</v>
      </c>
      <c r="AL124" s="15">
        <v>35399</v>
      </c>
      <c r="AM124" s="8">
        <v>3030</v>
      </c>
      <c r="AN124" s="15">
        <v>35399</v>
      </c>
      <c r="AO124" s="8">
        <v>2050</v>
      </c>
      <c r="AP124" s="5">
        <v>39872</v>
      </c>
      <c r="AQ124" s="4">
        <v>14.318</v>
      </c>
      <c r="AR124" s="11">
        <v>36007</v>
      </c>
      <c r="AS124" s="11">
        <v>36007</v>
      </c>
      <c r="AT124" s="10">
        <v>13.09</v>
      </c>
    </row>
    <row r="125" spans="1:46" x14ac:dyDescent="0.25">
      <c r="A125" s="16">
        <v>22006</v>
      </c>
      <c r="B125" s="1">
        <v>7128</v>
      </c>
      <c r="C125" s="13" t="str">
        <f t="shared" si="1"/>
        <v>101992</v>
      </c>
      <c r="D125" s="2">
        <v>33907</v>
      </c>
      <c r="E125" s="1">
        <v>3406</v>
      </c>
      <c r="F125" s="16">
        <v>38077</v>
      </c>
      <c r="G125" s="1">
        <v>8381.5</v>
      </c>
      <c r="H125" s="16">
        <v>38077</v>
      </c>
      <c r="I125" s="1">
        <v>4089</v>
      </c>
      <c r="J125" s="16">
        <v>38077</v>
      </c>
      <c r="K125" s="1">
        <v>2378</v>
      </c>
      <c r="L125" s="16">
        <v>38077</v>
      </c>
      <c r="M125" s="1">
        <v>1505</v>
      </c>
      <c r="N125" s="16">
        <v>38077</v>
      </c>
      <c r="O125" s="1">
        <v>2400</v>
      </c>
      <c r="P125" s="16">
        <v>38077</v>
      </c>
      <c r="Q125" s="1">
        <v>9001.5560000000005</v>
      </c>
      <c r="R125" s="16">
        <v>38077</v>
      </c>
      <c r="S125" s="1">
        <v>2654.752</v>
      </c>
      <c r="T125" s="16">
        <v>38077</v>
      </c>
      <c r="U125" s="1">
        <v>3380.5079999999998</v>
      </c>
      <c r="V125" s="16">
        <v>38077</v>
      </c>
      <c r="W125" s="1">
        <v>1486.682</v>
      </c>
      <c r="X125" s="15">
        <v>35461</v>
      </c>
      <c r="Y125" s="8">
        <v>26790</v>
      </c>
      <c r="Z125" s="15">
        <v>35430</v>
      </c>
      <c r="AA125" s="8">
        <v>8180</v>
      </c>
      <c r="AB125" s="15">
        <v>35430</v>
      </c>
      <c r="AC125" s="8">
        <v>2210</v>
      </c>
      <c r="AD125" s="15">
        <v>35430</v>
      </c>
      <c r="AE125" s="8">
        <v>3750</v>
      </c>
      <c r="AF125" s="15">
        <v>35430</v>
      </c>
      <c r="AG125" s="8">
        <v>770</v>
      </c>
      <c r="AH125" s="15">
        <v>35430</v>
      </c>
      <c r="AI125" s="8">
        <v>1390</v>
      </c>
      <c r="AJ125" s="15">
        <v>35430</v>
      </c>
      <c r="AK125" s="8">
        <v>2190</v>
      </c>
      <c r="AL125" s="15">
        <v>35430</v>
      </c>
      <c r="AM125" s="8">
        <v>3100</v>
      </c>
      <c r="AN125" s="15">
        <v>35430</v>
      </c>
      <c r="AO125" s="8">
        <v>2070</v>
      </c>
      <c r="AP125" s="5">
        <v>39903</v>
      </c>
      <c r="AQ125" s="4">
        <v>15.823</v>
      </c>
      <c r="AR125" s="11">
        <v>36038</v>
      </c>
      <c r="AS125" s="11">
        <v>36038</v>
      </c>
      <c r="AT125" s="10">
        <v>12.56</v>
      </c>
    </row>
    <row r="126" spans="1:46" x14ac:dyDescent="0.25">
      <c r="A126" s="16">
        <v>22036</v>
      </c>
      <c r="B126" s="1">
        <v>7038</v>
      </c>
      <c r="C126" s="13" t="str">
        <f t="shared" si="1"/>
        <v>111992</v>
      </c>
      <c r="D126" s="2">
        <v>33938</v>
      </c>
      <c r="E126" s="1">
        <v>1547</v>
      </c>
      <c r="F126" s="16">
        <v>38107</v>
      </c>
      <c r="G126" s="1">
        <v>8168.5</v>
      </c>
      <c r="H126" s="16">
        <v>38107</v>
      </c>
      <c r="I126" s="1">
        <v>4159</v>
      </c>
      <c r="J126" s="16">
        <v>38107</v>
      </c>
      <c r="K126" s="1">
        <v>2343</v>
      </c>
      <c r="L126" s="16">
        <v>38107</v>
      </c>
      <c r="M126" s="1">
        <v>1515</v>
      </c>
      <c r="N126" s="16">
        <v>38107</v>
      </c>
      <c r="O126" s="1">
        <v>2350</v>
      </c>
      <c r="P126" s="16">
        <v>38107</v>
      </c>
      <c r="Q126" s="1">
        <v>9064.0849999999991</v>
      </c>
      <c r="R126" s="16">
        <v>38107</v>
      </c>
      <c r="S126" s="1">
        <v>2534.4789999999998</v>
      </c>
      <c r="T126" s="16">
        <v>38107</v>
      </c>
      <c r="U126" s="1">
        <v>3423.9639999999999</v>
      </c>
      <c r="V126" s="16">
        <v>38107</v>
      </c>
      <c r="W126" s="1">
        <v>1456.2660000000001</v>
      </c>
      <c r="X126" s="15">
        <v>35489</v>
      </c>
      <c r="Y126" s="8">
        <v>26920</v>
      </c>
      <c r="Z126" s="15">
        <v>35461</v>
      </c>
      <c r="AA126" s="8">
        <v>8150</v>
      </c>
      <c r="AB126" s="15">
        <v>35461</v>
      </c>
      <c r="AC126" s="8">
        <v>2220</v>
      </c>
      <c r="AD126" s="15">
        <v>35461</v>
      </c>
      <c r="AE126" s="8">
        <v>3700</v>
      </c>
      <c r="AF126" s="15">
        <v>35461</v>
      </c>
      <c r="AG126" s="8">
        <v>1100</v>
      </c>
      <c r="AH126" s="15">
        <v>35461</v>
      </c>
      <c r="AI126" s="8">
        <v>1420</v>
      </c>
      <c r="AJ126" s="15">
        <v>35461</v>
      </c>
      <c r="AK126" s="8">
        <v>2190</v>
      </c>
      <c r="AL126" s="15">
        <v>35461</v>
      </c>
      <c r="AM126" s="8">
        <v>3150</v>
      </c>
      <c r="AN126" s="15">
        <v>35461</v>
      </c>
      <c r="AO126" s="8">
        <v>2070</v>
      </c>
      <c r="AP126" s="5">
        <v>39933</v>
      </c>
      <c r="AQ126" s="4">
        <v>15.593999999999999</v>
      </c>
      <c r="AR126" s="11">
        <v>36068</v>
      </c>
      <c r="AS126" s="11">
        <v>36068</v>
      </c>
      <c r="AT126" s="10">
        <v>14.68</v>
      </c>
    </row>
    <row r="127" spans="1:46" x14ac:dyDescent="0.25">
      <c r="A127" s="16">
        <v>22067</v>
      </c>
      <c r="B127" s="1">
        <v>6848</v>
      </c>
      <c r="C127" s="13" t="str">
        <f t="shared" si="1"/>
        <v>121992</v>
      </c>
      <c r="D127" s="2">
        <v>33969</v>
      </c>
      <c r="E127" s="1">
        <v>-11789</v>
      </c>
      <c r="F127" s="16">
        <v>38138</v>
      </c>
      <c r="G127" s="1">
        <v>9089.5</v>
      </c>
      <c r="H127" s="16">
        <v>38138</v>
      </c>
      <c r="I127" s="1">
        <v>3954</v>
      </c>
      <c r="J127" s="16">
        <v>38138</v>
      </c>
      <c r="K127" s="1">
        <v>1958</v>
      </c>
      <c r="L127" s="16">
        <v>38138</v>
      </c>
      <c r="M127" s="1">
        <v>1535</v>
      </c>
      <c r="N127" s="16">
        <v>38138</v>
      </c>
      <c r="O127" s="1">
        <v>2345</v>
      </c>
      <c r="P127" s="16">
        <v>38138</v>
      </c>
      <c r="Q127" s="1">
        <v>9133.6270000000004</v>
      </c>
      <c r="R127" s="16">
        <v>38138</v>
      </c>
      <c r="S127" s="1">
        <v>2591.2809999999999</v>
      </c>
      <c r="T127" s="16">
        <v>38138</v>
      </c>
      <c r="U127" s="1">
        <v>3458.047</v>
      </c>
      <c r="V127" s="16">
        <v>38138</v>
      </c>
      <c r="W127" s="1">
        <v>1427.15</v>
      </c>
      <c r="X127" s="15">
        <v>35520</v>
      </c>
      <c r="Y127" s="8">
        <v>27020</v>
      </c>
      <c r="Z127" s="15">
        <v>35489</v>
      </c>
      <c r="AA127" s="8">
        <v>8180</v>
      </c>
      <c r="AB127" s="15">
        <v>35489</v>
      </c>
      <c r="AC127" s="8">
        <v>2230</v>
      </c>
      <c r="AD127" s="15">
        <v>35489</v>
      </c>
      <c r="AE127" s="8">
        <v>3700</v>
      </c>
      <c r="AF127" s="15">
        <v>35489</v>
      </c>
      <c r="AG127" s="8">
        <v>1140</v>
      </c>
      <c r="AH127" s="15">
        <v>35489</v>
      </c>
      <c r="AI127" s="8">
        <v>1420</v>
      </c>
      <c r="AJ127" s="15">
        <v>35489</v>
      </c>
      <c r="AK127" s="8">
        <v>2200</v>
      </c>
      <c r="AL127" s="15">
        <v>35489</v>
      </c>
      <c r="AM127" s="8">
        <v>3160</v>
      </c>
      <c r="AN127" s="15">
        <v>35489</v>
      </c>
      <c r="AO127" s="8">
        <v>2060</v>
      </c>
      <c r="AP127" s="5">
        <v>39964</v>
      </c>
      <c r="AQ127" s="4">
        <v>16.032</v>
      </c>
      <c r="AR127" s="11">
        <v>36098</v>
      </c>
      <c r="AS127" s="11">
        <v>36098</v>
      </c>
      <c r="AT127" s="10">
        <v>13.22</v>
      </c>
    </row>
    <row r="128" spans="1:46" x14ac:dyDescent="0.25">
      <c r="A128" s="16">
        <v>22097</v>
      </c>
      <c r="B128" s="1">
        <v>6939</v>
      </c>
      <c r="C128" s="13" t="str">
        <f t="shared" si="1"/>
        <v>11993</v>
      </c>
      <c r="D128" s="2">
        <v>33998</v>
      </c>
      <c r="E128" s="1">
        <v>2002</v>
      </c>
      <c r="F128" s="16">
        <v>38168</v>
      </c>
      <c r="G128" s="1">
        <v>9759.5</v>
      </c>
      <c r="H128" s="16">
        <v>38168</v>
      </c>
      <c r="I128" s="1">
        <v>4129</v>
      </c>
      <c r="J128" s="16">
        <v>38168</v>
      </c>
      <c r="K128" s="1">
        <v>1583</v>
      </c>
      <c r="L128" s="16">
        <v>38168</v>
      </c>
      <c r="M128" s="1">
        <v>1565</v>
      </c>
      <c r="N128" s="16">
        <v>38168</v>
      </c>
      <c r="O128" s="1">
        <v>2375</v>
      </c>
      <c r="P128" s="16">
        <v>38168</v>
      </c>
      <c r="Q128" s="1">
        <v>9303.991</v>
      </c>
      <c r="R128" s="16">
        <v>38168</v>
      </c>
      <c r="S128" s="1">
        <v>2831.8470000000002</v>
      </c>
      <c r="T128" s="16">
        <v>38168</v>
      </c>
      <c r="U128" s="1">
        <v>3494.826</v>
      </c>
      <c r="V128" s="16">
        <v>38168</v>
      </c>
      <c r="W128" s="1">
        <v>1489.01</v>
      </c>
      <c r="X128" s="15">
        <v>35550</v>
      </c>
      <c r="Y128" s="8">
        <v>27090</v>
      </c>
      <c r="Z128" s="15">
        <v>35520</v>
      </c>
      <c r="AA128" s="8">
        <v>8150</v>
      </c>
      <c r="AB128" s="15">
        <v>35520</v>
      </c>
      <c r="AC128" s="8">
        <v>2230</v>
      </c>
      <c r="AD128" s="15">
        <v>35520</v>
      </c>
      <c r="AE128" s="8">
        <v>3690</v>
      </c>
      <c r="AF128" s="15">
        <v>35520</v>
      </c>
      <c r="AG128" s="8">
        <v>1270</v>
      </c>
      <c r="AH128" s="15">
        <v>35520</v>
      </c>
      <c r="AI128" s="8">
        <v>1410</v>
      </c>
      <c r="AJ128" s="15">
        <v>35520</v>
      </c>
      <c r="AK128" s="8">
        <v>2200</v>
      </c>
      <c r="AL128" s="15">
        <v>35520</v>
      </c>
      <c r="AM128" s="8">
        <v>3170</v>
      </c>
      <c r="AN128" s="15">
        <v>35520</v>
      </c>
      <c r="AO128" s="8">
        <v>2070</v>
      </c>
      <c r="AP128" s="5">
        <v>39994</v>
      </c>
      <c r="AQ128" s="4">
        <v>15.714</v>
      </c>
      <c r="AR128" s="11">
        <v>36129</v>
      </c>
      <c r="AS128" s="11">
        <v>36129</v>
      </c>
      <c r="AT128" s="10">
        <v>10.46</v>
      </c>
    </row>
    <row r="129" spans="1:46" x14ac:dyDescent="0.25">
      <c r="A129" s="16">
        <v>22128</v>
      </c>
      <c r="B129" s="1">
        <v>6860</v>
      </c>
      <c r="C129" s="13" t="str">
        <f t="shared" si="1"/>
        <v>21993</v>
      </c>
      <c r="D129" s="2">
        <v>34026</v>
      </c>
      <c r="E129" s="1">
        <v>7883</v>
      </c>
      <c r="F129" s="16">
        <v>38199</v>
      </c>
      <c r="G129" s="1">
        <v>9885.5</v>
      </c>
      <c r="H129" s="16">
        <v>38199</v>
      </c>
      <c r="I129" s="1">
        <v>4024</v>
      </c>
      <c r="J129" s="16">
        <v>38199</v>
      </c>
      <c r="K129" s="1">
        <v>1888</v>
      </c>
      <c r="L129" s="16">
        <v>38199</v>
      </c>
      <c r="M129" s="1">
        <v>1605</v>
      </c>
      <c r="N129" s="16">
        <v>38199</v>
      </c>
      <c r="O129" s="1">
        <v>2455</v>
      </c>
      <c r="P129" s="16">
        <v>38199</v>
      </c>
      <c r="Q129" s="1">
        <v>9353.9040000000005</v>
      </c>
      <c r="R129" s="16">
        <v>38199</v>
      </c>
      <c r="S129" s="1">
        <v>2653.3919999999998</v>
      </c>
      <c r="T129" s="16">
        <v>38199</v>
      </c>
      <c r="U129" s="1">
        <v>3482.8110000000001</v>
      </c>
      <c r="V129" s="16">
        <v>38199</v>
      </c>
      <c r="W129" s="1">
        <v>1520.682</v>
      </c>
      <c r="X129" s="15">
        <v>35581</v>
      </c>
      <c r="Y129" s="8">
        <v>26960</v>
      </c>
      <c r="Z129" s="15">
        <v>35550</v>
      </c>
      <c r="AA129" s="8">
        <v>8160</v>
      </c>
      <c r="AB129" s="15">
        <v>35550</v>
      </c>
      <c r="AC129" s="8">
        <v>2250</v>
      </c>
      <c r="AD129" s="15">
        <v>35550</v>
      </c>
      <c r="AE129" s="8">
        <v>3700</v>
      </c>
      <c r="AF129" s="15">
        <v>35550</v>
      </c>
      <c r="AG129" s="8">
        <v>1310</v>
      </c>
      <c r="AH129" s="15">
        <v>35550</v>
      </c>
      <c r="AI129" s="8">
        <v>1410</v>
      </c>
      <c r="AJ129" s="15">
        <v>35550</v>
      </c>
      <c r="AK129" s="8">
        <v>2180</v>
      </c>
      <c r="AL129" s="15">
        <v>35550</v>
      </c>
      <c r="AM129" s="8">
        <v>3170</v>
      </c>
      <c r="AN129" s="15">
        <v>35550</v>
      </c>
      <c r="AO129" s="8">
        <v>2070</v>
      </c>
      <c r="AP129" s="5">
        <v>40025</v>
      </c>
      <c r="AQ129" s="4">
        <v>16.143000000000001</v>
      </c>
      <c r="AR129" s="11">
        <v>36160</v>
      </c>
      <c r="AS129" s="11">
        <v>36160</v>
      </c>
      <c r="AT129" s="10">
        <v>10.53</v>
      </c>
    </row>
    <row r="130" spans="1:46" x14ac:dyDescent="0.25">
      <c r="A130" s="16">
        <v>22159</v>
      </c>
      <c r="B130" s="1">
        <v>6940</v>
      </c>
      <c r="C130" s="13" t="str">
        <f t="shared" si="1"/>
        <v>31993</v>
      </c>
      <c r="D130" s="2">
        <v>34059</v>
      </c>
      <c r="E130" s="1">
        <v>7898</v>
      </c>
      <c r="F130" s="16">
        <v>38230</v>
      </c>
      <c r="G130" s="1">
        <v>9912.5</v>
      </c>
      <c r="H130" s="16">
        <v>38230</v>
      </c>
      <c r="I130" s="1">
        <v>4034</v>
      </c>
      <c r="J130" s="16">
        <v>38230</v>
      </c>
      <c r="K130" s="1">
        <v>1643</v>
      </c>
      <c r="L130" s="16">
        <v>38230</v>
      </c>
      <c r="M130" s="1">
        <v>1615</v>
      </c>
      <c r="N130" s="16">
        <v>38230</v>
      </c>
      <c r="O130" s="1">
        <v>2405</v>
      </c>
      <c r="P130" s="16">
        <v>38230</v>
      </c>
      <c r="Q130" s="1">
        <v>9425.4</v>
      </c>
      <c r="R130" s="16">
        <v>38230</v>
      </c>
      <c r="S130" s="1">
        <v>2528.7089999999998</v>
      </c>
      <c r="T130" s="16">
        <v>38230</v>
      </c>
      <c r="U130" s="1">
        <v>3531.5279999999998</v>
      </c>
      <c r="V130" s="16">
        <v>38230</v>
      </c>
      <c r="W130" s="1">
        <v>1508.8130000000001</v>
      </c>
      <c r="X130" s="15">
        <v>35611</v>
      </c>
      <c r="Y130" s="8">
        <v>26580</v>
      </c>
      <c r="Z130" s="15">
        <v>35581</v>
      </c>
      <c r="AA130" s="8">
        <v>8160</v>
      </c>
      <c r="AB130" s="15">
        <v>35581</v>
      </c>
      <c r="AC130" s="8">
        <v>2090</v>
      </c>
      <c r="AD130" s="15">
        <v>35581</v>
      </c>
      <c r="AE130" s="8">
        <v>3690</v>
      </c>
      <c r="AF130" s="15">
        <v>35581</v>
      </c>
      <c r="AG130" s="8">
        <v>1300</v>
      </c>
      <c r="AH130" s="15">
        <v>35581</v>
      </c>
      <c r="AI130" s="8">
        <v>1420</v>
      </c>
      <c r="AJ130" s="15">
        <v>35581</v>
      </c>
      <c r="AK130" s="8">
        <v>2220</v>
      </c>
      <c r="AL130" s="15">
        <v>35581</v>
      </c>
      <c r="AM130" s="8">
        <v>3170</v>
      </c>
      <c r="AN130" s="15">
        <v>35581</v>
      </c>
      <c r="AO130" s="8">
        <v>2070</v>
      </c>
      <c r="AP130" s="5">
        <v>40056</v>
      </c>
      <c r="AQ130" s="4">
        <v>16.321999999999999</v>
      </c>
      <c r="AR130" s="11">
        <v>36189</v>
      </c>
      <c r="AS130" s="11">
        <v>36189</v>
      </c>
      <c r="AT130" s="10">
        <v>11.35</v>
      </c>
    </row>
    <row r="131" spans="1:46" x14ac:dyDescent="0.25">
      <c r="A131" s="16">
        <v>22189</v>
      </c>
      <c r="B131" s="1">
        <v>6971</v>
      </c>
      <c r="C131" s="13" t="str">
        <f t="shared" si="1"/>
        <v>41993</v>
      </c>
      <c r="D131" s="2">
        <v>34089</v>
      </c>
      <c r="E131" s="1">
        <v>2697</v>
      </c>
      <c r="F131" s="16">
        <v>38260</v>
      </c>
      <c r="G131" s="1">
        <v>9763.5</v>
      </c>
      <c r="H131" s="16">
        <v>38260</v>
      </c>
      <c r="I131" s="1">
        <v>3984</v>
      </c>
      <c r="J131" s="16">
        <v>38260</v>
      </c>
      <c r="K131" s="1">
        <v>2248</v>
      </c>
      <c r="L131" s="16">
        <v>38260</v>
      </c>
      <c r="M131" s="1">
        <v>1615</v>
      </c>
      <c r="N131" s="16">
        <v>38260</v>
      </c>
      <c r="O131" s="1">
        <v>2405</v>
      </c>
      <c r="P131" s="16">
        <v>38260</v>
      </c>
      <c r="Q131" s="1">
        <v>9470.9809999999998</v>
      </c>
      <c r="R131" s="16">
        <v>38260</v>
      </c>
      <c r="S131" s="1">
        <v>2495.1489999999999</v>
      </c>
      <c r="T131" s="16">
        <v>38260</v>
      </c>
      <c r="U131" s="1">
        <v>3559.7139999999999</v>
      </c>
      <c r="V131" s="16">
        <v>38260</v>
      </c>
      <c r="W131" s="1">
        <v>1529.6579999999999</v>
      </c>
      <c r="X131" s="15">
        <v>35642</v>
      </c>
      <c r="Y131" s="8">
        <v>26510</v>
      </c>
      <c r="Z131" s="15">
        <v>35611</v>
      </c>
      <c r="AA131" s="8">
        <v>8160</v>
      </c>
      <c r="AB131" s="15">
        <v>35611</v>
      </c>
      <c r="AC131" s="8">
        <v>2260</v>
      </c>
      <c r="AD131" s="15">
        <v>35611</v>
      </c>
      <c r="AE131" s="8">
        <v>3700</v>
      </c>
      <c r="AF131" s="15">
        <v>35611</v>
      </c>
      <c r="AG131" s="8">
        <v>660</v>
      </c>
      <c r="AH131" s="15">
        <v>35611</v>
      </c>
      <c r="AI131" s="8">
        <v>1430</v>
      </c>
      <c r="AJ131" s="15">
        <v>35611</v>
      </c>
      <c r="AK131" s="8">
        <v>2260</v>
      </c>
      <c r="AL131" s="15">
        <v>35611</v>
      </c>
      <c r="AM131" s="8">
        <v>3180</v>
      </c>
      <c r="AN131" s="15">
        <v>35611</v>
      </c>
      <c r="AO131" s="8">
        <v>2080</v>
      </c>
      <c r="AP131" s="5">
        <v>40086</v>
      </c>
      <c r="AQ131" s="4">
        <v>15.724</v>
      </c>
      <c r="AR131" s="11">
        <v>36217</v>
      </c>
      <c r="AS131" s="11">
        <v>36217</v>
      </c>
      <c r="AT131" s="10">
        <v>10.88</v>
      </c>
    </row>
    <row r="132" spans="1:46" x14ac:dyDescent="0.25">
      <c r="A132" s="16">
        <v>22220</v>
      </c>
      <c r="B132" s="1">
        <v>6958</v>
      </c>
      <c r="C132" s="13" t="str">
        <f t="shared" si="1"/>
        <v>51993</v>
      </c>
      <c r="D132" s="2">
        <v>34120</v>
      </c>
      <c r="E132" s="1">
        <v>-3818</v>
      </c>
      <c r="F132" s="16">
        <v>38291</v>
      </c>
      <c r="G132" s="1">
        <v>9840.5</v>
      </c>
      <c r="H132" s="16">
        <v>38291</v>
      </c>
      <c r="I132" s="1">
        <v>4017.3150000000001</v>
      </c>
      <c r="J132" s="16">
        <v>38291</v>
      </c>
      <c r="K132" s="1">
        <v>2218</v>
      </c>
      <c r="L132" s="16">
        <v>38291</v>
      </c>
      <c r="M132" s="1">
        <v>1645</v>
      </c>
      <c r="N132" s="16">
        <v>38291</v>
      </c>
      <c r="O132" s="1">
        <v>2435</v>
      </c>
      <c r="P132" s="16">
        <v>38291</v>
      </c>
      <c r="Q132" s="1">
        <v>9449.5630000000001</v>
      </c>
      <c r="R132" s="16">
        <v>38291</v>
      </c>
      <c r="S132" s="1">
        <v>2553</v>
      </c>
      <c r="T132" s="16">
        <v>38291</v>
      </c>
      <c r="U132" s="1">
        <v>3459.8110000000001</v>
      </c>
      <c r="V132" s="16">
        <v>38291</v>
      </c>
      <c r="W132" s="1">
        <v>1507.3019999999999</v>
      </c>
      <c r="X132" s="15">
        <v>35673</v>
      </c>
      <c r="Y132" s="8">
        <v>27150</v>
      </c>
      <c r="Z132" s="15">
        <v>35642</v>
      </c>
      <c r="AA132" s="8">
        <v>8160</v>
      </c>
      <c r="AB132" s="15">
        <v>35642</v>
      </c>
      <c r="AC132" s="8">
        <v>2260</v>
      </c>
      <c r="AD132" s="15">
        <v>35642</v>
      </c>
      <c r="AE132" s="8">
        <v>3680</v>
      </c>
      <c r="AF132" s="15">
        <v>35642</v>
      </c>
      <c r="AG132" s="8">
        <v>610</v>
      </c>
      <c r="AH132" s="15">
        <v>35642</v>
      </c>
      <c r="AI132" s="8">
        <v>1440</v>
      </c>
      <c r="AJ132" s="15">
        <v>35642</v>
      </c>
      <c r="AK132" s="8">
        <v>2270</v>
      </c>
      <c r="AL132" s="15">
        <v>35642</v>
      </c>
      <c r="AM132" s="8">
        <v>3200</v>
      </c>
      <c r="AN132" s="15">
        <v>35642</v>
      </c>
      <c r="AO132" s="8">
        <v>2040</v>
      </c>
      <c r="AP132" s="5">
        <v>40117</v>
      </c>
      <c r="AQ132" s="4">
        <v>16.254999999999999</v>
      </c>
      <c r="AR132" s="11">
        <v>36250</v>
      </c>
      <c r="AS132" s="11">
        <v>36250</v>
      </c>
      <c r="AT132" s="10">
        <v>15.24</v>
      </c>
    </row>
    <row r="133" spans="1:46" x14ac:dyDescent="0.25">
      <c r="A133" s="16">
        <v>22250</v>
      </c>
      <c r="B133" s="1">
        <v>7133</v>
      </c>
      <c r="C133" s="13" t="str">
        <f t="shared" ref="C133:C196" si="2">MONTH(D133)&amp;YEAR(D133)</f>
        <v>61993</v>
      </c>
      <c r="D133" s="2">
        <v>34150</v>
      </c>
      <c r="E133" s="1">
        <v>6290</v>
      </c>
      <c r="F133" s="16">
        <v>38321</v>
      </c>
      <c r="G133" s="1">
        <v>9992.5</v>
      </c>
      <c r="H133" s="16">
        <v>38321</v>
      </c>
      <c r="I133" s="1">
        <v>4162.3149999999996</v>
      </c>
      <c r="J133" s="16">
        <v>38321</v>
      </c>
      <c r="K133" s="1">
        <v>1788</v>
      </c>
      <c r="L133" s="16">
        <v>38321</v>
      </c>
      <c r="M133" s="1">
        <v>1645</v>
      </c>
      <c r="N133" s="16">
        <v>38321</v>
      </c>
      <c r="O133" s="1">
        <v>2420</v>
      </c>
      <c r="P133" s="16">
        <v>38321</v>
      </c>
      <c r="Q133" s="1">
        <v>9438.8369999999995</v>
      </c>
      <c r="R133" s="16">
        <v>38321</v>
      </c>
      <c r="S133" s="1">
        <v>2431.5529999999999</v>
      </c>
      <c r="T133" s="16">
        <v>38321</v>
      </c>
      <c r="U133" s="1">
        <v>3523.4760000000001</v>
      </c>
      <c r="V133" s="16">
        <v>38321</v>
      </c>
      <c r="W133" s="1">
        <v>1457.9169999999999</v>
      </c>
      <c r="X133" s="15">
        <v>35703</v>
      </c>
      <c r="Y133" s="8">
        <v>27540</v>
      </c>
      <c r="Z133" s="15">
        <v>35673</v>
      </c>
      <c r="AA133" s="8">
        <v>8160</v>
      </c>
      <c r="AB133" s="15">
        <v>35673</v>
      </c>
      <c r="AC133" s="8">
        <v>2260</v>
      </c>
      <c r="AD133" s="15">
        <v>35673</v>
      </c>
      <c r="AE133" s="8">
        <v>3670</v>
      </c>
      <c r="AF133" s="15">
        <v>35673</v>
      </c>
      <c r="AG133" s="8">
        <v>1250</v>
      </c>
      <c r="AH133" s="15">
        <v>35673</v>
      </c>
      <c r="AI133" s="8">
        <v>1450</v>
      </c>
      <c r="AJ133" s="15">
        <v>35673</v>
      </c>
      <c r="AK133" s="8">
        <v>2200</v>
      </c>
      <c r="AL133" s="15">
        <v>35673</v>
      </c>
      <c r="AM133" s="8">
        <v>3220</v>
      </c>
      <c r="AN133" s="15">
        <v>35673</v>
      </c>
      <c r="AO133" s="8">
        <v>2070</v>
      </c>
      <c r="AP133" s="5">
        <v>40147</v>
      </c>
      <c r="AQ133" s="4">
        <v>15.669</v>
      </c>
      <c r="AR133" s="11">
        <v>36280</v>
      </c>
      <c r="AS133" s="11">
        <v>36280</v>
      </c>
      <c r="AT133" s="10">
        <v>16.57</v>
      </c>
    </row>
    <row r="134" spans="1:46" x14ac:dyDescent="0.25">
      <c r="A134" s="16">
        <v>22281</v>
      </c>
      <c r="B134" s="1">
        <v>7150</v>
      </c>
      <c r="C134" s="13" t="str">
        <f t="shared" si="2"/>
        <v>71993</v>
      </c>
      <c r="D134" s="2">
        <v>34180</v>
      </c>
      <c r="E134" s="1">
        <v>-4417</v>
      </c>
      <c r="F134" s="16">
        <v>38352</v>
      </c>
      <c r="G134" s="1">
        <v>9722.5</v>
      </c>
      <c r="H134" s="16">
        <v>38352</v>
      </c>
      <c r="I134" s="1">
        <v>4147.3149999999996</v>
      </c>
      <c r="J134" s="16">
        <v>38352</v>
      </c>
      <c r="K134" s="1">
        <v>1948</v>
      </c>
      <c r="L134" s="16">
        <v>38352</v>
      </c>
      <c r="M134" s="1">
        <v>1645</v>
      </c>
      <c r="N134" s="16">
        <v>38352</v>
      </c>
      <c r="O134" s="1">
        <v>2320</v>
      </c>
      <c r="P134" s="16">
        <v>38352</v>
      </c>
      <c r="Q134" s="1">
        <v>9381.7009999999991</v>
      </c>
      <c r="R134" s="16">
        <v>38352</v>
      </c>
      <c r="S134" s="1">
        <v>2596.1460000000002</v>
      </c>
      <c r="T134" s="16">
        <v>38352</v>
      </c>
      <c r="U134" s="1">
        <v>3505.1149999999998</v>
      </c>
      <c r="V134" s="16">
        <v>38352</v>
      </c>
      <c r="W134" s="1">
        <v>1500.826</v>
      </c>
      <c r="X134" s="15">
        <v>35734</v>
      </c>
      <c r="Y134" s="8">
        <v>27840</v>
      </c>
      <c r="Z134" s="15">
        <v>35703</v>
      </c>
      <c r="AA134" s="8">
        <v>8190</v>
      </c>
      <c r="AB134" s="15">
        <v>35703</v>
      </c>
      <c r="AC134" s="8">
        <v>2260</v>
      </c>
      <c r="AD134" s="15">
        <v>35703</v>
      </c>
      <c r="AE134" s="8">
        <v>3630</v>
      </c>
      <c r="AF134" s="15">
        <v>35703</v>
      </c>
      <c r="AG134" s="8">
        <v>1550</v>
      </c>
      <c r="AH134" s="15">
        <v>35703</v>
      </c>
      <c r="AI134" s="8">
        <v>1440</v>
      </c>
      <c r="AJ134" s="15">
        <v>35703</v>
      </c>
      <c r="AK134" s="8">
        <v>2240</v>
      </c>
      <c r="AL134" s="15">
        <v>35703</v>
      </c>
      <c r="AM134" s="8">
        <v>3270</v>
      </c>
      <c r="AN134" s="15">
        <v>35703</v>
      </c>
      <c r="AO134" s="8">
        <v>2070</v>
      </c>
      <c r="AP134" s="5">
        <v>40178</v>
      </c>
      <c r="AQ134" s="4">
        <v>16.065000000000001</v>
      </c>
      <c r="AR134" s="11">
        <v>36311</v>
      </c>
      <c r="AS134" s="11">
        <v>36311</v>
      </c>
      <c r="AT134" s="10">
        <v>15.2</v>
      </c>
    </row>
    <row r="135" spans="1:46" x14ac:dyDescent="0.25">
      <c r="A135" s="16">
        <v>22312</v>
      </c>
      <c r="B135" s="1">
        <v>7210</v>
      </c>
      <c r="C135" s="13" t="str">
        <f t="shared" si="2"/>
        <v>81993</v>
      </c>
      <c r="D135" s="2">
        <v>34212</v>
      </c>
      <c r="E135" s="1">
        <v>1356</v>
      </c>
      <c r="F135" s="16">
        <v>38383</v>
      </c>
      <c r="G135" s="1">
        <v>9323.43</v>
      </c>
      <c r="H135" s="16">
        <v>38383</v>
      </c>
      <c r="I135" s="1">
        <v>4129</v>
      </c>
      <c r="J135" s="16">
        <v>38383</v>
      </c>
      <c r="K135" s="1">
        <v>1788</v>
      </c>
      <c r="L135" s="16">
        <v>38383</v>
      </c>
      <c r="M135" s="1">
        <v>1635</v>
      </c>
      <c r="N135" s="16">
        <v>38383</v>
      </c>
      <c r="O135" s="1">
        <v>2344.4560000000001</v>
      </c>
      <c r="P135" s="16">
        <v>38383</v>
      </c>
      <c r="Q135" s="1">
        <v>9315.5229999999992</v>
      </c>
      <c r="R135" s="16">
        <v>38383</v>
      </c>
      <c r="S135" s="1">
        <v>2825.0630000000001</v>
      </c>
      <c r="T135" s="16">
        <v>38383</v>
      </c>
      <c r="U135" s="1">
        <v>3588.357</v>
      </c>
      <c r="V135" s="16">
        <v>38383</v>
      </c>
      <c r="W135" s="1">
        <v>1504.0419999999999</v>
      </c>
      <c r="X135" s="15">
        <v>35764</v>
      </c>
      <c r="Y135" s="8">
        <v>27750</v>
      </c>
      <c r="Z135" s="15">
        <v>35734</v>
      </c>
      <c r="AA135" s="8">
        <v>8270</v>
      </c>
      <c r="AB135" s="15">
        <v>35734</v>
      </c>
      <c r="AC135" s="8">
        <v>2250</v>
      </c>
      <c r="AD135" s="15">
        <v>35734</v>
      </c>
      <c r="AE135" s="8">
        <v>3700</v>
      </c>
      <c r="AF135" s="15">
        <v>35734</v>
      </c>
      <c r="AG135" s="8">
        <v>1620</v>
      </c>
      <c r="AH135" s="15">
        <v>35734</v>
      </c>
      <c r="AI135" s="8">
        <v>1440</v>
      </c>
      <c r="AJ135" s="15">
        <v>35734</v>
      </c>
      <c r="AK135" s="8">
        <v>2260</v>
      </c>
      <c r="AL135" s="15">
        <v>35734</v>
      </c>
      <c r="AM135" s="8">
        <v>3310</v>
      </c>
      <c r="AN135" s="15">
        <v>35734</v>
      </c>
      <c r="AO135" s="8">
        <v>2090</v>
      </c>
      <c r="AP135" s="5">
        <v>40209</v>
      </c>
      <c r="AQ135" s="4">
        <v>16.867000000000001</v>
      </c>
      <c r="AR135" s="11">
        <v>36341</v>
      </c>
      <c r="AS135" s="11">
        <v>36341</v>
      </c>
      <c r="AT135" s="10">
        <v>17.510000000000002</v>
      </c>
    </row>
    <row r="136" spans="1:46" x14ac:dyDescent="0.25">
      <c r="A136" s="16">
        <v>22340</v>
      </c>
      <c r="B136" s="1">
        <v>7296</v>
      </c>
      <c r="C136" s="13" t="str">
        <f t="shared" si="2"/>
        <v>91993</v>
      </c>
      <c r="D136" s="2">
        <v>34242</v>
      </c>
      <c r="E136" s="1">
        <v>-9526</v>
      </c>
      <c r="F136" s="16">
        <v>38411</v>
      </c>
      <c r="G136" s="1">
        <v>9747.43</v>
      </c>
      <c r="H136" s="16">
        <v>38411</v>
      </c>
      <c r="I136" s="1">
        <v>4094</v>
      </c>
      <c r="J136" s="16">
        <v>38411</v>
      </c>
      <c r="K136" s="1">
        <v>1798</v>
      </c>
      <c r="L136" s="16">
        <v>38411</v>
      </c>
      <c r="M136" s="1">
        <v>1655</v>
      </c>
      <c r="N136" s="16">
        <v>38411</v>
      </c>
      <c r="O136" s="1">
        <v>2454.4560000000001</v>
      </c>
      <c r="P136" s="16">
        <v>38411</v>
      </c>
      <c r="Q136" s="1">
        <v>9378.4950000000008</v>
      </c>
      <c r="R136" s="16">
        <v>38411</v>
      </c>
      <c r="S136" s="1">
        <v>2990.13</v>
      </c>
      <c r="T136" s="16">
        <v>38411</v>
      </c>
      <c r="U136" s="1">
        <v>3588.357</v>
      </c>
      <c r="V136" s="16">
        <v>38411</v>
      </c>
      <c r="W136" s="1">
        <v>1498.3320000000001</v>
      </c>
      <c r="X136" s="15">
        <v>35795</v>
      </c>
      <c r="Y136" s="8">
        <v>27420</v>
      </c>
      <c r="Z136" s="15">
        <v>35764</v>
      </c>
      <c r="AA136" s="8">
        <v>8370</v>
      </c>
      <c r="AB136" s="15">
        <v>35764</v>
      </c>
      <c r="AC136" s="8">
        <v>2260</v>
      </c>
      <c r="AD136" s="15">
        <v>35764</v>
      </c>
      <c r="AE136" s="8">
        <v>3650</v>
      </c>
      <c r="AF136" s="15">
        <v>35764</v>
      </c>
      <c r="AG136" s="8">
        <v>1400</v>
      </c>
      <c r="AH136" s="15">
        <v>35764</v>
      </c>
      <c r="AI136" s="8">
        <v>1440</v>
      </c>
      <c r="AJ136" s="15">
        <v>35764</v>
      </c>
      <c r="AK136" s="8">
        <v>2260</v>
      </c>
      <c r="AL136" s="15">
        <v>35764</v>
      </c>
      <c r="AM136" s="8">
        <v>3340</v>
      </c>
      <c r="AN136" s="15">
        <v>35764</v>
      </c>
      <c r="AO136" s="8">
        <v>2110</v>
      </c>
      <c r="AP136" s="5">
        <v>40237</v>
      </c>
      <c r="AQ136" s="4">
        <v>15.113</v>
      </c>
      <c r="AR136" s="11">
        <v>36371</v>
      </c>
      <c r="AS136" s="11">
        <v>36371</v>
      </c>
      <c r="AT136" s="10">
        <v>19.37</v>
      </c>
    </row>
    <row r="137" spans="1:46" x14ac:dyDescent="0.25">
      <c r="A137" s="16">
        <v>22371</v>
      </c>
      <c r="B137" s="1">
        <v>7471</v>
      </c>
      <c r="C137" s="13" t="str">
        <f t="shared" si="2"/>
        <v>101993</v>
      </c>
      <c r="D137" s="2">
        <v>34271</v>
      </c>
      <c r="E137" s="1">
        <v>1784</v>
      </c>
      <c r="F137" s="16">
        <v>38442</v>
      </c>
      <c r="G137" s="1">
        <v>9630.43</v>
      </c>
      <c r="H137" s="16">
        <v>38442</v>
      </c>
      <c r="I137" s="1">
        <v>3944</v>
      </c>
      <c r="J137" s="16">
        <v>38442</v>
      </c>
      <c r="K137" s="1">
        <v>1798</v>
      </c>
      <c r="L137" s="16">
        <v>38442</v>
      </c>
      <c r="M137" s="1">
        <v>1655</v>
      </c>
      <c r="N137" s="16">
        <v>38442</v>
      </c>
      <c r="O137" s="1">
        <v>2464.4560000000001</v>
      </c>
      <c r="P137" s="16">
        <v>38442</v>
      </c>
      <c r="Q137" s="1">
        <v>9382.5310000000009</v>
      </c>
      <c r="R137" s="16">
        <v>38442</v>
      </c>
      <c r="S137" s="1">
        <v>2829.4270000000001</v>
      </c>
      <c r="T137" s="16">
        <v>38442</v>
      </c>
      <c r="U137" s="1">
        <v>3557.8020000000001</v>
      </c>
      <c r="V137" s="16">
        <v>38442</v>
      </c>
      <c r="W137" s="1">
        <v>1543.9870000000001</v>
      </c>
      <c r="X137" s="15">
        <v>35826</v>
      </c>
      <c r="Y137" s="8">
        <v>28020</v>
      </c>
      <c r="Z137" s="15">
        <v>35795</v>
      </c>
      <c r="AA137" s="8">
        <v>8500</v>
      </c>
      <c r="AB137" s="15">
        <v>35795</v>
      </c>
      <c r="AC137" s="8">
        <v>2280</v>
      </c>
      <c r="AD137" s="15">
        <v>35795</v>
      </c>
      <c r="AE137" s="8">
        <v>3700</v>
      </c>
      <c r="AF137" s="15">
        <v>35795</v>
      </c>
      <c r="AG137" s="8">
        <v>770</v>
      </c>
      <c r="AH137" s="15">
        <v>35795</v>
      </c>
      <c r="AI137" s="8">
        <v>1450</v>
      </c>
      <c r="AJ137" s="15">
        <v>35795</v>
      </c>
      <c r="AK137" s="8">
        <v>2260</v>
      </c>
      <c r="AL137" s="15">
        <v>35795</v>
      </c>
      <c r="AM137" s="8">
        <v>3400</v>
      </c>
      <c r="AN137" s="15">
        <v>35795</v>
      </c>
      <c r="AO137" s="8">
        <v>2150</v>
      </c>
      <c r="AP137" s="5">
        <v>40268</v>
      </c>
      <c r="AQ137" s="4">
        <v>16.916</v>
      </c>
      <c r="AR137" s="11">
        <v>36403</v>
      </c>
      <c r="AS137" s="11">
        <v>36403</v>
      </c>
      <c r="AT137" s="10">
        <v>21.33</v>
      </c>
    </row>
    <row r="138" spans="1:46" x14ac:dyDescent="0.25">
      <c r="A138" s="16">
        <v>22401</v>
      </c>
      <c r="B138" s="1">
        <v>7328</v>
      </c>
      <c r="C138" s="13" t="str">
        <f t="shared" si="2"/>
        <v>111993</v>
      </c>
      <c r="D138" s="2">
        <v>34303</v>
      </c>
      <c r="E138" s="1">
        <v>1393</v>
      </c>
      <c r="F138" s="16">
        <v>38472</v>
      </c>
      <c r="G138" s="1">
        <v>9681.43</v>
      </c>
      <c r="H138" s="16">
        <v>38472</v>
      </c>
      <c r="I138" s="1">
        <v>4069</v>
      </c>
      <c r="J138" s="16">
        <v>38472</v>
      </c>
      <c r="K138" s="1">
        <v>1853</v>
      </c>
      <c r="L138" s="16">
        <v>38472</v>
      </c>
      <c r="M138" s="1">
        <v>1670</v>
      </c>
      <c r="N138" s="16">
        <v>38472</v>
      </c>
      <c r="O138" s="1">
        <v>2473.3620000000001</v>
      </c>
      <c r="P138" s="16">
        <v>38472</v>
      </c>
      <c r="Q138" s="1">
        <v>9349.5689999999995</v>
      </c>
      <c r="R138" s="16">
        <v>38472</v>
      </c>
      <c r="S138" s="1">
        <v>2993.453</v>
      </c>
      <c r="T138" s="16">
        <v>38472</v>
      </c>
      <c r="U138" s="1">
        <v>3571.857</v>
      </c>
      <c r="V138" s="16">
        <v>38472</v>
      </c>
      <c r="W138" s="1">
        <v>1681.1579999999999</v>
      </c>
      <c r="X138" s="15">
        <v>35854</v>
      </c>
      <c r="Y138" s="8">
        <v>28760</v>
      </c>
      <c r="Z138" s="15">
        <v>35826</v>
      </c>
      <c r="AA138" s="8">
        <v>8640</v>
      </c>
      <c r="AB138" s="15">
        <v>35826</v>
      </c>
      <c r="AC138" s="8">
        <v>2350</v>
      </c>
      <c r="AD138" s="15">
        <v>35826</v>
      </c>
      <c r="AE138" s="8">
        <v>3700</v>
      </c>
      <c r="AF138" s="15">
        <v>35826</v>
      </c>
      <c r="AG138" s="8">
        <v>1150</v>
      </c>
      <c r="AH138" s="15">
        <v>35826</v>
      </c>
      <c r="AI138" s="8">
        <v>1450</v>
      </c>
      <c r="AJ138" s="15">
        <v>35826</v>
      </c>
      <c r="AK138" s="8">
        <v>2210</v>
      </c>
      <c r="AL138" s="15">
        <v>35826</v>
      </c>
      <c r="AM138" s="8">
        <v>3410</v>
      </c>
      <c r="AN138" s="15">
        <v>35826</v>
      </c>
      <c r="AO138" s="8">
        <v>2190</v>
      </c>
      <c r="AP138" s="5">
        <v>40298</v>
      </c>
      <c r="AQ138" s="4">
        <v>16.262</v>
      </c>
      <c r="AR138" s="11">
        <v>36433</v>
      </c>
      <c r="AS138" s="11">
        <v>36433</v>
      </c>
      <c r="AT138" s="10">
        <v>23.58</v>
      </c>
    </row>
    <row r="139" spans="1:46" x14ac:dyDescent="0.25">
      <c r="A139" s="16">
        <v>22432</v>
      </c>
      <c r="B139" s="1">
        <v>7147</v>
      </c>
      <c r="C139" s="13" t="str">
        <f t="shared" si="2"/>
        <v>121993</v>
      </c>
      <c r="D139" s="2">
        <v>34334</v>
      </c>
      <c r="E139" s="1">
        <v>-6537</v>
      </c>
      <c r="F139" s="16">
        <v>38503</v>
      </c>
      <c r="G139" s="1">
        <v>9858.43</v>
      </c>
      <c r="H139" s="16">
        <v>38503</v>
      </c>
      <c r="I139" s="1">
        <v>4189</v>
      </c>
      <c r="J139" s="16">
        <v>38503</v>
      </c>
      <c r="K139" s="1">
        <v>1823</v>
      </c>
      <c r="L139" s="16">
        <v>38503</v>
      </c>
      <c r="M139" s="1">
        <v>1685</v>
      </c>
      <c r="N139" s="16">
        <v>38503</v>
      </c>
      <c r="O139" s="1">
        <v>2473.3620000000001</v>
      </c>
      <c r="P139" s="16">
        <v>38503</v>
      </c>
      <c r="Q139" s="1">
        <v>9375.5939999999991</v>
      </c>
      <c r="R139" s="16">
        <v>38503</v>
      </c>
      <c r="S139" s="1">
        <v>2939.8629999999998</v>
      </c>
      <c r="T139" s="16">
        <v>38503</v>
      </c>
      <c r="U139" s="1">
        <v>3594.806</v>
      </c>
      <c r="V139" s="16">
        <v>38503</v>
      </c>
      <c r="W139" s="1">
        <v>1694.1320000000001</v>
      </c>
      <c r="X139" s="15">
        <v>35885</v>
      </c>
      <c r="Y139" s="8">
        <v>28820</v>
      </c>
      <c r="Z139" s="15">
        <v>35854</v>
      </c>
      <c r="AA139" s="8">
        <v>8700</v>
      </c>
      <c r="AB139" s="15">
        <v>35854</v>
      </c>
      <c r="AC139" s="8">
        <v>2350</v>
      </c>
      <c r="AD139" s="15">
        <v>35854</v>
      </c>
      <c r="AE139" s="8">
        <v>3700</v>
      </c>
      <c r="AF139" s="15">
        <v>35854</v>
      </c>
      <c r="AG139" s="8">
        <v>1700</v>
      </c>
      <c r="AH139" s="15">
        <v>35854</v>
      </c>
      <c r="AI139" s="8">
        <v>1470</v>
      </c>
      <c r="AJ139" s="15">
        <v>35854</v>
      </c>
      <c r="AK139" s="8">
        <v>2270</v>
      </c>
      <c r="AL139" s="15">
        <v>35854</v>
      </c>
      <c r="AM139" s="8">
        <v>3450</v>
      </c>
      <c r="AN139" s="15">
        <v>35854</v>
      </c>
      <c r="AO139" s="8">
        <v>2200</v>
      </c>
      <c r="AP139" s="5">
        <v>40329</v>
      </c>
      <c r="AQ139" s="4">
        <v>17.152999999999999</v>
      </c>
      <c r="AR139" s="11">
        <v>36462</v>
      </c>
      <c r="AS139" s="11">
        <v>36462</v>
      </c>
      <c r="AT139" s="10">
        <v>21.69</v>
      </c>
    </row>
    <row r="140" spans="1:46" x14ac:dyDescent="0.25">
      <c r="A140" s="16">
        <v>22462</v>
      </c>
      <c r="B140" s="1">
        <v>7103</v>
      </c>
      <c r="C140" s="13" t="str">
        <f t="shared" si="2"/>
        <v>11994</v>
      </c>
      <c r="D140" s="2">
        <v>34365</v>
      </c>
      <c r="E140" s="1">
        <v>3090</v>
      </c>
      <c r="F140" s="16">
        <v>38533</v>
      </c>
      <c r="G140" s="1">
        <v>9858.43</v>
      </c>
      <c r="H140" s="16">
        <v>38533</v>
      </c>
      <c r="I140" s="1">
        <v>4184</v>
      </c>
      <c r="J140" s="16">
        <v>38533</v>
      </c>
      <c r="K140" s="1">
        <v>1858</v>
      </c>
      <c r="L140" s="16">
        <v>38533</v>
      </c>
      <c r="M140" s="1">
        <v>1685</v>
      </c>
      <c r="N140" s="16">
        <v>38533</v>
      </c>
      <c r="O140" s="1">
        <v>2508.3620000000001</v>
      </c>
      <c r="P140" s="16">
        <v>38533</v>
      </c>
      <c r="Q140" s="1">
        <v>9470.9419999999991</v>
      </c>
      <c r="R140" s="16">
        <v>38533</v>
      </c>
      <c r="S140" s="1">
        <v>2889.636</v>
      </c>
      <c r="T140" s="16">
        <v>38533</v>
      </c>
      <c r="U140" s="1">
        <v>3630.268</v>
      </c>
      <c r="V140" s="16">
        <v>38533</v>
      </c>
      <c r="W140" s="1">
        <v>1703.5989999999999</v>
      </c>
      <c r="X140" s="15">
        <v>35915</v>
      </c>
      <c r="Y140" s="8">
        <v>28140</v>
      </c>
      <c r="Z140" s="15">
        <v>35885</v>
      </c>
      <c r="AA140" s="8">
        <v>8620</v>
      </c>
      <c r="AB140" s="15">
        <v>35885</v>
      </c>
      <c r="AC140" s="8">
        <v>2400</v>
      </c>
      <c r="AD140" s="15">
        <v>35885</v>
      </c>
      <c r="AE140" s="8">
        <v>3600</v>
      </c>
      <c r="AF140" s="15">
        <v>35885</v>
      </c>
      <c r="AG140" s="8">
        <v>1890</v>
      </c>
      <c r="AH140" s="15">
        <v>35885</v>
      </c>
      <c r="AI140" s="8">
        <v>1460</v>
      </c>
      <c r="AJ140" s="15">
        <v>35885</v>
      </c>
      <c r="AK140" s="8">
        <v>2280</v>
      </c>
      <c r="AL140" s="15">
        <v>35885</v>
      </c>
      <c r="AM140" s="8">
        <v>3400</v>
      </c>
      <c r="AN140" s="15">
        <v>35885</v>
      </c>
      <c r="AO140" s="8">
        <v>2200</v>
      </c>
      <c r="AP140" s="5">
        <v>40359</v>
      </c>
      <c r="AQ140" s="4">
        <v>16.882999999999999</v>
      </c>
      <c r="AR140" s="11">
        <v>36494</v>
      </c>
      <c r="AS140" s="11">
        <v>36494</v>
      </c>
      <c r="AT140" s="10">
        <v>23.64</v>
      </c>
    </row>
    <row r="141" spans="1:46" x14ac:dyDescent="0.25">
      <c r="A141" s="16">
        <v>22493</v>
      </c>
      <c r="B141" s="1">
        <v>6958</v>
      </c>
      <c r="C141" s="13" t="str">
        <f t="shared" si="2"/>
        <v>21994</v>
      </c>
      <c r="D141" s="2">
        <v>34393</v>
      </c>
      <c r="E141" s="1">
        <v>-7182</v>
      </c>
      <c r="F141" s="16">
        <v>38564</v>
      </c>
      <c r="G141" s="1">
        <v>9927.43</v>
      </c>
      <c r="H141" s="16">
        <v>38564</v>
      </c>
      <c r="I141" s="1">
        <v>4069</v>
      </c>
      <c r="J141" s="16">
        <v>38564</v>
      </c>
      <c r="K141" s="1">
        <v>1958</v>
      </c>
      <c r="L141" s="16">
        <v>38564</v>
      </c>
      <c r="M141" s="1">
        <v>1695</v>
      </c>
      <c r="N141" s="16">
        <v>38564</v>
      </c>
      <c r="O141" s="1">
        <v>2481.308</v>
      </c>
      <c r="P141" s="16">
        <v>38564</v>
      </c>
      <c r="Q141" s="1">
        <v>9507.8130000000001</v>
      </c>
      <c r="R141" s="16">
        <v>38564</v>
      </c>
      <c r="S141" s="1">
        <v>2896.0169999999998</v>
      </c>
      <c r="T141" s="16">
        <v>38564</v>
      </c>
      <c r="U141" s="1">
        <v>3623.6210000000001</v>
      </c>
      <c r="V141" s="16">
        <v>38564</v>
      </c>
      <c r="W141" s="1">
        <v>1685.6949999999999</v>
      </c>
      <c r="X141" s="15">
        <v>35946</v>
      </c>
      <c r="Y141" s="8">
        <v>28120</v>
      </c>
      <c r="Z141" s="15">
        <v>35915</v>
      </c>
      <c r="AA141" s="8">
        <v>8400</v>
      </c>
      <c r="AB141" s="15">
        <v>35915</v>
      </c>
      <c r="AC141" s="8">
        <v>2280</v>
      </c>
      <c r="AD141" s="15">
        <v>35915</v>
      </c>
      <c r="AE141" s="8">
        <v>3750</v>
      </c>
      <c r="AF141" s="15">
        <v>35915</v>
      </c>
      <c r="AG141" s="8">
        <v>2040</v>
      </c>
      <c r="AH141" s="15">
        <v>35915</v>
      </c>
      <c r="AI141" s="8">
        <v>1380</v>
      </c>
      <c r="AJ141" s="15">
        <v>35915</v>
      </c>
      <c r="AK141" s="8">
        <v>2160</v>
      </c>
      <c r="AL141" s="15">
        <v>35915</v>
      </c>
      <c r="AM141" s="8">
        <v>3200</v>
      </c>
      <c r="AN141" s="15">
        <v>35915</v>
      </c>
      <c r="AO141" s="8">
        <v>2070</v>
      </c>
      <c r="AP141" s="5">
        <v>40390</v>
      </c>
      <c r="AQ141" s="4">
        <v>17.224</v>
      </c>
      <c r="AR141" s="11">
        <v>36525</v>
      </c>
      <c r="AS141" s="11">
        <v>36525</v>
      </c>
      <c r="AT141" s="10">
        <v>25.08</v>
      </c>
    </row>
    <row r="142" spans="1:46" x14ac:dyDescent="0.25">
      <c r="A142" s="16">
        <v>22524</v>
      </c>
      <c r="B142" s="1">
        <v>7104</v>
      </c>
      <c r="C142" s="13" t="str">
        <f t="shared" si="2"/>
        <v>31994</v>
      </c>
      <c r="D142" s="2">
        <v>34424</v>
      </c>
      <c r="E142" s="1">
        <v>-5131</v>
      </c>
      <c r="F142" s="16">
        <v>38595</v>
      </c>
      <c r="G142" s="1">
        <v>9927.43</v>
      </c>
      <c r="H142" s="16">
        <v>38595</v>
      </c>
      <c r="I142" s="1">
        <v>4034</v>
      </c>
      <c r="J142" s="16">
        <v>38595</v>
      </c>
      <c r="K142" s="1">
        <v>1923</v>
      </c>
      <c r="L142" s="16">
        <v>38595</v>
      </c>
      <c r="M142" s="1">
        <v>1695</v>
      </c>
      <c r="N142" s="16">
        <v>38595</v>
      </c>
      <c r="O142" s="1">
        <v>2456.308</v>
      </c>
      <c r="P142" s="16">
        <v>38595</v>
      </c>
      <c r="Q142" s="1">
        <v>9548.6790000000001</v>
      </c>
      <c r="R142" s="16">
        <v>38595</v>
      </c>
      <c r="S142" s="1">
        <v>2946.402</v>
      </c>
      <c r="T142" s="16">
        <v>38595</v>
      </c>
      <c r="U142" s="1">
        <v>3642.723</v>
      </c>
      <c r="V142" s="16">
        <v>38595</v>
      </c>
      <c r="W142" s="1">
        <v>1631.3710000000001</v>
      </c>
      <c r="X142" s="15">
        <v>35976</v>
      </c>
      <c r="Y142" s="8">
        <v>27930</v>
      </c>
      <c r="Z142" s="15">
        <v>35946</v>
      </c>
      <c r="AA142" s="8">
        <v>8440</v>
      </c>
      <c r="AB142" s="15">
        <v>35946</v>
      </c>
      <c r="AC142" s="8">
        <v>2260</v>
      </c>
      <c r="AD142" s="15">
        <v>35946</v>
      </c>
      <c r="AE142" s="8">
        <v>3610</v>
      </c>
      <c r="AF142" s="15">
        <v>35946</v>
      </c>
      <c r="AG142" s="8">
        <v>2130</v>
      </c>
      <c r="AH142" s="15">
        <v>35946</v>
      </c>
      <c r="AI142" s="8">
        <v>1400</v>
      </c>
      <c r="AJ142" s="15">
        <v>35946</v>
      </c>
      <c r="AK142" s="8">
        <v>2150</v>
      </c>
      <c r="AL142" s="15">
        <v>35946</v>
      </c>
      <c r="AM142" s="8">
        <v>3200</v>
      </c>
      <c r="AN142" s="15">
        <v>35946</v>
      </c>
      <c r="AO142" s="8">
        <v>2090</v>
      </c>
      <c r="AP142" s="5">
        <v>40421</v>
      </c>
      <c r="AQ142" s="4">
        <v>17.428000000000001</v>
      </c>
      <c r="AR142" s="11">
        <v>36556</v>
      </c>
      <c r="AS142" s="11">
        <v>36556</v>
      </c>
      <c r="AT142" s="10">
        <v>25.97</v>
      </c>
    </row>
    <row r="143" spans="1:46" x14ac:dyDescent="0.25">
      <c r="A143" s="16">
        <v>22554</v>
      </c>
      <c r="B143" s="1">
        <v>6995</v>
      </c>
      <c r="C143" s="13" t="str">
        <f t="shared" si="2"/>
        <v>41994</v>
      </c>
      <c r="D143" s="2">
        <v>34453</v>
      </c>
      <c r="E143" s="1">
        <v>910</v>
      </c>
      <c r="F143" s="16">
        <v>38625</v>
      </c>
      <c r="G143" s="1">
        <v>9871.43</v>
      </c>
      <c r="H143" s="16">
        <v>38625</v>
      </c>
      <c r="I143" s="1">
        <v>3884</v>
      </c>
      <c r="J143" s="16">
        <v>38625</v>
      </c>
      <c r="K143" s="1">
        <v>2013</v>
      </c>
      <c r="L143" s="16">
        <v>38625</v>
      </c>
      <c r="M143" s="1">
        <v>1695</v>
      </c>
      <c r="N143" s="16">
        <v>38625</v>
      </c>
      <c r="O143" s="1">
        <v>2401.308</v>
      </c>
      <c r="P143" s="16">
        <v>38625</v>
      </c>
      <c r="Q143" s="1">
        <v>9598.4879999999994</v>
      </c>
      <c r="R143" s="16">
        <v>38625</v>
      </c>
      <c r="S143" s="1">
        <v>2482.4839999999999</v>
      </c>
      <c r="T143" s="16">
        <v>38625</v>
      </c>
      <c r="U143" s="1">
        <v>3599.7220000000002</v>
      </c>
      <c r="V143" s="16">
        <v>38625</v>
      </c>
      <c r="W143" s="1">
        <v>1672.2139999999999</v>
      </c>
      <c r="X143" s="15">
        <v>36007</v>
      </c>
      <c r="Y143" s="8">
        <v>27550</v>
      </c>
      <c r="Z143" s="15">
        <v>35976</v>
      </c>
      <c r="AA143" s="8">
        <v>8440</v>
      </c>
      <c r="AB143" s="15">
        <v>35976</v>
      </c>
      <c r="AC143" s="8">
        <v>2260</v>
      </c>
      <c r="AD143" s="15">
        <v>35976</v>
      </c>
      <c r="AE143" s="8">
        <v>3690</v>
      </c>
      <c r="AF143" s="15">
        <v>35976</v>
      </c>
      <c r="AG143" s="8">
        <v>1950</v>
      </c>
      <c r="AH143" s="15">
        <v>35976</v>
      </c>
      <c r="AI143" s="8">
        <v>1390</v>
      </c>
      <c r="AJ143" s="15">
        <v>35976</v>
      </c>
      <c r="AK143" s="8">
        <v>2150</v>
      </c>
      <c r="AL143" s="15">
        <v>35976</v>
      </c>
      <c r="AM143" s="8">
        <v>3140</v>
      </c>
      <c r="AN143" s="15">
        <v>35976</v>
      </c>
      <c r="AO143" s="8">
        <v>2080</v>
      </c>
      <c r="AP143" s="5">
        <v>40451</v>
      </c>
      <c r="AQ143" s="4">
        <v>17.192</v>
      </c>
      <c r="AR143" s="11">
        <v>36585</v>
      </c>
      <c r="AS143" s="11">
        <v>36585</v>
      </c>
      <c r="AT143" s="10">
        <v>28.09</v>
      </c>
    </row>
    <row r="144" spans="1:46" x14ac:dyDescent="0.25">
      <c r="A144" s="16">
        <v>22585</v>
      </c>
      <c r="B144" s="1">
        <v>7127</v>
      </c>
      <c r="C144" s="13" t="str">
        <f t="shared" si="2"/>
        <v>51994</v>
      </c>
      <c r="D144" s="2">
        <v>34485</v>
      </c>
      <c r="E144" s="1">
        <v>-1094</v>
      </c>
      <c r="F144" s="16">
        <v>38656</v>
      </c>
      <c r="G144" s="1">
        <v>9926.43</v>
      </c>
      <c r="H144" s="16">
        <v>38656</v>
      </c>
      <c r="I144" s="1">
        <v>4104</v>
      </c>
      <c r="J144" s="16">
        <v>38656</v>
      </c>
      <c r="K144" s="1">
        <v>1743</v>
      </c>
      <c r="L144" s="16">
        <v>38656</v>
      </c>
      <c r="M144" s="1">
        <v>1695</v>
      </c>
      <c r="N144" s="16">
        <v>38656</v>
      </c>
      <c r="O144" s="1">
        <v>2494.0309999999999</v>
      </c>
      <c r="P144" s="16">
        <v>38656</v>
      </c>
      <c r="Q144" s="1">
        <v>9639.3279999999995</v>
      </c>
      <c r="R144" s="16">
        <v>38656</v>
      </c>
      <c r="S144" s="1">
        <v>2641.8139999999999</v>
      </c>
      <c r="T144" s="16">
        <v>38656</v>
      </c>
      <c r="U144" s="1">
        <v>3624.5709999999999</v>
      </c>
      <c r="V144" s="16">
        <v>38656</v>
      </c>
      <c r="W144" s="1">
        <v>1675.8130000000001</v>
      </c>
      <c r="X144" s="15">
        <v>36038</v>
      </c>
      <c r="Y144" s="8">
        <v>27170</v>
      </c>
      <c r="Z144" s="15">
        <v>36007</v>
      </c>
      <c r="AA144" s="8">
        <v>8200</v>
      </c>
      <c r="AB144" s="15">
        <v>36007</v>
      </c>
      <c r="AC144" s="8">
        <v>2220</v>
      </c>
      <c r="AD144" s="15">
        <v>36007</v>
      </c>
      <c r="AE144" s="8">
        <v>3550</v>
      </c>
      <c r="AF144" s="15">
        <v>36007</v>
      </c>
      <c r="AG144" s="8">
        <v>2270</v>
      </c>
      <c r="AH144" s="15">
        <v>36007</v>
      </c>
      <c r="AI144" s="8">
        <v>1340</v>
      </c>
      <c r="AJ144" s="15">
        <v>36007</v>
      </c>
      <c r="AK144" s="8">
        <v>2100</v>
      </c>
      <c r="AL144" s="15">
        <v>36007</v>
      </c>
      <c r="AM144" s="8">
        <v>3020</v>
      </c>
      <c r="AN144" s="15">
        <v>36007</v>
      </c>
      <c r="AO144" s="8">
        <v>2040</v>
      </c>
      <c r="AP144" s="5">
        <v>40482</v>
      </c>
      <c r="AQ144" s="4">
        <v>17.754999999999999</v>
      </c>
      <c r="AR144" s="11">
        <v>36616</v>
      </c>
      <c r="AS144" s="11">
        <v>36616</v>
      </c>
      <c r="AT144" s="10">
        <v>24.77</v>
      </c>
    </row>
    <row r="145" spans="1:46" x14ac:dyDescent="0.25">
      <c r="A145" s="16">
        <v>22615</v>
      </c>
      <c r="B145" s="1">
        <v>7152</v>
      </c>
      <c r="C145" s="13" t="str">
        <f t="shared" si="2"/>
        <v>61994</v>
      </c>
      <c r="D145" s="2">
        <v>34515</v>
      </c>
      <c r="E145" s="1">
        <v>3479</v>
      </c>
      <c r="F145" s="16">
        <v>38686</v>
      </c>
      <c r="G145" s="1">
        <v>9904.43</v>
      </c>
      <c r="H145" s="16">
        <v>38686</v>
      </c>
      <c r="I145" s="1">
        <v>4039</v>
      </c>
      <c r="J145" s="16">
        <v>38686</v>
      </c>
      <c r="K145" s="1">
        <v>1703</v>
      </c>
      <c r="L145" s="16">
        <v>38686</v>
      </c>
      <c r="M145" s="1">
        <v>1695</v>
      </c>
      <c r="N145" s="16">
        <v>38686</v>
      </c>
      <c r="O145" s="1">
        <v>2544.0309999999999</v>
      </c>
      <c r="P145" s="16">
        <v>38686</v>
      </c>
      <c r="Q145" s="1">
        <v>9664.8970000000008</v>
      </c>
      <c r="R145" s="16">
        <v>38686</v>
      </c>
      <c r="S145" s="1">
        <v>2725.6170000000002</v>
      </c>
      <c r="T145" s="16">
        <v>38686</v>
      </c>
      <c r="U145" s="1">
        <v>3597.65</v>
      </c>
      <c r="V145" s="16">
        <v>38686</v>
      </c>
      <c r="W145" s="1">
        <v>1678.979</v>
      </c>
      <c r="X145" s="15">
        <v>36068</v>
      </c>
      <c r="Y145" s="8">
        <v>26870</v>
      </c>
      <c r="Z145" s="15">
        <v>36038</v>
      </c>
      <c r="AA145" s="8">
        <v>8110</v>
      </c>
      <c r="AB145" s="15">
        <v>36038</v>
      </c>
      <c r="AC145" s="8">
        <v>2180</v>
      </c>
      <c r="AD145" s="15">
        <v>36038</v>
      </c>
      <c r="AE145" s="8">
        <v>3440</v>
      </c>
      <c r="AF145" s="15">
        <v>36038</v>
      </c>
      <c r="AG145" s="8">
        <v>2400</v>
      </c>
      <c r="AH145" s="15">
        <v>36038</v>
      </c>
      <c r="AI145" s="8">
        <v>1340</v>
      </c>
      <c r="AJ145" s="15">
        <v>36038</v>
      </c>
      <c r="AK145" s="8">
        <v>1930</v>
      </c>
      <c r="AL145" s="15">
        <v>36038</v>
      </c>
      <c r="AM145" s="8">
        <v>2960</v>
      </c>
      <c r="AN145" s="15">
        <v>36038</v>
      </c>
      <c r="AO145" s="8">
        <v>2030</v>
      </c>
      <c r="AP145" s="5">
        <v>40512</v>
      </c>
      <c r="AQ145" s="4">
        <v>17.52</v>
      </c>
      <c r="AR145" s="11">
        <v>36644</v>
      </c>
      <c r="AS145" s="11">
        <v>36644</v>
      </c>
      <c r="AT145" s="10">
        <v>23.89</v>
      </c>
    </row>
    <row r="146" spans="1:46" x14ac:dyDescent="0.25">
      <c r="A146" s="16">
        <v>22646</v>
      </c>
      <c r="B146" s="1">
        <v>7311</v>
      </c>
      <c r="C146" s="13" t="str">
        <f t="shared" si="2"/>
        <v>71994</v>
      </c>
      <c r="D146" s="2">
        <v>34544</v>
      </c>
      <c r="E146" s="1">
        <v>-5852</v>
      </c>
      <c r="F146" s="16">
        <v>38717</v>
      </c>
      <c r="G146" s="1">
        <v>9705.43</v>
      </c>
      <c r="H146" s="16">
        <v>38717</v>
      </c>
      <c r="I146" s="1">
        <v>4079</v>
      </c>
      <c r="J146" s="16">
        <v>38717</v>
      </c>
      <c r="K146" s="1">
        <v>1543</v>
      </c>
      <c r="L146" s="16">
        <v>38717</v>
      </c>
      <c r="M146" s="1">
        <v>1695</v>
      </c>
      <c r="N146" s="16">
        <v>38717</v>
      </c>
      <c r="O146" s="1">
        <v>2534.0309999999999</v>
      </c>
      <c r="P146" s="16">
        <v>38717</v>
      </c>
      <c r="Q146" s="1">
        <v>9652.5650000000005</v>
      </c>
      <c r="R146" s="16">
        <v>38717</v>
      </c>
      <c r="S146" s="1">
        <v>2920.6509999999998</v>
      </c>
      <c r="T146" s="16">
        <v>38717</v>
      </c>
      <c r="U146" s="1">
        <v>3504.2190000000001</v>
      </c>
      <c r="V146" s="16">
        <v>38717</v>
      </c>
      <c r="W146" s="1">
        <v>1688.9469999999999</v>
      </c>
      <c r="X146" s="15">
        <v>36099</v>
      </c>
      <c r="Y146" s="8">
        <v>26880</v>
      </c>
      <c r="Z146" s="15">
        <v>36068</v>
      </c>
      <c r="AA146" s="8">
        <v>7950</v>
      </c>
      <c r="AB146" s="15">
        <v>36068</v>
      </c>
      <c r="AC146" s="8">
        <v>2160</v>
      </c>
      <c r="AD146" s="15">
        <v>36068</v>
      </c>
      <c r="AE146" s="8">
        <v>3500</v>
      </c>
      <c r="AF146" s="15">
        <v>36068</v>
      </c>
      <c r="AG146" s="8">
        <v>2300</v>
      </c>
      <c r="AH146" s="15">
        <v>36068</v>
      </c>
      <c r="AI146" s="8">
        <v>1340</v>
      </c>
      <c r="AJ146" s="15">
        <v>36068</v>
      </c>
      <c r="AK146" s="8">
        <v>1980</v>
      </c>
      <c r="AL146" s="15">
        <v>36068</v>
      </c>
      <c r="AM146" s="8">
        <v>2920</v>
      </c>
      <c r="AN146" s="15">
        <v>36068</v>
      </c>
      <c r="AO146" s="8">
        <v>1980</v>
      </c>
      <c r="AP146" s="5">
        <v>40543</v>
      </c>
      <c r="AQ146" s="4">
        <v>17.518000000000001</v>
      </c>
      <c r="AR146" s="11">
        <v>36677</v>
      </c>
      <c r="AS146" s="11">
        <v>36677</v>
      </c>
      <c r="AT146" s="10">
        <v>28.31</v>
      </c>
    </row>
    <row r="147" spans="1:46" x14ac:dyDescent="0.25">
      <c r="A147" s="16">
        <v>22677</v>
      </c>
      <c r="B147" s="1">
        <v>7347</v>
      </c>
      <c r="C147" s="13" t="str">
        <f t="shared" si="2"/>
        <v>81994</v>
      </c>
      <c r="D147" s="2">
        <v>34577</v>
      </c>
      <c r="E147" s="1">
        <v>-2444</v>
      </c>
      <c r="F147" s="16">
        <v>38748</v>
      </c>
      <c r="G147" s="1">
        <v>9986.68</v>
      </c>
      <c r="H147" s="16">
        <v>38748</v>
      </c>
      <c r="I147" s="1">
        <v>3877</v>
      </c>
      <c r="J147" s="16">
        <v>38748</v>
      </c>
      <c r="K147" s="1">
        <v>1503</v>
      </c>
      <c r="L147" s="16">
        <v>38748</v>
      </c>
      <c r="M147" s="1">
        <v>1705</v>
      </c>
      <c r="N147" s="16">
        <v>38748</v>
      </c>
      <c r="O147" s="1">
        <v>2430.1219999999998</v>
      </c>
      <c r="P147" s="16">
        <v>38748</v>
      </c>
      <c r="Q147" s="1">
        <v>9439.1479999999992</v>
      </c>
      <c r="R147" s="16">
        <v>38748</v>
      </c>
      <c r="S147" s="1">
        <v>2979.8560000000002</v>
      </c>
      <c r="T147" s="16">
        <v>38748</v>
      </c>
      <c r="U147" s="1">
        <v>3640.5349999999999</v>
      </c>
      <c r="V147" s="16">
        <v>38748</v>
      </c>
      <c r="W147" s="1">
        <v>1692.75</v>
      </c>
      <c r="X147" s="15">
        <v>36129</v>
      </c>
      <c r="Y147" s="8">
        <v>27420</v>
      </c>
      <c r="Z147" s="15">
        <v>36099</v>
      </c>
      <c r="AA147" s="8">
        <v>8050</v>
      </c>
      <c r="AB147" s="15">
        <v>36099</v>
      </c>
      <c r="AC147" s="8">
        <v>2160</v>
      </c>
      <c r="AD147" s="15">
        <v>36099</v>
      </c>
      <c r="AE147" s="8">
        <v>3450</v>
      </c>
      <c r="AF147" s="15">
        <v>36099</v>
      </c>
      <c r="AG147" s="8">
        <v>2350</v>
      </c>
      <c r="AH147" s="15">
        <v>36099</v>
      </c>
      <c r="AI147" s="8">
        <v>1350</v>
      </c>
      <c r="AJ147" s="15">
        <v>36099</v>
      </c>
      <c r="AK147" s="8">
        <v>1880</v>
      </c>
      <c r="AL147" s="15">
        <v>36099</v>
      </c>
      <c r="AM147" s="8">
        <v>2910</v>
      </c>
      <c r="AN147" s="15">
        <v>36099</v>
      </c>
      <c r="AO147" s="8">
        <v>1950</v>
      </c>
      <c r="AP147" s="5">
        <v>40574</v>
      </c>
      <c r="AQ147" s="4">
        <v>17.814</v>
      </c>
      <c r="AR147" s="11">
        <v>36707</v>
      </c>
      <c r="AS147" s="11">
        <v>36707</v>
      </c>
      <c r="AT147" s="10">
        <v>30.57</v>
      </c>
    </row>
    <row r="148" spans="1:46" x14ac:dyDescent="0.25">
      <c r="A148" s="16">
        <v>22705</v>
      </c>
      <c r="B148" s="1">
        <v>7467</v>
      </c>
      <c r="C148" s="13" t="str">
        <f t="shared" si="2"/>
        <v>91994</v>
      </c>
      <c r="D148" s="2">
        <v>34607</v>
      </c>
      <c r="E148" s="1">
        <v>3271</v>
      </c>
      <c r="F148" s="16">
        <v>38776</v>
      </c>
      <c r="G148" s="1">
        <v>10036.68</v>
      </c>
      <c r="H148" s="16">
        <v>38776</v>
      </c>
      <c r="I148" s="1">
        <v>4097</v>
      </c>
      <c r="J148" s="16">
        <v>38776</v>
      </c>
      <c r="K148" s="1">
        <v>1838</v>
      </c>
      <c r="L148" s="16">
        <v>38776</v>
      </c>
      <c r="M148" s="1">
        <v>1725</v>
      </c>
      <c r="N148" s="16">
        <v>38776</v>
      </c>
      <c r="O148" s="1">
        <v>2350.1219999999998</v>
      </c>
      <c r="P148" s="16">
        <v>38776</v>
      </c>
      <c r="Q148" s="1">
        <v>9455.7000000000007</v>
      </c>
      <c r="R148" s="16">
        <v>38776</v>
      </c>
      <c r="S148" s="1">
        <v>2787.2539999999999</v>
      </c>
      <c r="T148" s="16">
        <v>38776</v>
      </c>
      <c r="U148" s="1">
        <v>3610.8249999999998</v>
      </c>
      <c r="V148" s="16">
        <v>38776</v>
      </c>
      <c r="W148" s="1">
        <v>1696.9659999999999</v>
      </c>
      <c r="X148" s="15">
        <v>36160</v>
      </c>
      <c r="Y148" s="8">
        <v>27330</v>
      </c>
      <c r="Z148" s="15">
        <v>36129</v>
      </c>
      <c r="AA148" s="8">
        <v>8080</v>
      </c>
      <c r="AB148" s="15">
        <v>36129</v>
      </c>
      <c r="AC148" s="8">
        <v>2160</v>
      </c>
      <c r="AD148" s="15">
        <v>36129</v>
      </c>
      <c r="AE148" s="8">
        <v>3560</v>
      </c>
      <c r="AF148" s="15">
        <v>36129</v>
      </c>
      <c r="AG148" s="8">
        <v>2420</v>
      </c>
      <c r="AH148" s="15">
        <v>36129</v>
      </c>
      <c r="AI148" s="8">
        <v>1360</v>
      </c>
      <c r="AJ148" s="15">
        <v>36129</v>
      </c>
      <c r="AK148" s="8">
        <v>2010</v>
      </c>
      <c r="AL148" s="15">
        <v>36129</v>
      </c>
      <c r="AM148" s="8">
        <v>3060</v>
      </c>
      <c r="AN148" s="15">
        <v>36129</v>
      </c>
      <c r="AO148" s="8">
        <v>1980</v>
      </c>
      <c r="AP148" s="5">
        <v>40602</v>
      </c>
      <c r="AQ148" s="4">
        <v>15.906000000000001</v>
      </c>
      <c r="AR148" s="11">
        <v>36738</v>
      </c>
      <c r="AS148" s="11">
        <v>36738</v>
      </c>
      <c r="AT148" s="10">
        <v>26.93</v>
      </c>
    </row>
    <row r="149" spans="1:46" x14ac:dyDescent="0.25">
      <c r="A149" s="16">
        <v>22736</v>
      </c>
      <c r="B149" s="1">
        <v>7376</v>
      </c>
      <c r="C149" s="13" t="str">
        <f t="shared" si="2"/>
        <v>101994</v>
      </c>
      <c r="D149" s="2">
        <v>34638</v>
      </c>
      <c r="E149" s="1">
        <v>9335</v>
      </c>
      <c r="F149" s="16">
        <v>38807</v>
      </c>
      <c r="G149" s="1">
        <v>9946.68</v>
      </c>
      <c r="H149" s="16">
        <v>38807</v>
      </c>
      <c r="I149" s="1">
        <v>4187</v>
      </c>
      <c r="J149" s="16">
        <v>38807</v>
      </c>
      <c r="K149" s="1">
        <v>1808</v>
      </c>
      <c r="L149" s="16">
        <v>38807</v>
      </c>
      <c r="M149" s="1">
        <v>1735</v>
      </c>
      <c r="N149" s="16">
        <v>38807</v>
      </c>
      <c r="O149" s="1">
        <v>2155.1219999999998</v>
      </c>
      <c r="P149" s="16">
        <v>38807</v>
      </c>
      <c r="Q149" s="1">
        <v>9547.9159999999993</v>
      </c>
      <c r="R149" s="16">
        <v>38807</v>
      </c>
      <c r="S149" s="1">
        <v>2941.6689999999999</v>
      </c>
      <c r="T149" s="16">
        <v>38807</v>
      </c>
      <c r="U149" s="1">
        <v>3650.3580000000002</v>
      </c>
      <c r="V149" s="16">
        <v>38807</v>
      </c>
      <c r="W149" s="1">
        <v>1700.242</v>
      </c>
      <c r="X149" s="15">
        <v>36191</v>
      </c>
      <c r="Y149" s="8">
        <v>26050</v>
      </c>
      <c r="Z149" s="15">
        <v>36160</v>
      </c>
      <c r="AA149" s="8">
        <v>8080</v>
      </c>
      <c r="AB149" s="15">
        <v>36160</v>
      </c>
      <c r="AC149" s="8">
        <v>2170</v>
      </c>
      <c r="AD149" s="15">
        <v>36160</v>
      </c>
      <c r="AE149" s="8">
        <v>3550</v>
      </c>
      <c r="AF149" s="15">
        <v>36160</v>
      </c>
      <c r="AG149" s="8">
        <v>2380</v>
      </c>
      <c r="AH149" s="15">
        <v>36160</v>
      </c>
      <c r="AI149" s="8">
        <v>1360</v>
      </c>
      <c r="AJ149" s="15">
        <v>36160</v>
      </c>
      <c r="AK149" s="8">
        <v>2020</v>
      </c>
      <c r="AL149" s="15">
        <v>36160</v>
      </c>
      <c r="AM149" s="8">
        <v>3000</v>
      </c>
      <c r="AN149" s="15">
        <v>36160</v>
      </c>
      <c r="AO149" s="8">
        <v>1980</v>
      </c>
      <c r="AP149" s="5">
        <v>40633</v>
      </c>
      <c r="AQ149" s="4">
        <v>17.574000000000002</v>
      </c>
      <c r="AR149" s="11">
        <v>36769</v>
      </c>
      <c r="AS149" s="11">
        <v>36769</v>
      </c>
      <c r="AT149" s="10">
        <v>31.72</v>
      </c>
    </row>
    <row r="150" spans="1:46" x14ac:dyDescent="0.25">
      <c r="A150" s="16">
        <v>22766</v>
      </c>
      <c r="B150" s="1">
        <v>7391</v>
      </c>
      <c r="C150" s="13" t="str">
        <f t="shared" si="2"/>
        <v>111994</v>
      </c>
      <c r="D150" s="2">
        <v>34668</v>
      </c>
      <c r="E150" s="1">
        <v>-2472</v>
      </c>
      <c r="F150" s="16">
        <v>38837</v>
      </c>
      <c r="G150" s="1">
        <v>9650.68</v>
      </c>
      <c r="H150" s="16">
        <v>38837</v>
      </c>
      <c r="I150" s="1">
        <v>3857</v>
      </c>
      <c r="J150" s="16">
        <v>38837</v>
      </c>
      <c r="K150" s="1">
        <v>1998</v>
      </c>
      <c r="L150" s="16">
        <v>38837</v>
      </c>
      <c r="M150" s="1">
        <v>1755</v>
      </c>
      <c r="N150" s="16">
        <v>38837</v>
      </c>
      <c r="O150" s="1">
        <v>2167.096</v>
      </c>
      <c r="P150" s="16">
        <v>38837</v>
      </c>
      <c r="Q150" s="1">
        <v>9594.9699999999993</v>
      </c>
      <c r="R150" s="16">
        <v>38837</v>
      </c>
      <c r="S150" s="1">
        <v>2748.268</v>
      </c>
      <c r="T150" s="16">
        <v>38837</v>
      </c>
      <c r="U150" s="1">
        <v>3623.799</v>
      </c>
      <c r="V150" s="16">
        <v>38837</v>
      </c>
      <c r="W150" s="1">
        <v>1741.6489999999999</v>
      </c>
      <c r="X150" s="15">
        <v>36219</v>
      </c>
      <c r="Y150" s="8">
        <v>27750</v>
      </c>
      <c r="Z150" s="15">
        <v>36191</v>
      </c>
      <c r="AA150" s="8">
        <v>7700</v>
      </c>
      <c r="AB150" s="15">
        <v>36191</v>
      </c>
      <c r="AC150" s="8">
        <v>2080</v>
      </c>
      <c r="AD150" s="15">
        <v>36191</v>
      </c>
      <c r="AE150" s="8">
        <v>3450</v>
      </c>
      <c r="AF150" s="15">
        <v>36191</v>
      </c>
      <c r="AG150" s="8">
        <v>2180</v>
      </c>
      <c r="AH150" s="15">
        <v>36191</v>
      </c>
      <c r="AI150" s="8">
        <v>1360</v>
      </c>
      <c r="AJ150" s="15">
        <v>36191</v>
      </c>
      <c r="AK150" s="8">
        <v>1920</v>
      </c>
      <c r="AL150" s="15">
        <v>36191</v>
      </c>
      <c r="AM150" s="8">
        <v>2780</v>
      </c>
      <c r="AN150" s="15">
        <v>36191</v>
      </c>
      <c r="AO150" s="8">
        <v>1900</v>
      </c>
      <c r="AP150" s="5">
        <v>40663</v>
      </c>
      <c r="AQ150" s="4">
        <v>16.96</v>
      </c>
      <c r="AR150" s="11">
        <v>36798</v>
      </c>
      <c r="AS150" s="11">
        <v>36798</v>
      </c>
      <c r="AT150" s="10">
        <v>29.84</v>
      </c>
    </row>
    <row r="151" spans="1:46" x14ac:dyDescent="0.25">
      <c r="A151" s="16">
        <v>22797</v>
      </c>
      <c r="B151" s="1">
        <v>7193</v>
      </c>
      <c r="C151" s="13" t="str">
        <f t="shared" si="2"/>
        <v>121994</v>
      </c>
      <c r="D151" s="2">
        <v>34698</v>
      </c>
      <c r="E151" s="1">
        <v>-7390</v>
      </c>
      <c r="F151" s="16">
        <v>38868</v>
      </c>
      <c r="G151" s="1">
        <v>9425.68</v>
      </c>
      <c r="H151" s="16">
        <v>38868</v>
      </c>
      <c r="I151" s="1">
        <v>3907</v>
      </c>
      <c r="J151" s="16">
        <v>38868</v>
      </c>
      <c r="K151" s="1">
        <v>1918</v>
      </c>
      <c r="L151" s="16">
        <v>38868</v>
      </c>
      <c r="M151" s="1">
        <v>1755</v>
      </c>
      <c r="N151" s="16">
        <v>38868</v>
      </c>
      <c r="O151" s="1">
        <v>2277.096</v>
      </c>
      <c r="P151" s="16">
        <v>38868</v>
      </c>
      <c r="Q151" s="1">
        <v>9621.2160000000003</v>
      </c>
      <c r="R151" s="16">
        <v>38868</v>
      </c>
      <c r="S151" s="1">
        <v>2850.0120000000002</v>
      </c>
      <c r="T151" s="16">
        <v>38868</v>
      </c>
      <c r="U151" s="1">
        <v>3649.3319999999999</v>
      </c>
      <c r="V151" s="16">
        <v>38868</v>
      </c>
      <c r="W151" s="1">
        <v>1752.473</v>
      </c>
      <c r="X151" s="15">
        <v>36250</v>
      </c>
      <c r="Y151" s="8">
        <v>27740</v>
      </c>
      <c r="Z151" s="15">
        <v>36219</v>
      </c>
      <c r="AA151" s="8">
        <v>8110</v>
      </c>
      <c r="AB151" s="15">
        <v>36219</v>
      </c>
      <c r="AC151" s="8">
        <v>2160</v>
      </c>
      <c r="AD151" s="15">
        <v>36219</v>
      </c>
      <c r="AE151" s="8">
        <v>3810</v>
      </c>
      <c r="AF151" s="15">
        <v>36219</v>
      </c>
      <c r="AG151" s="8">
        <v>2600</v>
      </c>
      <c r="AH151" s="15">
        <v>36219</v>
      </c>
      <c r="AI151" s="8">
        <v>1350</v>
      </c>
      <c r="AJ151" s="15">
        <v>36219</v>
      </c>
      <c r="AK151" s="8">
        <v>2040</v>
      </c>
      <c r="AL151" s="15">
        <v>36219</v>
      </c>
      <c r="AM151" s="8">
        <v>2900</v>
      </c>
      <c r="AN151" s="15">
        <v>36219</v>
      </c>
      <c r="AO151" s="8">
        <v>1990</v>
      </c>
      <c r="AP151" s="5">
        <v>40694</v>
      </c>
      <c r="AQ151" s="4">
        <v>17.428999999999998</v>
      </c>
      <c r="AR151" s="11">
        <v>36830</v>
      </c>
      <c r="AS151" s="11">
        <v>36830</v>
      </c>
      <c r="AT151" s="10">
        <v>30.76</v>
      </c>
    </row>
    <row r="152" spans="1:46" x14ac:dyDescent="0.25">
      <c r="A152" s="16">
        <v>22827</v>
      </c>
      <c r="B152" s="1">
        <v>7257</v>
      </c>
      <c r="C152" s="13" t="str">
        <f t="shared" si="2"/>
        <v>11995</v>
      </c>
      <c r="D152" s="2">
        <v>34730</v>
      </c>
      <c r="E152" s="1">
        <v>-281</v>
      </c>
      <c r="F152" s="16">
        <v>38898</v>
      </c>
      <c r="G152" s="1">
        <v>9775.68</v>
      </c>
      <c r="H152" s="16">
        <v>38898</v>
      </c>
      <c r="I152" s="1">
        <v>4248</v>
      </c>
      <c r="J152" s="16">
        <v>38898</v>
      </c>
      <c r="K152" s="1">
        <v>2068</v>
      </c>
      <c r="L152" s="16">
        <v>38898</v>
      </c>
      <c r="M152" s="1">
        <v>1755</v>
      </c>
      <c r="N152" s="16">
        <v>38898</v>
      </c>
      <c r="O152" s="1">
        <v>2387.096</v>
      </c>
      <c r="P152" s="16">
        <v>38898</v>
      </c>
      <c r="Q152" s="1">
        <v>9660.94</v>
      </c>
      <c r="R152" s="16">
        <v>38898</v>
      </c>
      <c r="S152" s="1">
        <v>2566.3969999999999</v>
      </c>
      <c r="T152" s="16">
        <v>38898</v>
      </c>
      <c r="U152" s="1">
        <v>3674.36</v>
      </c>
      <c r="V152" s="16">
        <v>38898</v>
      </c>
      <c r="W152" s="1">
        <v>1635.0730000000001</v>
      </c>
      <c r="X152" s="15">
        <v>36280</v>
      </c>
      <c r="Y152" s="8">
        <v>26330</v>
      </c>
      <c r="Z152" s="15">
        <v>36250</v>
      </c>
      <c r="AA152" s="8">
        <v>8160</v>
      </c>
      <c r="AB152" s="15">
        <v>36250</v>
      </c>
      <c r="AC152" s="8">
        <v>2160</v>
      </c>
      <c r="AD152" s="15">
        <v>36250</v>
      </c>
      <c r="AE152" s="8">
        <v>3710</v>
      </c>
      <c r="AF152" s="15">
        <v>36250</v>
      </c>
      <c r="AG152" s="8">
        <v>2640</v>
      </c>
      <c r="AH152" s="15">
        <v>36250</v>
      </c>
      <c r="AI152" s="8">
        <v>1350</v>
      </c>
      <c r="AJ152" s="15">
        <v>36250</v>
      </c>
      <c r="AK152" s="8">
        <v>2050</v>
      </c>
      <c r="AL152" s="15">
        <v>36250</v>
      </c>
      <c r="AM152" s="8">
        <v>2880</v>
      </c>
      <c r="AN152" s="15">
        <v>36250</v>
      </c>
      <c r="AO152" s="8">
        <v>1980</v>
      </c>
      <c r="AP152" s="5">
        <v>40724</v>
      </c>
      <c r="AQ152" s="4">
        <v>17.146000000000001</v>
      </c>
      <c r="AR152" s="11">
        <v>36860</v>
      </c>
      <c r="AS152" s="11">
        <v>36860</v>
      </c>
      <c r="AT152" s="10">
        <v>31.88</v>
      </c>
    </row>
    <row r="153" spans="1:46" x14ac:dyDescent="0.25">
      <c r="A153" s="16">
        <v>22858</v>
      </c>
      <c r="B153" s="1">
        <v>7226</v>
      </c>
      <c r="C153" s="13" t="str">
        <f t="shared" si="2"/>
        <v>21995</v>
      </c>
      <c r="D153" s="2">
        <v>34758</v>
      </c>
      <c r="E153" s="1">
        <v>-5571</v>
      </c>
      <c r="F153" s="16">
        <v>38929</v>
      </c>
      <c r="G153" s="1">
        <v>9725.68</v>
      </c>
      <c r="H153" s="16">
        <v>38929</v>
      </c>
      <c r="I153" s="1">
        <v>4387</v>
      </c>
      <c r="J153" s="16">
        <v>38929</v>
      </c>
      <c r="K153" s="1">
        <v>2063</v>
      </c>
      <c r="L153" s="16">
        <v>38929</v>
      </c>
      <c r="M153" s="1">
        <v>1785</v>
      </c>
      <c r="N153" s="16">
        <v>38929</v>
      </c>
      <c r="O153" s="1">
        <v>2391.2089999999998</v>
      </c>
      <c r="P153" s="16">
        <v>38929</v>
      </c>
      <c r="Q153" s="1">
        <v>9677.9639999999999</v>
      </c>
      <c r="R153" s="16">
        <v>38929</v>
      </c>
      <c r="S153" s="1">
        <v>2798.8440000000001</v>
      </c>
      <c r="T153" s="16">
        <v>38929</v>
      </c>
      <c r="U153" s="1">
        <v>3653.9009999999998</v>
      </c>
      <c r="V153" s="16">
        <v>38929</v>
      </c>
      <c r="W153" s="1">
        <v>1729.9469999999999</v>
      </c>
      <c r="X153" s="15">
        <v>36311</v>
      </c>
      <c r="Y153" s="8">
        <v>26040</v>
      </c>
      <c r="Z153" s="15">
        <v>36280</v>
      </c>
      <c r="AA153" s="8">
        <v>7640</v>
      </c>
      <c r="AB153" s="15">
        <v>36280</v>
      </c>
      <c r="AC153" s="8">
        <v>2060</v>
      </c>
      <c r="AD153" s="15">
        <v>36280</v>
      </c>
      <c r="AE153" s="8">
        <v>3480</v>
      </c>
      <c r="AF153" s="15">
        <v>36280</v>
      </c>
      <c r="AG153" s="8">
        <v>2600</v>
      </c>
      <c r="AH153" s="15">
        <v>36280</v>
      </c>
      <c r="AI153" s="8">
        <v>1300</v>
      </c>
      <c r="AJ153" s="15">
        <v>36280</v>
      </c>
      <c r="AK153" s="8">
        <v>1970</v>
      </c>
      <c r="AL153" s="15">
        <v>36280</v>
      </c>
      <c r="AM153" s="8">
        <v>2760</v>
      </c>
      <c r="AN153" s="15">
        <v>36280</v>
      </c>
      <c r="AO153" s="8">
        <v>1810</v>
      </c>
      <c r="AP153" s="5">
        <v>40755</v>
      </c>
      <c r="AQ153" s="4">
        <v>17.298999999999999</v>
      </c>
      <c r="AR153" s="11">
        <v>36889</v>
      </c>
      <c r="AS153" s="11">
        <v>36889</v>
      </c>
      <c r="AT153" s="10">
        <v>23.87</v>
      </c>
    </row>
    <row r="154" spans="1:46" x14ac:dyDescent="0.25">
      <c r="A154" s="16">
        <v>22889</v>
      </c>
      <c r="B154" s="1">
        <v>7234</v>
      </c>
      <c r="C154" s="13" t="str">
        <f t="shared" si="2"/>
        <v>31995</v>
      </c>
      <c r="D154" s="2">
        <v>34789</v>
      </c>
      <c r="E154" s="1">
        <v>7761</v>
      </c>
      <c r="F154" s="16">
        <v>38960</v>
      </c>
      <c r="G154" s="1">
        <v>9675.68</v>
      </c>
      <c r="H154" s="16">
        <v>38960</v>
      </c>
      <c r="I154" s="1">
        <v>4296</v>
      </c>
      <c r="J154" s="16">
        <v>38960</v>
      </c>
      <c r="K154" s="1">
        <v>2003</v>
      </c>
      <c r="L154" s="16">
        <v>38960</v>
      </c>
      <c r="M154" s="1">
        <v>1785</v>
      </c>
      <c r="N154" s="16">
        <v>38960</v>
      </c>
      <c r="O154" s="1">
        <v>2401.2089999999998</v>
      </c>
      <c r="P154" s="16">
        <v>38960</v>
      </c>
      <c r="Q154" s="1">
        <v>9488.8029999999999</v>
      </c>
      <c r="R154" s="16">
        <v>38960</v>
      </c>
      <c r="S154" s="1">
        <v>2731.1289999999999</v>
      </c>
      <c r="T154" s="16">
        <v>38960</v>
      </c>
      <c r="U154" s="1">
        <v>3608.8029999999999</v>
      </c>
      <c r="V154" s="16">
        <v>38960</v>
      </c>
      <c r="W154" s="1">
        <v>1708.039</v>
      </c>
      <c r="X154" s="15">
        <v>36341</v>
      </c>
      <c r="Y154" s="8">
        <v>25850</v>
      </c>
      <c r="Z154" s="15">
        <v>36311</v>
      </c>
      <c r="AA154" s="8">
        <v>7510</v>
      </c>
      <c r="AB154" s="15">
        <v>36311</v>
      </c>
      <c r="AC154" s="8">
        <v>2010</v>
      </c>
      <c r="AD154" s="15">
        <v>36311</v>
      </c>
      <c r="AE154" s="8">
        <v>3390</v>
      </c>
      <c r="AF154" s="15">
        <v>36311</v>
      </c>
      <c r="AG154" s="8">
        <v>2640</v>
      </c>
      <c r="AH154" s="15">
        <v>36311</v>
      </c>
      <c r="AI154" s="8">
        <v>1270</v>
      </c>
      <c r="AJ154" s="15">
        <v>36311</v>
      </c>
      <c r="AK154" s="8">
        <v>2000</v>
      </c>
      <c r="AL154" s="15">
        <v>36311</v>
      </c>
      <c r="AM154" s="8">
        <v>2740</v>
      </c>
      <c r="AN154" s="15">
        <v>36311</v>
      </c>
      <c r="AO154" s="8">
        <v>1820</v>
      </c>
      <c r="AP154" s="5">
        <v>40786</v>
      </c>
      <c r="AQ154" s="4">
        <v>17.113</v>
      </c>
      <c r="AR154" s="11">
        <v>36922</v>
      </c>
      <c r="AS154" s="11">
        <v>36922</v>
      </c>
      <c r="AT154" s="10">
        <v>26.66</v>
      </c>
    </row>
    <row r="155" spans="1:46" x14ac:dyDescent="0.25">
      <c r="A155" s="16">
        <v>22919</v>
      </c>
      <c r="B155" s="1">
        <v>7320</v>
      </c>
      <c r="C155" s="13" t="str">
        <f t="shared" si="2"/>
        <v>41995</v>
      </c>
      <c r="D155" s="2">
        <v>34817</v>
      </c>
      <c r="E155" s="1">
        <v>-4107</v>
      </c>
      <c r="F155" s="16">
        <v>38990</v>
      </c>
      <c r="G155" s="1">
        <v>9570.18</v>
      </c>
      <c r="H155" s="16">
        <v>38990</v>
      </c>
      <c r="I155" s="1">
        <v>4177</v>
      </c>
      <c r="J155" s="16">
        <v>38990</v>
      </c>
      <c r="K155" s="1">
        <v>2053</v>
      </c>
      <c r="L155" s="16">
        <v>38990</v>
      </c>
      <c r="M155" s="1">
        <v>1815</v>
      </c>
      <c r="N155" s="16">
        <v>38990</v>
      </c>
      <c r="O155" s="1">
        <v>2316.2089999999998</v>
      </c>
      <c r="P155" s="16">
        <v>38990</v>
      </c>
      <c r="Q155" s="1">
        <v>9526.5570000000007</v>
      </c>
      <c r="R155" s="16">
        <v>38990</v>
      </c>
      <c r="S155" s="1">
        <v>2755.9749999999999</v>
      </c>
      <c r="T155" s="16">
        <v>38990</v>
      </c>
      <c r="U155" s="1">
        <v>3598.194</v>
      </c>
      <c r="V155" s="16">
        <v>38990</v>
      </c>
      <c r="W155" s="1">
        <v>1737.992</v>
      </c>
      <c r="X155" s="15">
        <v>36372</v>
      </c>
      <c r="Y155" s="8">
        <v>26030</v>
      </c>
      <c r="Z155" s="15">
        <v>36341</v>
      </c>
      <c r="AA155" s="8">
        <v>7470</v>
      </c>
      <c r="AB155" s="15">
        <v>36341</v>
      </c>
      <c r="AC155" s="8">
        <v>2010</v>
      </c>
      <c r="AD155" s="15">
        <v>36341</v>
      </c>
      <c r="AE155" s="8">
        <v>3400</v>
      </c>
      <c r="AF155" s="15">
        <v>36341</v>
      </c>
      <c r="AG155" s="8">
        <v>2520</v>
      </c>
      <c r="AH155" s="15">
        <v>36341</v>
      </c>
      <c r="AI155" s="8">
        <v>1270</v>
      </c>
      <c r="AJ155" s="15">
        <v>36341</v>
      </c>
      <c r="AK155" s="8">
        <v>1950</v>
      </c>
      <c r="AL155" s="15">
        <v>36341</v>
      </c>
      <c r="AM155" s="8">
        <v>2740</v>
      </c>
      <c r="AN155" s="15">
        <v>36341</v>
      </c>
      <c r="AO155" s="8">
        <v>1840</v>
      </c>
      <c r="AP155" s="5">
        <v>40816</v>
      </c>
      <c r="AQ155" s="4">
        <v>16.291</v>
      </c>
      <c r="AR155" s="11">
        <v>36950</v>
      </c>
      <c r="AS155" s="11">
        <v>36950</v>
      </c>
      <c r="AT155" s="10">
        <v>25.57</v>
      </c>
    </row>
    <row r="156" spans="1:46" x14ac:dyDescent="0.25">
      <c r="A156" s="16">
        <v>22950</v>
      </c>
      <c r="B156" s="1">
        <v>7367</v>
      </c>
      <c r="C156" s="13" t="str">
        <f t="shared" si="2"/>
        <v>51995</v>
      </c>
      <c r="D156" s="2">
        <v>34850</v>
      </c>
      <c r="E156" s="1">
        <v>-3019</v>
      </c>
      <c r="F156" s="16">
        <v>39021</v>
      </c>
      <c r="G156" s="1">
        <v>9490.68</v>
      </c>
      <c r="H156" s="16">
        <v>39021</v>
      </c>
      <c r="I156" s="1">
        <v>4057</v>
      </c>
      <c r="J156" s="16">
        <v>39021</v>
      </c>
      <c r="K156" s="1">
        <v>1938</v>
      </c>
      <c r="L156" s="16">
        <v>39021</v>
      </c>
      <c r="M156" s="1">
        <v>1815</v>
      </c>
      <c r="N156" s="16">
        <v>39021</v>
      </c>
      <c r="O156" s="1">
        <v>2365</v>
      </c>
      <c r="P156" s="16">
        <v>39021</v>
      </c>
      <c r="Q156" s="1">
        <v>9583.384</v>
      </c>
      <c r="R156" s="16">
        <v>39021</v>
      </c>
      <c r="S156" s="1">
        <v>2756.8470000000002</v>
      </c>
      <c r="T156" s="16">
        <v>39021</v>
      </c>
      <c r="U156" s="1">
        <v>3599.3670000000002</v>
      </c>
      <c r="V156" s="16">
        <v>39021</v>
      </c>
      <c r="W156" s="1">
        <v>1766.87</v>
      </c>
      <c r="X156" s="15">
        <v>36403</v>
      </c>
      <c r="Y156" s="8">
        <v>25990</v>
      </c>
      <c r="Z156" s="15">
        <v>36372</v>
      </c>
      <c r="AA156" s="8">
        <v>7510</v>
      </c>
      <c r="AB156" s="15">
        <v>36372</v>
      </c>
      <c r="AC156" s="8">
        <v>2020</v>
      </c>
      <c r="AD156" s="15">
        <v>36372</v>
      </c>
      <c r="AE156" s="8">
        <v>3390</v>
      </c>
      <c r="AF156" s="15">
        <v>36372</v>
      </c>
      <c r="AG156" s="8">
        <v>2750</v>
      </c>
      <c r="AH156" s="15">
        <v>36372</v>
      </c>
      <c r="AI156" s="8">
        <v>1290</v>
      </c>
      <c r="AJ156" s="15">
        <v>36372</v>
      </c>
      <c r="AK156" s="8">
        <v>1850</v>
      </c>
      <c r="AL156" s="15">
        <v>36372</v>
      </c>
      <c r="AM156" s="8">
        <v>2720</v>
      </c>
      <c r="AN156" s="15">
        <v>36372</v>
      </c>
      <c r="AO156" s="8">
        <v>1840</v>
      </c>
      <c r="AP156" s="5">
        <v>40847</v>
      </c>
      <c r="AQ156" s="4">
        <v>16.670000000000002</v>
      </c>
      <c r="AR156" s="11">
        <v>36980</v>
      </c>
      <c r="AS156" s="11">
        <v>36980</v>
      </c>
      <c r="AT156" s="10">
        <v>24.74</v>
      </c>
    </row>
    <row r="157" spans="1:46" x14ac:dyDescent="0.25">
      <c r="A157" s="16">
        <v>22980</v>
      </c>
      <c r="B157" s="1">
        <v>7441</v>
      </c>
      <c r="C157" s="13" t="str">
        <f t="shared" si="2"/>
        <v>61995</v>
      </c>
      <c r="D157" s="2">
        <v>34880</v>
      </c>
      <c r="E157" s="1">
        <v>3726</v>
      </c>
      <c r="F157" s="16">
        <v>39051</v>
      </c>
      <c r="G157" s="1">
        <v>9325.68</v>
      </c>
      <c r="H157" s="16">
        <v>39051</v>
      </c>
      <c r="I157" s="1">
        <v>4187</v>
      </c>
      <c r="J157" s="16">
        <v>39051</v>
      </c>
      <c r="K157" s="1">
        <v>1843</v>
      </c>
      <c r="L157" s="16">
        <v>39051</v>
      </c>
      <c r="M157" s="1">
        <v>1795</v>
      </c>
      <c r="N157" s="16">
        <v>39051</v>
      </c>
      <c r="O157" s="1">
        <v>2330</v>
      </c>
      <c r="P157" s="16">
        <v>39051</v>
      </c>
      <c r="Q157" s="1">
        <v>9609.6299999999992</v>
      </c>
      <c r="R157" s="16">
        <v>39051</v>
      </c>
      <c r="S157" s="1">
        <v>2809.8249999999998</v>
      </c>
      <c r="T157" s="16">
        <v>39051</v>
      </c>
      <c r="U157" s="1">
        <v>3617.942</v>
      </c>
      <c r="V157" s="16">
        <v>39051</v>
      </c>
      <c r="W157" s="1">
        <v>1770.864</v>
      </c>
      <c r="X157" s="15">
        <v>36433</v>
      </c>
      <c r="Y157" s="8">
        <v>26270</v>
      </c>
      <c r="Z157" s="15">
        <v>36403</v>
      </c>
      <c r="AA157" s="8">
        <v>7490</v>
      </c>
      <c r="AB157" s="15">
        <v>36403</v>
      </c>
      <c r="AC157" s="8">
        <v>2650</v>
      </c>
      <c r="AD157" s="15">
        <v>36403</v>
      </c>
      <c r="AE157" s="8">
        <v>3380</v>
      </c>
      <c r="AF157" s="15">
        <v>36403</v>
      </c>
      <c r="AG157" s="8">
        <v>2650</v>
      </c>
      <c r="AH157" s="15">
        <v>36403</v>
      </c>
      <c r="AI157" s="8">
        <v>1260</v>
      </c>
      <c r="AJ157" s="15">
        <v>36403</v>
      </c>
      <c r="AK157" s="8">
        <v>1830</v>
      </c>
      <c r="AL157" s="15">
        <v>36403</v>
      </c>
      <c r="AM157" s="8">
        <v>2750</v>
      </c>
      <c r="AN157" s="15">
        <v>36403</v>
      </c>
      <c r="AO157" s="8">
        <v>1840</v>
      </c>
      <c r="AP157" s="5">
        <v>40877</v>
      </c>
      <c r="AQ157" s="4">
        <v>16.462</v>
      </c>
      <c r="AR157" s="11">
        <v>37011</v>
      </c>
      <c r="AS157" s="11">
        <v>37011</v>
      </c>
      <c r="AT157" s="10">
        <v>27.89</v>
      </c>
    </row>
    <row r="158" spans="1:46" x14ac:dyDescent="0.25">
      <c r="A158" s="16">
        <v>23011</v>
      </c>
      <c r="B158" s="1">
        <v>7381</v>
      </c>
      <c r="C158" s="13" t="str">
        <f t="shared" si="2"/>
        <v>71995</v>
      </c>
      <c r="D158" s="2">
        <v>34911</v>
      </c>
      <c r="E158" s="1">
        <v>2949</v>
      </c>
      <c r="F158" s="16">
        <v>39082</v>
      </c>
      <c r="G158" s="1">
        <v>9125.68</v>
      </c>
      <c r="H158" s="16">
        <v>39082</v>
      </c>
      <c r="I158" s="1">
        <v>4117</v>
      </c>
      <c r="J158" s="16">
        <v>39082</v>
      </c>
      <c r="K158" s="1">
        <v>1773</v>
      </c>
      <c r="L158" s="16">
        <v>39082</v>
      </c>
      <c r="M158" s="1">
        <v>1795</v>
      </c>
      <c r="N158" s="16">
        <v>39082</v>
      </c>
      <c r="O158" s="1">
        <v>2335</v>
      </c>
      <c r="P158" s="16">
        <v>39082</v>
      </c>
      <c r="Q158" s="1">
        <v>9651.9549999999999</v>
      </c>
      <c r="R158" s="16">
        <v>39082</v>
      </c>
      <c r="S158" s="1">
        <v>2686.268</v>
      </c>
      <c r="T158" s="16">
        <v>39082</v>
      </c>
      <c r="U158" s="1">
        <v>3541.181</v>
      </c>
      <c r="V158" s="16">
        <v>39082</v>
      </c>
      <c r="W158" s="1">
        <v>1791.489</v>
      </c>
      <c r="X158" s="15">
        <v>36464</v>
      </c>
      <c r="Y158" s="8">
        <v>26440</v>
      </c>
      <c r="Z158" s="15">
        <v>36433</v>
      </c>
      <c r="AA158" s="8">
        <v>7590</v>
      </c>
      <c r="AB158" s="15">
        <v>36433</v>
      </c>
      <c r="AC158" s="8">
        <v>2650</v>
      </c>
      <c r="AD158" s="15">
        <v>36433</v>
      </c>
      <c r="AE158" s="8">
        <v>3370</v>
      </c>
      <c r="AF158" s="15">
        <v>36433</v>
      </c>
      <c r="AG158" s="8">
        <v>2650</v>
      </c>
      <c r="AH158" s="15">
        <v>36433</v>
      </c>
      <c r="AI158" s="8">
        <v>1270</v>
      </c>
      <c r="AJ158" s="15">
        <v>36433</v>
      </c>
      <c r="AK158" s="8">
        <v>1900</v>
      </c>
      <c r="AL158" s="15">
        <v>36433</v>
      </c>
      <c r="AM158" s="8">
        <v>2750</v>
      </c>
      <c r="AN158" s="15">
        <v>36433</v>
      </c>
      <c r="AO158" s="8">
        <v>1850</v>
      </c>
      <c r="AP158" s="5">
        <v>40908</v>
      </c>
      <c r="AQ158" s="4">
        <v>16.98</v>
      </c>
      <c r="AR158" s="11">
        <v>37042</v>
      </c>
      <c r="AS158" s="11">
        <v>37042</v>
      </c>
      <c r="AT158" s="10">
        <v>29.34</v>
      </c>
    </row>
    <row r="159" spans="1:46" x14ac:dyDescent="0.25">
      <c r="A159" s="16">
        <v>23042</v>
      </c>
      <c r="B159" s="1">
        <v>7304</v>
      </c>
      <c r="C159" s="13" t="str">
        <f t="shared" si="2"/>
        <v>81995</v>
      </c>
      <c r="D159" s="2">
        <v>34942</v>
      </c>
      <c r="E159" s="1">
        <v>2953</v>
      </c>
      <c r="F159" s="16">
        <v>39113</v>
      </c>
      <c r="G159" s="1">
        <v>9133.4189999999999</v>
      </c>
      <c r="H159" s="16">
        <v>39113</v>
      </c>
      <c r="I159" s="1">
        <v>4207</v>
      </c>
      <c r="J159" s="16">
        <v>39113</v>
      </c>
      <c r="K159" s="1">
        <v>1698.2819999999999</v>
      </c>
      <c r="L159" s="16">
        <v>39113</v>
      </c>
      <c r="M159" s="1">
        <v>1765</v>
      </c>
      <c r="N159" s="16">
        <v>39113</v>
      </c>
      <c r="O159" s="1">
        <v>2336.116</v>
      </c>
      <c r="P159" s="16">
        <v>39113</v>
      </c>
      <c r="Q159" s="1">
        <v>9848.2099999999991</v>
      </c>
      <c r="R159" s="16">
        <v>39113</v>
      </c>
      <c r="S159" s="1">
        <v>2686.5650000000001</v>
      </c>
      <c r="T159" s="16">
        <v>39113</v>
      </c>
      <c r="U159" s="1">
        <v>3736.047</v>
      </c>
      <c r="V159" s="16">
        <v>39113</v>
      </c>
      <c r="W159" s="1">
        <v>1740.444</v>
      </c>
      <c r="X159" s="15">
        <v>36494</v>
      </c>
      <c r="Y159" s="8">
        <v>26190</v>
      </c>
      <c r="Z159" s="15">
        <v>36464</v>
      </c>
      <c r="AA159" s="8">
        <v>7600</v>
      </c>
      <c r="AB159" s="15">
        <v>36464</v>
      </c>
      <c r="AC159" s="8">
        <v>2650</v>
      </c>
      <c r="AD159" s="15">
        <v>36464</v>
      </c>
      <c r="AE159" s="8">
        <v>3460</v>
      </c>
      <c r="AF159" s="15">
        <v>36464</v>
      </c>
      <c r="AG159" s="8">
        <v>2650</v>
      </c>
      <c r="AH159" s="15">
        <v>36464</v>
      </c>
      <c r="AI159" s="8">
        <v>1320</v>
      </c>
      <c r="AJ159" s="15">
        <v>36464</v>
      </c>
      <c r="AK159" s="8">
        <v>1920</v>
      </c>
      <c r="AL159" s="15">
        <v>36464</v>
      </c>
      <c r="AM159" s="8">
        <v>2750</v>
      </c>
      <c r="AN159" s="15">
        <v>36464</v>
      </c>
      <c r="AO159" s="8">
        <v>1860</v>
      </c>
      <c r="AP159" s="5">
        <v>40939</v>
      </c>
      <c r="AQ159" s="4">
        <v>17.364999999999998</v>
      </c>
      <c r="AR159" s="11">
        <v>37071</v>
      </c>
      <c r="AS159" s="11">
        <v>37071</v>
      </c>
      <c r="AT159" s="10">
        <v>26.08</v>
      </c>
    </row>
    <row r="160" spans="1:46" x14ac:dyDescent="0.25">
      <c r="A160" s="16">
        <v>23070</v>
      </c>
      <c r="B160" s="1">
        <v>7587</v>
      </c>
      <c r="C160" s="13" t="str">
        <f t="shared" si="2"/>
        <v>91995</v>
      </c>
      <c r="D160" s="2">
        <v>34971</v>
      </c>
      <c r="E160" s="1">
        <v>-5055</v>
      </c>
      <c r="F160" s="16">
        <v>39141</v>
      </c>
      <c r="G160" s="1">
        <v>9032.9189999999999</v>
      </c>
      <c r="H160" s="16">
        <v>39141</v>
      </c>
      <c r="I160" s="1">
        <v>4017</v>
      </c>
      <c r="J160" s="16">
        <v>39141</v>
      </c>
      <c r="K160" s="1">
        <v>1978.1849999999999</v>
      </c>
      <c r="L160" s="16">
        <v>39141</v>
      </c>
      <c r="M160" s="1">
        <v>1755</v>
      </c>
      <c r="N160" s="16">
        <v>39141</v>
      </c>
      <c r="O160" s="1">
        <v>2339.116</v>
      </c>
      <c r="P160" s="16">
        <v>39141</v>
      </c>
      <c r="Q160" s="1">
        <v>9877.1749999999993</v>
      </c>
      <c r="R160" s="16">
        <v>39141</v>
      </c>
      <c r="S160" s="1">
        <v>2881.0070000000001</v>
      </c>
      <c r="T160" s="16">
        <v>39141</v>
      </c>
      <c r="U160" s="1">
        <v>3687.0250000000001</v>
      </c>
      <c r="V160" s="16">
        <v>39141</v>
      </c>
      <c r="W160" s="1">
        <v>1762.452</v>
      </c>
      <c r="X160" s="15">
        <v>36525</v>
      </c>
      <c r="Y160" s="8">
        <v>25460</v>
      </c>
      <c r="Z160" s="15">
        <v>36494</v>
      </c>
      <c r="AA160" s="8">
        <v>7620</v>
      </c>
      <c r="AB160" s="15">
        <v>36494</v>
      </c>
      <c r="AC160" s="8">
        <v>2650</v>
      </c>
      <c r="AD160" s="15">
        <v>36494</v>
      </c>
      <c r="AE160" s="8">
        <v>3420</v>
      </c>
      <c r="AF160" s="15">
        <v>36494</v>
      </c>
      <c r="AG160" s="8">
        <v>2650</v>
      </c>
      <c r="AH160" s="15">
        <v>36494</v>
      </c>
      <c r="AI160" s="8">
        <v>1330</v>
      </c>
      <c r="AJ160" s="15">
        <v>36494</v>
      </c>
      <c r="AK160" s="8">
        <v>1950</v>
      </c>
      <c r="AL160" s="15">
        <v>36494</v>
      </c>
      <c r="AM160" s="8">
        <v>2750</v>
      </c>
      <c r="AN160" s="15">
        <v>36494</v>
      </c>
      <c r="AO160" s="8">
        <v>1850</v>
      </c>
      <c r="AP160" s="5">
        <v>40968</v>
      </c>
      <c r="AQ160" s="4">
        <v>16.324999999999999</v>
      </c>
      <c r="AR160" s="11">
        <v>37103</v>
      </c>
      <c r="AS160" s="11">
        <v>37103</v>
      </c>
      <c r="AT160" s="10">
        <v>24.69</v>
      </c>
    </row>
    <row r="161" spans="1:46" x14ac:dyDescent="0.25">
      <c r="A161" s="16">
        <v>23101</v>
      </c>
      <c r="B161" s="1">
        <v>7558</v>
      </c>
      <c r="C161" s="13" t="str">
        <f t="shared" si="2"/>
        <v>101995</v>
      </c>
      <c r="D161" s="2">
        <v>35003</v>
      </c>
      <c r="E161" s="1">
        <v>1524</v>
      </c>
      <c r="F161" s="16">
        <v>39172</v>
      </c>
      <c r="G161" s="1">
        <v>8977.9189999999999</v>
      </c>
      <c r="H161" s="16">
        <v>39172</v>
      </c>
      <c r="I161" s="1">
        <v>4347</v>
      </c>
      <c r="J161" s="16">
        <v>39172</v>
      </c>
      <c r="K161" s="1">
        <v>2002.963</v>
      </c>
      <c r="L161" s="16">
        <v>39172</v>
      </c>
      <c r="M161" s="1">
        <v>1755</v>
      </c>
      <c r="N161" s="16">
        <v>39172</v>
      </c>
      <c r="O161" s="1">
        <v>2168.116</v>
      </c>
      <c r="P161" s="16">
        <v>39172</v>
      </c>
      <c r="Q161" s="1">
        <v>9886.0419999999995</v>
      </c>
      <c r="R161" s="16">
        <v>39172</v>
      </c>
      <c r="S161" s="1">
        <v>2789.6030000000001</v>
      </c>
      <c r="T161" s="16">
        <v>39172</v>
      </c>
      <c r="U161" s="1">
        <v>3632.9560000000001</v>
      </c>
      <c r="V161" s="16">
        <v>39172</v>
      </c>
      <c r="W161" s="1">
        <v>1773.308</v>
      </c>
      <c r="X161" s="15">
        <v>36556</v>
      </c>
      <c r="Y161" s="8">
        <v>26050</v>
      </c>
      <c r="Z161" s="15">
        <v>36525</v>
      </c>
      <c r="AA161" s="8">
        <v>7680</v>
      </c>
      <c r="AB161" s="15">
        <v>36525</v>
      </c>
      <c r="AC161" s="8">
        <v>2650</v>
      </c>
      <c r="AD161" s="15">
        <v>36525</v>
      </c>
      <c r="AE161" s="8">
        <v>3400</v>
      </c>
      <c r="AF161" s="15">
        <v>36525</v>
      </c>
      <c r="AG161" s="8">
        <v>2650</v>
      </c>
      <c r="AH161" s="15">
        <v>36525</v>
      </c>
      <c r="AI161" s="8">
        <v>1340</v>
      </c>
      <c r="AJ161" s="15">
        <v>36525</v>
      </c>
      <c r="AK161" s="8">
        <v>1990</v>
      </c>
      <c r="AL161" s="15">
        <v>36525</v>
      </c>
      <c r="AM161" s="8">
        <v>2750</v>
      </c>
      <c r="AN161" s="15">
        <v>36525</v>
      </c>
      <c r="AO161" s="8">
        <v>1900</v>
      </c>
      <c r="AP161" s="5">
        <v>40999</v>
      </c>
      <c r="AQ161" s="4">
        <v>17.268999999999998</v>
      </c>
      <c r="AR161" s="11">
        <v>37134</v>
      </c>
      <c r="AS161" s="11">
        <v>37134</v>
      </c>
      <c r="AT161" s="10">
        <v>26.41</v>
      </c>
    </row>
    <row r="162" spans="1:46" x14ac:dyDescent="0.25">
      <c r="A162" s="16">
        <v>23131</v>
      </c>
      <c r="B162" s="1">
        <v>7609</v>
      </c>
      <c r="C162" s="13" t="str">
        <f t="shared" si="2"/>
        <v>111995</v>
      </c>
      <c r="D162" s="2">
        <v>35033</v>
      </c>
      <c r="E162" s="1">
        <v>6079</v>
      </c>
      <c r="F162" s="16">
        <v>39202</v>
      </c>
      <c r="G162" s="1">
        <v>9033.4189999999999</v>
      </c>
      <c r="H162" s="16">
        <v>39202</v>
      </c>
      <c r="I162" s="1">
        <v>4240</v>
      </c>
      <c r="J162" s="16">
        <v>39202</v>
      </c>
      <c r="K162" s="1">
        <v>2102.9059999999999</v>
      </c>
      <c r="L162" s="16">
        <v>39202</v>
      </c>
      <c r="M162" s="1">
        <v>1755</v>
      </c>
      <c r="N162" s="16">
        <v>39202</v>
      </c>
      <c r="O162" s="1">
        <v>2172.991</v>
      </c>
      <c r="P162" s="16">
        <v>39202</v>
      </c>
      <c r="Q162" s="1">
        <v>9795.3230000000003</v>
      </c>
      <c r="R162" s="16">
        <v>39202</v>
      </c>
      <c r="S162" s="1">
        <v>2717.5720000000001</v>
      </c>
      <c r="T162" s="16">
        <v>39202</v>
      </c>
      <c r="U162" s="1">
        <v>3696.0949999999998</v>
      </c>
      <c r="V162" s="16">
        <v>39202</v>
      </c>
      <c r="W162" s="1">
        <v>1743.213</v>
      </c>
      <c r="X162" s="15">
        <v>36585</v>
      </c>
      <c r="Y162" s="8">
        <v>26680</v>
      </c>
      <c r="Z162" s="15">
        <v>36556</v>
      </c>
      <c r="AA162" s="8">
        <v>7700</v>
      </c>
      <c r="AB162" s="15">
        <v>36556</v>
      </c>
      <c r="AC162" s="8">
        <v>2080</v>
      </c>
      <c r="AD162" s="15">
        <v>36556</v>
      </c>
      <c r="AE162" s="8">
        <v>3450</v>
      </c>
      <c r="AF162" s="15">
        <v>36556</v>
      </c>
      <c r="AG162" s="8">
        <v>2180</v>
      </c>
      <c r="AH162" s="15">
        <v>36556</v>
      </c>
      <c r="AI162" s="8">
        <v>1360</v>
      </c>
      <c r="AJ162" s="15">
        <v>36556</v>
      </c>
      <c r="AK162" s="8">
        <v>1920</v>
      </c>
      <c r="AL162" s="15">
        <v>36556</v>
      </c>
      <c r="AM162" s="8">
        <v>2780</v>
      </c>
      <c r="AN162" s="15">
        <v>36556</v>
      </c>
      <c r="AO162" s="8">
        <v>1900</v>
      </c>
      <c r="AP162" s="5">
        <v>41029</v>
      </c>
      <c r="AQ162" s="4">
        <v>16.890999999999998</v>
      </c>
      <c r="AR162" s="11">
        <v>37162</v>
      </c>
      <c r="AS162" s="11">
        <v>37162</v>
      </c>
      <c r="AT162" s="10">
        <v>23.26</v>
      </c>
    </row>
    <row r="163" spans="1:46" x14ac:dyDescent="0.25">
      <c r="A163" s="16">
        <v>23162</v>
      </c>
      <c r="B163" s="1">
        <v>7564</v>
      </c>
      <c r="C163" s="13" t="str">
        <f t="shared" si="2"/>
        <v>121995</v>
      </c>
      <c r="D163" s="2">
        <v>35062</v>
      </c>
      <c r="E163" s="1">
        <v>-10226</v>
      </c>
      <c r="F163" s="16">
        <v>39233</v>
      </c>
      <c r="G163" s="1">
        <v>9133.4189999999999</v>
      </c>
      <c r="H163" s="16">
        <v>39233</v>
      </c>
      <c r="I163" s="1">
        <v>4167</v>
      </c>
      <c r="J163" s="16">
        <v>39233</v>
      </c>
      <c r="K163" s="1">
        <v>2002.855</v>
      </c>
      <c r="L163" s="16">
        <v>39233</v>
      </c>
      <c r="M163" s="1">
        <v>1755</v>
      </c>
      <c r="N163" s="16">
        <v>39233</v>
      </c>
      <c r="O163" s="1">
        <v>1990.991</v>
      </c>
      <c r="P163" s="16">
        <v>39233</v>
      </c>
      <c r="Q163" s="1">
        <v>9815.1059999999998</v>
      </c>
      <c r="R163" s="16">
        <v>39233</v>
      </c>
      <c r="S163" s="1">
        <v>2859.596</v>
      </c>
      <c r="T163" s="16">
        <v>39233</v>
      </c>
      <c r="U163" s="1">
        <v>3728.1320000000001</v>
      </c>
      <c r="V163" s="16">
        <v>39233</v>
      </c>
      <c r="W163" s="1">
        <v>1730.34</v>
      </c>
      <c r="X163" s="15">
        <v>36616</v>
      </c>
      <c r="Y163" s="8">
        <v>26490</v>
      </c>
      <c r="Z163" s="15">
        <v>36585</v>
      </c>
      <c r="AA163" s="8">
        <v>7700</v>
      </c>
      <c r="AB163" s="15">
        <v>36585</v>
      </c>
      <c r="AC163" s="8">
        <v>2120</v>
      </c>
      <c r="AD163" s="15">
        <v>36585</v>
      </c>
      <c r="AE163" s="8">
        <v>3470</v>
      </c>
      <c r="AF163" s="15">
        <v>36585</v>
      </c>
      <c r="AG163" s="8">
        <v>2570</v>
      </c>
      <c r="AH163" s="15">
        <v>36585</v>
      </c>
      <c r="AI163" s="8">
        <v>1370</v>
      </c>
      <c r="AJ163" s="15">
        <v>36585</v>
      </c>
      <c r="AK163" s="8">
        <v>1980</v>
      </c>
      <c r="AL163" s="15">
        <v>36585</v>
      </c>
      <c r="AM163" s="8">
        <v>2800</v>
      </c>
      <c r="AN163" s="15">
        <v>36585</v>
      </c>
      <c r="AO163" s="8">
        <v>1930</v>
      </c>
      <c r="AP163" s="5">
        <v>41060</v>
      </c>
      <c r="AQ163" s="4">
        <v>17.431999999999999</v>
      </c>
      <c r="AR163" s="11">
        <v>37195</v>
      </c>
      <c r="AS163" s="11">
        <v>37195</v>
      </c>
      <c r="AT163" s="10">
        <v>20.37</v>
      </c>
    </row>
    <row r="164" spans="1:46" x14ac:dyDescent="0.25">
      <c r="A164" s="16">
        <v>23192</v>
      </c>
      <c r="B164" s="1">
        <v>7562</v>
      </c>
      <c r="C164" s="13" t="str">
        <f t="shared" si="2"/>
        <v>11996</v>
      </c>
      <c r="D164" s="2">
        <v>35095</v>
      </c>
      <c r="E164" s="1">
        <v>-1745</v>
      </c>
      <c r="F164" s="16">
        <v>39263</v>
      </c>
      <c r="G164" s="1">
        <v>9053.4189999999999</v>
      </c>
      <c r="H164" s="16">
        <v>39263</v>
      </c>
      <c r="I164" s="1">
        <v>4207</v>
      </c>
      <c r="J164" s="16">
        <v>39263</v>
      </c>
      <c r="K164" s="1">
        <v>1927.809</v>
      </c>
      <c r="L164" s="16">
        <v>39263</v>
      </c>
      <c r="M164" s="1">
        <v>1765</v>
      </c>
      <c r="N164" s="16">
        <v>39263</v>
      </c>
      <c r="O164" s="1">
        <v>2088.991</v>
      </c>
      <c r="P164" s="16">
        <v>39263</v>
      </c>
      <c r="Q164" s="1">
        <v>9868.6229999999996</v>
      </c>
      <c r="R164" s="16">
        <v>39263</v>
      </c>
      <c r="S164" s="1">
        <v>2848.5039999999999</v>
      </c>
      <c r="T164" s="16">
        <v>39263</v>
      </c>
      <c r="U164" s="1">
        <v>3771.9119999999998</v>
      </c>
      <c r="V164" s="16">
        <v>39263</v>
      </c>
      <c r="W164" s="1">
        <v>1788.3019999999999</v>
      </c>
      <c r="X164" s="15">
        <v>36646</v>
      </c>
      <c r="Y164" s="8">
        <v>27700</v>
      </c>
      <c r="Z164" s="15">
        <v>36616</v>
      </c>
      <c r="AA164" s="8">
        <v>7820</v>
      </c>
      <c r="AB164" s="15">
        <v>36616</v>
      </c>
      <c r="AC164" s="8">
        <v>2160</v>
      </c>
      <c r="AD164" s="15">
        <v>36616</v>
      </c>
      <c r="AE164" s="8">
        <v>3480</v>
      </c>
      <c r="AF164" s="15">
        <v>36616</v>
      </c>
      <c r="AG164" s="8">
        <v>2200</v>
      </c>
      <c r="AH164" s="15">
        <v>36616</v>
      </c>
      <c r="AI164" s="8">
        <v>1380</v>
      </c>
      <c r="AJ164" s="15">
        <v>36616</v>
      </c>
      <c r="AK164" s="8">
        <v>1960</v>
      </c>
      <c r="AL164" s="15">
        <v>36616</v>
      </c>
      <c r="AM164" s="8">
        <v>2820</v>
      </c>
      <c r="AN164" s="15">
        <v>36616</v>
      </c>
      <c r="AO164" s="8">
        <v>1970</v>
      </c>
      <c r="AP164" s="5">
        <v>41090</v>
      </c>
      <c r="AQ164" s="4">
        <v>16.498999999999999</v>
      </c>
      <c r="AR164" s="11">
        <v>37225</v>
      </c>
      <c r="AS164" s="11">
        <v>37225</v>
      </c>
      <c r="AT164" s="10">
        <v>19.14</v>
      </c>
    </row>
    <row r="165" spans="1:46" x14ac:dyDescent="0.25">
      <c r="A165" s="16">
        <v>23223</v>
      </c>
      <c r="B165" s="1">
        <v>7585</v>
      </c>
      <c r="C165" s="13" t="str">
        <f t="shared" si="2"/>
        <v>21996</v>
      </c>
      <c r="D165" s="2">
        <v>35124</v>
      </c>
      <c r="E165" s="1">
        <v>343</v>
      </c>
      <c r="F165" s="16">
        <v>39294</v>
      </c>
      <c r="G165" s="1">
        <v>9183.4189999999999</v>
      </c>
      <c r="H165" s="16">
        <v>39294</v>
      </c>
      <c r="I165" s="1">
        <v>4197</v>
      </c>
      <c r="J165" s="16">
        <v>39294</v>
      </c>
      <c r="K165" s="1">
        <v>2187.7660000000001</v>
      </c>
      <c r="L165" s="16">
        <v>39294</v>
      </c>
      <c r="M165" s="1">
        <v>1765</v>
      </c>
      <c r="N165" s="16">
        <v>39294</v>
      </c>
      <c r="O165" s="1">
        <v>2206.1489999999999</v>
      </c>
      <c r="P165" s="16">
        <v>39294</v>
      </c>
      <c r="Q165" s="1">
        <v>9895.5</v>
      </c>
      <c r="R165" s="16">
        <v>39294</v>
      </c>
      <c r="S165" s="1">
        <v>2900.1190000000001</v>
      </c>
      <c r="T165" s="16">
        <v>39294</v>
      </c>
      <c r="U165" s="1">
        <v>3591.3809999999999</v>
      </c>
      <c r="V165" s="16">
        <v>39294</v>
      </c>
      <c r="W165" s="1">
        <v>1778.17</v>
      </c>
      <c r="X165" s="15">
        <v>36677</v>
      </c>
      <c r="Y165" s="8">
        <v>27570</v>
      </c>
      <c r="Z165" s="15">
        <v>36646</v>
      </c>
      <c r="AA165" s="8">
        <v>8030</v>
      </c>
      <c r="AB165" s="15">
        <v>36646</v>
      </c>
      <c r="AC165" s="8">
        <v>2280</v>
      </c>
      <c r="AD165" s="15">
        <v>36646</v>
      </c>
      <c r="AE165" s="8">
        <v>3650</v>
      </c>
      <c r="AF165" s="15">
        <v>36646</v>
      </c>
      <c r="AG165" s="8">
        <v>2660</v>
      </c>
      <c r="AH165" s="15">
        <v>36646</v>
      </c>
      <c r="AI165" s="8">
        <v>1410</v>
      </c>
      <c r="AJ165" s="15">
        <v>36646</v>
      </c>
      <c r="AK165" s="8">
        <v>2000</v>
      </c>
      <c r="AL165" s="15">
        <v>36646</v>
      </c>
      <c r="AM165" s="8">
        <v>2850</v>
      </c>
      <c r="AN165" s="15">
        <v>36646</v>
      </c>
      <c r="AO165" s="8">
        <v>2060</v>
      </c>
      <c r="AP165" s="5">
        <v>41121</v>
      </c>
      <c r="AQ165" s="4">
        <v>17.026</v>
      </c>
      <c r="AR165" s="11">
        <v>37256</v>
      </c>
      <c r="AS165" s="11">
        <v>37256</v>
      </c>
      <c r="AT165" s="10">
        <v>19.899999999999999</v>
      </c>
    </row>
    <row r="166" spans="1:46" x14ac:dyDescent="0.25">
      <c r="A166" s="16">
        <v>23254</v>
      </c>
      <c r="B166" s="1">
        <v>7640</v>
      </c>
      <c r="C166" s="13" t="str">
        <f t="shared" si="2"/>
        <v>31996</v>
      </c>
      <c r="D166" s="2">
        <v>35153</v>
      </c>
      <c r="E166" s="1">
        <v>-2063</v>
      </c>
      <c r="F166" s="16">
        <v>39325</v>
      </c>
      <c r="G166" s="1">
        <v>8932.9189999999999</v>
      </c>
      <c r="H166" s="16">
        <v>39325</v>
      </c>
      <c r="I166" s="1">
        <v>4157</v>
      </c>
      <c r="J166" s="16">
        <v>39325</v>
      </c>
      <c r="K166" s="1">
        <v>1987.7270000000001</v>
      </c>
      <c r="L166" s="16">
        <v>39325</v>
      </c>
      <c r="M166" s="1">
        <v>1765</v>
      </c>
      <c r="N166" s="16">
        <v>39325</v>
      </c>
      <c r="O166" s="1">
        <v>2236.1489999999999</v>
      </c>
      <c r="P166" s="16">
        <v>39325</v>
      </c>
      <c r="Q166" s="1">
        <v>9912.0519999999997</v>
      </c>
      <c r="R166" s="16">
        <v>39325</v>
      </c>
      <c r="S166" s="1">
        <v>2903.6640000000002</v>
      </c>
      <c r="T166" s="16">
        <v>39325</v>
      </c>
      <c r="U166" s="1">
        <v>3694.2539999999999</v>
      </c>
      <c r="V166" s="16">
        <v>39325</v>
      </c>
      <c r="W166" s="1">
        <v>1762.848</v>
      </c>
      <c r="X166" s="15">
        <v>36707</v>
      </c>
      <c r="Y166" s="8">
        <v>28080</v>
      </c>
      <c r="Z166" s="15">
        <v>36677</v>
      </c>
      <c r="AA166" s="8">
        <v>8180</v>
      </c>
      <c r="AB166" s="15">
        <v>36677</v>
      </c>
      <c r="AC166" s="8">
        <v>2280</v>
      </c>
      <c r="AD166" s="15">
        <v>36677</v>
      </c>
      <c r="AE166" s="8">
        <v>3680</v>
      </c>
      <c r="AF166" s="15">
        <v>36677</v>
      </c>
      <c r="AG166" s="8">
        <v>3030</v>
      </c>
      <c r="AH166" s="15">
        <v>36677</v>
      </c>
      <c r="AI166" s="8">
        <v>1410</v>
      </c>
      <c r="AJ166" s="15">
        <v>36677</v>
      </c>
      <c r="AK166" s="8">
        <v>1960</v>
      </c>
      <c r="AL166" s="15">
        <v>36677</v>
      </c>
      <c r="AM166" s="8">
        <v>2870</v>
      </c>
      <c r="AN166" s="15">
        <v>36677</v>
      </c>
      <c r="AO166" s="8">
        <v>2080</v>
      </c>
      <c r="AP166" s="5">
        <v>41152</v>
      </c>
      <c r="AQ166" s="4">
        <v>17.527999999999999</v>
      </c>
      <c r="AR166" s="11">
        <v>37287</v>
      </c>
      <c r="AS166" s="11">
        <v>37287</v>
      </c>
      <c r="AT166" s="10">
        <v>19.18</v>
      </c>
    </row>
    <row r="167" spans="1:46" x14ac:dyDescent="0.25">
      <c r="A167" s="16">
        <v>23284</v>
      </c>
      <c r="B167" s="1">
        <v>7507</v>
      </c>
      <c r="C167" s="13" t="str">
        <f t="shared" si="2"/>
        <v>41996</v>
      </c>
      <c r="D167" s="2">
        <v>35185</v>
      </c>
      <c r="E167" s="1">
        <v>-370</v>
      </c>
      <c r="F167" s="16">
        <v>39355</v>
      </c>
      <c r="G167" s="1">
        <v>9283.4189999999999</v>
      </c>
      <c r="H167" s="16">
        <v>39355</v>
      </c>
      <c r="I167" s="1">
        <v>4192</v>
      </c>
      <c r="J167" s="16">
        <v>39355</v>
      </c>
      <c r="K167" s="1">
        <v>2177.7269999999999</v>
      </c>
      <c r="L167" s="16">
        <v>39355</v>
      </c>
      <c r="M167" s="1">
        <v>1780</v>
      </c>
      <c r="N167" s="16">
        <v>39355</v>
      </c>
      <c r="O167" s="1">
        <v>2310.1489999999999</v>
      </c>
      <c r="P167" s="16">
        <v>39355</v>
      </c>
      <c r="Q167" s="1">
        <v>9871.0669999999991</v>
      </c>
      <c r="R167" s="16">
        <v>39355</v>
      </c>
      <c r="S167" s="1">
        <v>2805.828</v>
      </c>
      <c r="T167" s="16">
        <v>39355</v>
      </c>
      <c r="U167" s="1">
        <v>3664.2289999999998</v>
      </c>
      <c r="V167" s="16">
        <v>39355</v>
      </c>
      <c r="W167" s="1">
        <v>1724.924</v>
      </c>
      <c r="X167" s="15">
        <v>36738</v>
      </c>
      <c r="Y167" s="8">
        <v>28340</v>
      </c>
      <c r="Z167" s="15">
        <v>36707</v>
      </c>
      <c r="AA167" s="8">
        <v>8230</v>
      </c>
      <c r="AB167" s="15">
        <v>36707</v>
      </c>
      <c r="AC167" s="8">
        <v>2280</v>
      </c>
      <c r="AD167" s="15">
        <v>36707</v>
      </c>
      <c r="AE167" s="8">
        <v>3680</v>
      </c>
      <c r="AF167" s="15">
        <v>36707</v>
      </c>
      <c r="AG167" s="8">
        <v>2650</v>
      </c>
      <c r="AH167" s="15">
        <v>36707</v>
      </c>
      <c r="AI167" s="8">
        <v>1420</v>
      </c>
      <c r="AJ167" s="15">
        <v>36707</v>
      </c>
      <c r="AK167" s="8">
        <v>2010</v>
      </c>
      <c r="AL167" s="15">
        <v>36707</v>
      </c>
      <c r="AM167" s="8">
        <v>2890</v>
      </c>
      <c r="AN167" s="15">
        <v>36707</v>
      </c>
      <c r="AO167" s="8">
        <v>2110</v>
      </c>
      <c r="AP167" s="5">
        <v>41182</v>
      </c>
      <c r="AQ167" s="4">
        <v>17.431999999999999</v>
      </c>
      <c r="AR167" s="11">
        <v>37315</v>
      </c>
      <c r="AS167" s="11">
        <v>37315</v>
      </c>
      <c r="AT167" s="10">
        <v>21.33</v>
      </c>
    </row>
    <row r="168" spans="1:46" x14ac:dyDescent="0.25">
      <c r="A168" s="16">
        <v>23315</v>
      </c>
      <c r="B168" s="1">
        <v>7536</v>
      </c>
      <c r="C168" s="13" t="str">
        <f t="shared" si="2"/>
        <v>51996</v>
      </c>
      <c r="D168" s="2">
        <v>35216</v>
      </c>
      <c r="E168" s="1">
        <v>11937</v>
      </c>
      <c r="F168" s="16">
        <v>39386</v>
      </c>
      <c r="G168" s="1">
        <v>9483.4189999999999</v>
      </c>
      <c r="H168" s="16">
        <v>39386</v>
      </c>
      <c r="I168" s="1">
        <v>4337</v>
      </c>
      <c r="J168" s="16">
        <v>39386</v>
      </c>
      <c r="K168" s="1">
        <v>2302.7539999999999</v>
      </c>
      <c r="L168" s="16">
        <v>39386</v>
      </c>
      <c r="M168" s="1">
        <v>1785</v>
      </c>
      <c r="N168" s="16">
        <v>39386</v>
      </c>
      <c r="O168" s="1">
        <v>2255</v>
      </c>
      <c r="P168" s="16">
        <v>39386</v>
      </c>
      <c r="Q168" s="1">
        <v>9897.8639999999996</v>
      </c>
      <c r="R168" s="16">
        <v>39386</v>
      </c>
      <c r="S168" s="1">
        <v>2863.3009999999999</v>
      </c>
      <c r="T168" s="16">
        <v>39386</v>
      </c>
      <c r="U168" s="1">
        <v>3670.5210000000002</v>
      </c>
      <c r="V168" s="16">
        <v>39386</v>
      </c>
      <c r="W168" s="1">
        <v>1686.1489999999999</v>
      </c>
      <c r="X168" s="15">
        <v>36769</v>
      </c>
      <c r="Y168" s="8">
        <v>28840</v>
      </c>
      <c r="Z168" s="15">
        <v>36738</v>
      </c>
      <c r="AA168" s="8">
        <v>8330</v>
      </c>
      <c r="AB168" s="15">
        <v>36738</v>
      </c>
      <c r="AC168" s="8">
        <v>2310</v>
      </c>
      <c r="AD168" s="15">
        <v>36738</v>
      </c>
      <c r="AE168" s="8">
        <v>3730</v>
      </c>
      <c r="AF168" s="15">
        <v>36738</v>
      </c>
      <c r="AG168" s="8">
        <v>2660</v>
      </c>
      <c r="AH168" s="15">
        <v>36738</v>
      </c>
      <c r="AI168" s="8">
        <v>1420</v>
      </c>
      <c r="AJ168" s="15">
        <v>36738</v>
      </c>
      <c r="AK168" s="8">
        <v>2050</v>
      </c>
      <c r="AL168" s="15">
        <v>36738</v>
      </c>
      <c r="AM168" s="8">
        <v>2920</v>
      </c>
      <c r="AN168" s="15">
        <v>36738</v>
      </c>
      <c r="AO168" s="8">
        <v>2010</v>
      </c>
      <c r="AP168" s="5">
        <v>41213</v>
      </c>
      <c r="AQ168" s="4">
        <v>17.905999999999999</v>
      </c>
      <c r="AR168" s="11">
        <v>37344</v>
      </c>
      <c r="AS168" s="11">
        <v>37344</v>
      </c>
      <c r="AT168" s="10">
        <v>25.92</v>
      </c>
    </row>
    <row r="169" spans="1:46" x14ac:dyDescent="0.25">
      <c r="A169" s="16">
        <v>23345</v>
      </c>
      <c r="B169" s="1">
        <v>7544</v>
      </c>
      <c r="C169" s="13" t="str">
        <f t="shared" si="2"/>
        <v>61996</v>
      </c>
      <c r="D169" s="2">
        <v>35244</v>
      </c>
      <c r="E169" s="1">
        <v>6853</v>
      </c>
      <c r="F169" s="16">
        <v>39416</v>
      </c>
      <c r="G169" s="1">
        <v>9488.4189999999999</v>
      </c>
      <c r="H169" s="16">
        <v>39416</v>
      </c>
      <c r="I169" s="1">
        <v>4292</v>
      </c>
      <c r="J169" s="16">
        <v>39416</v>
      </c>
      <c r="K169" s="1">
        <v>2397.7359999999999</v>
      </c>
      <c r="L169" s="16">
        <v>39416</v>
      </c>
      <c r="M169" s="1">
        <v>1815</v>
      </c>
      <c r="N169" s="16">
        <v>39416</v>
      </c>
      <c r="O169" s="1">
        <v>2201</v>
      </c>
      <c r="P169" s="16">
        <v>39416</v>
      </c>
      <c r="Q169" s="1">
        <v>9849.0769999999993</v>
      </c>
      <c r="R169" s="16">
        <v>39416</v>
      </c>
      <c r="S169" s="1">
        <v>2732.616</v>
      </c>
      <c r="T169" s="16">
        <v>39416</v>
      </c>
      <c r="U169" s="1">
        <v>3674.49</v>
      </c>
      <c r="V169" s="16">
        <v>39416</v>
      </c>
      <c r="W169" s="1">
        <v>1716.357</v>
      </c>
      <c r="X169" s="15">
        <v>36799</v>
      </c>
      <c r="Y169" s="8">
        <v>29060</v>
      </c>
      <c r="Z169" s="15">
        <v>36769</v>
      </c>
      <c r="AA169" s="8">
        <v>8650</v>
      </c>
      <c r="AB169" s="15">
        <v>36769</v>
      </c>
      <c r="AC169" s="8">
        <v>2300</v>
      </c>
      <c r="AD169" s="15">
        <v>36769</v>
      </c>
      <c r="AE169" s="8">
        <v>3650</v>
      </c>
      <c r="AF169" s="15">
        <v>36769</v>
      </c>
      <c r="AG169" s="8">
        <v>2900</v>
      </c>
      <c r="AH169" s="15">
        <v>36769</v>
      </c>
      <c r="AI169" s="8">
        <v>1430</v>
      </c>
      <c r="AJ169" s="15">
        <v>36769</v>
      </c>
      <c r="AK169" s="8">
        <v>2010</v>
      </c>
      <c r="AL169" s="15">
        <v>36769</v>
      </c>
      <c r="AM169" s="8">
        <v>2930</v>
      </c>
      <c r="AN169" s="15">
        <v>36769</v>
      </c>
      <c r="AO169" s="8">
        <v>2130</v>
      </c>
      <c r="AP169" s="5">
        <v>41243</v>
      </c>
      <c r="AQ169" s="4">
        <v>17.390999999999998</v>
      </c>
      <c r="AR169" s="11">
        <v>37376</v>
      </c>
      <c r="AS169" s="11">
        <v>37376</v>
      </c>
      <c r="AT169" s="10">
        <v>26.47</v>
      </c>
    </row>
    <row r="170" spans="1:46" x14ac:dyDescent="0.25">
      <c r="A170" s="16">
        <v>23376</v>
      </c>
      <c r="B170" s="1">
        <v>7511</v>
      </c>
      <c r="C170" s="13" t="str">
        <f t="shared" si="2"/>
        <v>71996</v>
      </c>
      <c r="D170" s="2">
        <v>35277</v>
      </c>
      <c r="E170" s="1">
        <v>1115</v>
      </c>
      <c r="F170" s="16">
        <v>39447</v>
      </c>
      <c r="G170" s="1">
        <v>9532.9189999999999</v>
      </c>
      <c r="H170" s="16">
        <v>39447</v>
      </c>
      <c r="I170" s="1">
        <v>4167</v>
      </c>
      <c r="J170" s="16">
        <v>39447</v>
      </c>
      <c r="K170" s="1">
        <v>2297.7150000000001</v>
      </c>
      <c r="L170" s="16">
        <v>39447</v>
      </c>
      <c r="M170" s="1">
        <v>1815</v>
      </c>
      <c r="N170" s="16">
        <v>39447</v>
      </c>
      <c r="O170" s="1">
        <v>2191</v>
      </c>
      <c r="P170" s="16">
        <v>39447</v>
      </c>
      <c r="Q170" s="1">
        <v>9831.6579999999994</v>
      </c>
      <c r="R170" s="16">
        <v>39447</v>
      </c>
      <c r="S170" s="1">
        <v>2848.7350000000001</v>
      </c>
      <c r="T170" s="16">
        <v>39447</v>
      </c>
      <c r="U170" s="1">
        <v>3639.7359999999999</v>
      </c>
      <c r="V170" s="16">
        <v>39447</v>
      </c>
      <c r="W170" s="1">
        <v>1811.4280000000001</v>
      </c>
      <c r="X170" s="15">
        <v>36830</v>
      </c>
      <c r="Y170" s="8">
        <v>29510</v>
      </c>
      <c r="Z170" s="15">
        <v>36799</v>
      </c>
      <c r="AA170" s="8">
        <v>8800</v>
      </c>
      <c r="AB170" s="15">
        <v>36799</v>
      </c>
      <c r="AC170" s="8">
        <v>2310</v>
      </c>
      <c r="AD170" s="15">
        <v>36799</v>
      </c>
      <c r="AE170" s="8">
        <v>3720</v>
      </c>
      <c r="AF170" s="15">
        <v>36799</v>
      </c>
      <c r="AG170" s="8">
        <v>2870</v>
      </c>
      <c r="AH170" s="15">
        <v>36799</v>
      </c>
      <c r="AI170" s="8">
        <v>1430</v>
      </c>
      <c r="AJ170" s="15">
        <v>36799</v>
      </c>
      <c r="AK170" s="8">
        <v>1990</v>
      </c>
      <c r="AL170" s="15">
        <v>36799</v>
      </c>
      <c r="AM170" s="8">
        <v>2930</v>
      </c>
      <c r="AN170" s="15">
        <v>36799</v>
      </c>
      <c r="AO170" s="8">
        <v>2170</v>
      </c>
      <c r="AP170" s="5">
        <v>41274</v>
      </c>
      <c r="AQ170" s="4">
        <v>17.936</v>
      </c>
      <c r="AR170" s="11">
        <v>37407</v>
      </c>
      <c r="AS170" s="11">
        <v>37407</v>
      </c>
      <c r="AT170" s="10">
        <v>24.45</v>
      </c>
    </row>
    <row r="171" spans="1:46" x14ac:dyDescent="0.25">
      <c r="A171" s="16">
        <v>23407</v>
      </c>
      <c r="B171" s="1">
        <v>7624</v>
      </c>
      <c r="C171" s="13" t="str">
        <f t="shared" si="2"/>
        <v>81996</v>
      </c>
      <c r="D171" s="2">
        <v>35307</v>
      </c>
      <c r="E171" s="1">
        <v>-5065</v>
      </c>
      <c r="F171" s="16">
        <v>39478</v>
      </c>
      <c r="G171" s="1">
        <v>9200</v>
      </c>
      <c r="H171" s="16">
        <v>39478</v>
      </c>
      <c r="I171" s="1">
        <v>4000</v>
      </c>
      <c r="J171" s="16">
        <v>39478</v>
      </c>
      <c r="K171" s="1">
        <v>2202.6950000000002</v>
      </c>
      <c r="L171" s="16">
        <v>39478</v>
      </c>
      <c r="M171" s="1">
        <v>1857</v>
      </c>
      <c r="N171" s="16">
        <v>39478</v>
      </c>
      <c r="O171" s="1">
        <v>2230</v>
      </c>
      <c r="P171" s="16">
        <v>39478</v>
      </c>
      <c r="Q171" s="1">
        <v>9359</v>
      </c>
      <c r="R171" s="16">
        <v>39478</v>
      </c>
      <c r="S171" s="1">
        <v>2510</v>
      </c>
      <c r="T171" s="16">
        <v>39478</v>
      </c>
      <c r="U171" s="1">
        <v>3743.8</v>
      </c>
      <c r="V171" s="16">
        <v>39478</v>
      </c>
      <c r="W171" s="1">
        <v>1775.962</v>
      </c>
      <c r="X171" s="15">
        <v>36860</v>
      </c>
      <c r="Y171" s="8">
        <v>29490</v>
      </c>
      <c r="Z171" s="15">
        <v>36830</v>
      </c>
      <c r="AA171" s="8">
        <v>8920</v>
      </c>
      <c r="AB171" s="15">
        <v>36830</v>
      </c>
      <c r="AC171" s="8">
        <v>2300</v>
      </c>
      <c r="AD171" s="15">
        <v>36830</v>
      </c>
      <c r="AE171" s="8">
        <v>3800</v>
      </c>
      <c r="AF171" s="15">
        <v>36830</v>
      </c>
      <c r="AG171" s="8">
        <v>3010</v>
      </c>
      <c r="AH171" s="15">
        <v>36830</v>
      </c>
      <c r="AI171" s="8">
        <v>1430</v>
      </c>
      <c r="AJ171" s="15">
        <v>36830</v>
      </c>
      <c r="AK171" s="8">
        <v>2090</v>
      </c>
      <c r="AL171" s="15">
        <v>36830</v>
      </c>
      <c r="AM171" s="8">
        <v>3000</v>
      </c>
      <c r="AN171" s="15">
        <v>36830</v>
      </c>
      <c r="AO171" s="8">
        <v>2200</v>
      </c>
      <c r="AP171" s="5">
        <v>41305</v>
      </c>
      <c r="AQ171" s="4">
        <v>17.594999999999999</v>
      </c>
      <c r="AR171" s="11">
        <v>37435</v>
      </c>
      <c r="AS171" s="11">
        <v>37435</v>
      </c>
      <c r="AT171" s="10">
        <v>25.58</v>
      </c>
    </row>
    <row r="172" spans="1:46" x14ac:dyDescent="0.25">
      <c r="A172" s="16">
        <v>23436</v>
      </c>
      <c r="B172" s="1">
        <v>7688</v>
      </c>
      <c r="C172" s="13" t="str">
        <f t="shared" si="2"/>
        <v>91996</v>
      </c>
      <c r="D172" s="2">
        <v>35338</v>
      </c>
      <c r="E172" s="1">
        <v>-5113</v>
      </c>
      <c r="F172" s="16">
        <v>39507</v>
      </c>
      <c r="G172" s="1">
        <v>9200</v>
      </c>
      <c r="H172" s="16">
        <v>39507</v>
      </c>
      <c r="I172" s="1">
        <v>4000</v>
      </c>
      <c r="J172" s="16">
        <v>39507</v>
      </c>
      <c r="K172" s="1">
        <v>2352.674</v>
      </c>
      <c r="L172" s="16">
        <v>39507</v>
      </c>
      <c r="M172" s="1">
        <v>1857</v>
      </c>
      <c r="N172" s="16">
        <v>39507</v>
      </c>
      <c r="O172" s="1">
        <v>2100</v>
      </c>
      <c r="P172" s="16">
        <v>39507</v>
      </c>
      <c r="Q172" s="1">
        <v>9362</v>
      </c>
      <c r="R172" s="16">
        <v>39507</v>
      </c>
      <c r="S172" s="1">
        <v>2510</v>
      </c>
      <c r="T172" s="16">
        <v>39507</v>
      </c>
      <c r="U172" s="1">
        <v>3746.8</v>
      </c>
      <c r="V172" s="16">
        <v>39507</v>
      </c>
      <c r="W172" s="1">
        <v>1771.779</v>
      </c>
      <c r="X172" s="15">
        <v>36891</v>
      </c>
      <c r="Y172" s="8">
        <v>27990</v>
      </c>
      <c r="Z172" s="15">
        <v>36860</v>
      </c>
      <c r="AA172" s="8">
        <v>8920</v>
      </c>
      <c r="AB172" s="15">
        <v>36860</v>
      </c>
      <c r="AC172" s="8">
        <v>2320</v>
      </c>
      <c r="AD172" s="15">
        <v>36860</v>
      </c>
      <c r="AE172" s="8">
        <v>3770</v>
      </c>
      <c r="AF172" s="15">
        <v>36860</v>
      </c>
      <c r="AG172" s="8">
        <v>2870</v>
      </c>
      <c r="AH172" s="15">
        <v>36860</v>
      </c>
      <c r="AI172" s="8">
        <v>1440</v>
      </c>
      <c r="AJ172" s="15">
        <v>36860</v>
      </c>
      <c r="AK172" s="8">
        <v>2100</v>
      </c>
      <c r="AL172" s="15">
        <v>36860</v>
      </c>
      <c r="AM172" s="8">
        <v>3000</v>
      </c>
      <c r="AN172" s="15">
        <v>36860</v>
      </c>
      <c r="AO172" s="8">
        <v>2210</v>
      </c>
      <c r="AP172" s="5">
        <v>41333</v>
      </c>
      <c r="AQ172" s="4">
        <v>16.004999999999999</v>
      </c>
      <c r="AR172" s="11">
        <v>37468</v>
      </c>
      <c r="AS172" s="11">
        <v>37468</v>
      </c>
      <c r="AT172" s="10">
        <v>25.44</v>
      </c>
    </row>
    <row r="173" spans="1:46" x14ac:dyDescent="0.25">
      <c r="A173" s="16">
        <v>23467</v>
      </c>
      <c r="B173" s="1">
        <v>7712</v>
      </c>
      <c r="C173" s="13" t="str">
        <f t="shared" si="2"/>
        <v>101996</v>
      </c>
      <c r="D173" s="2">
        <v>35369</v>
      </c>
      <c r="E173" s="1">
        <v>-3059</v>
      </c>
      <c r="F173" s="16">
        <v>39538</v>
      </c>
      <c r="G173" s="1">
        <v>9200</v>
      </c>
      <c r="H173" s="16">
        <v>39538</v>
      </c>
      <c r="I173" s="1">
        <v>4000</v>
      </c>
      <c r="J173" s="16">
        <v>39538</v>
      </c>
      <c r="K173" s="1">
        <v>2352.674</v>
      </c>
      <c r="L173" s="16">
        <v>39538</v>
      </c>
      <c r="M173" s="1">
        <v>1857</v>
      </c>
      <c r="N173" s="16">
        <v>39538</v>
      </c>
      <c r="O173" s="1">
        <v>2330</v>
      </c>
      <c r="P173" s="16">
        <v>39538</v>
      </c>
      <c r="Q173" s="1">
        <v>9334</v>
      </c>
      <c r="R173" s="16">
        <v>39538</v>
      </c>
      <c r="S173" s="1">
        <v>2510</v>
      </c>
      <c r="T173" s="16">
        <v>39538</v>
      </c>
      <c r="U173" s="1">
        <v>3769</v>
      </c>
      <c r="V173" s="16">
        <v>39538</v>
      </c>
      <c r="W173" s="1">
        <v>1749.8920000000001</v>
      </c>
      <c r="X173" s="15">
        <v>36922</v>
      </c>
      <c r="Y173" s="8">
        <v>28370</v>
      </c>
      <c r="Z173" s="15">
        <v>36891</v>
      </c>
      <c r="AA173" s="8">
        <v>8740</v>
      </c>
      <c r="AB173" s="15">
        <v>36891</v>
      </c>
      <c r="AC173" s="8">
        <v>2340</v>
      </c>
      <c r="AD173" s="15">
        <v>36891</v>
      </c>
      <c r="AE173" s="8">
        <v>3840</v>
      </c>
      <c r="AF173" s="15">
        <v>36891</v>
      </c>
      <c r="AG173" s="8">
        <v>1370</v>
      </c>
      <c r="AH173" s="15">
        <v>36891</v>
      </c>
      <c r="AI173" s="8">
        <v>1450</v>
      </c>
      <c r="AJ173" s="15">
        <v>36891</v>
      </c>
      <c r="AK173" s="8">
        <v>2130</v>
      </c>
      <c r="AL173" s="15">
        <v>36891</v>
      </c>
      <c r="AM173" s="8">
        <v>3030</v>
      </c>
      <c r="AN173" s="15">
        <v>36891</v>
      </c>
      <c r="AO173" s="8">
        <v>2230</v>
      </c>
      <c r="AP173" s="5">
        <v>41364</v>
      </c>
      <c r="AQ173" s="4">
        <v>17.681000000000001</v>
      </c>
      <c r="AR173" s="11">
        <v>37498</v>
      </c>
      <c r="AS173" s="11">
        <v>37498</v>
      </c>
      <c r="AT173" s="10">
        <v>27.47</v>
      </c>
    </row>
    <row r="174" spans="1:46" x14ac:dyDescent="0.25">
      <c r="A174" s="16">
        <v>23497</v>
      </c>
      <c r="B174" s="1">
        <v>7739</v>
      </c>
      <c r="C174" s="13" t="str">
        <f t="shared" si="2"/>
        <v>111996</v>
      </c>
      <c r="D174" s="2">
        <v>35398</v>
      </c>
      <c r="E174" s="1">
        <v>227</v>
      </c>
      <c r="F174" s="16">
        <v>39568</v>
      </c>
      <c r="G174" s="1">
        <v>9100</v>
      </c>
      <c r="H174" s="16">
        <v>39568</v>
      </c>
      <c r="I174" s="1">
        <v>4000</v>
      </c>
      <c r="J174" s="16">
        <v>39568</v>
      </c>
      <c r="K174" s="1">
        <v>2352.674</v>
      </c>
      <c r="L174" s="16">
        <v>39568</v>
      </c>
      <c r="M174" s="1">
        <v>1836</v>
      </c>
      <c r="N174" s="16">
        <v>39568</v>
      </c>
      <c r="O174" s="1">
        <v>2130</v>
      </c>
      <c r="P174" s="16">
        <v>39568</v>
      </c>
      <c r="Q174" s="1">
        <v>9296</v>
      </c>
      <c r="R174" s="16">
        <v>39568</v>
      </c>
      <c r="S174" s="1">
        <v>2510</v>
      </c>
      <c r="T174" s="16">
        <v>39568</v>
      </c>
      <c r="U174" s="1">
        <v>3751</v>
      </c>
      <c r="V174" s="16">
        <v>39568</v>
      </c>
      <c r="W174" s="1">
        <v>1797.471</v>
      </c>
      <c r="X174" s="15">
        <v>36950</v>
      </c>
      <c r="Y174" s="8">
        <v>27830</v>
      </c>
      <c r="Z174" s="15">
        <v>36922</v>
      </c>
      <c r="AA174" s="8">
        <v>8620</v>
      </c>
      <c r="AB174" s="15">
        <v>36922</v>
      </c>
      <c r="AC174" s="8">
        <v>2360</v>
      </c>
      <c r="AD174" s="15">
        <v>36922</v>
      </c>
      <c r="AE174" s="8">
        <v>3920</v>
      </c>
      <c r="AF174" s="15">
        <v>36922</v>
      </c>
      <c r="AG174" s="8">
        <v>1750</v>
      </c>
      <c r="AH174" s="15">
        <v>36922</v>
      </c>
      <c r="AI174" s="8">
        <v>1450</v>
      </c>
      <c r="AJ174" s="15">
        <v>36922</v>
      </c>
      <c r="AK174" s="8">
        <v>2150</v>
      </c>
      <c r="AL174" s="15">
        <v>36922</v>
      </c>
      <c r="AM174" s="8">
        <v>3050</v>
      </c>
      <c r="AN174" s="15">
        <v>36922</v>
      </c>
      <c r="AO174" s="8">
        <v>2220</v>
      </c>
      <c r="AP174" s="5">
        <v>41394</v>
      </c>
      <c r="AQ174" s="4">
        <v>17.152000000000001</v>
      </c>
      <c r="AR174" s="11">
        <v>37529</v>
      </c>
      <c r="AS174" s="11">
        <v>37529</v>
      </c>
      <c r="AT174" s="10">
        <v>28.75</v>
      </c>
    </row>
    <row r="175" spans="1:46" x14ac:dyDescent="0.25">
      <c r="A175" s="16">
        <v>23528</v>
      </c>
      <c r="B175" s="1">
        <v>7572</v>
      </c>
      <c r="C175" s="13" t="str">
        <f t="shared" si="2"/>
        <v>121996</v>
      </c>
      <c r="D175" s="2">
        <v>35430</v>
      </c>
      <c r="E175" s="1">
        <v>2442</v>
      </c>
      <c r="F175" s="16">
        <v>39599</v>
      </c>
      <c r="G175" s="1">
        <v>9400</v>
      </c>
      <c r="H175" s="16">
        <v>39599</v>
      </c>
      <c r="I175" s="1">
        <v>4000</v>
      </c>
      <c r="J175" s="16">
        <v>39599</v>
      </c>
      <c r="K175" s="1">
        <v>2452.674</v>
      </c>
      <c r="L175" s="16">
        <v>39599</v>
      </c>
      <c r="M175" s="1">
        <v>1812</v>
      </c>
      <c r="N175" s="16">
        <v>39599</v>
      </c>
      <c r="O175" s="1">
        <v>2060</v>
      </c>
      <c r="P175" s="16">
        <v>39599</v>
      </c>
      <c r="Q175" s="1">
        <v>9315</v>
      </c>
      <c r="R175" s="16">
        <v>39599</v>
      </c>
      <c r="S175" s="1">
        <v>2510</v>
      </c>
      <c r="T175" s="16">
        <v>39599</v>
      </c>
      <c r="U175" s="1">
        <v>3811</v>
      </c>
      <c r="V175" s="16">
        <v>39599</v>
      </c>
      <c r="W175" s="1">
        <v>1815.394</v>
      </c>
      <c r="X175" s="15">
        <v>36981</v>
      </c>
      <c r="Y175" s="8">
        <v>28270</v>
      </c>
      <c r="Z175" s="15">
        <v>36950</v>
      </c>
      <c r="AA175" s="8">
        <v>8330</v>
      </c>
      <c r="AB175" s="15">
        <v>36950</v>
      </c>
      <c r="AC175" s="8">
        <v>2260</v>
      </c>
      <c r="AD175" s="15">
        <v>36950</v>
      </c>
      <c r="AE175" s="8">
        <v>3750</v>
      </c>
      <c r="AF175" s="15">
        <v>36950</v>
      </c>
      <c r="AG175" s="8">
        <v>1980</v>
      </c>
      <c r="AH175" s="15">
        <v>36950</v>
      </c>
      <c r="AI175" s="8">
        <v>1410</v>
      </c>
      <c r="AJ175" s="15">
        <v>36950</v>
      </c>
      <c r="AK175" s="8">
        <v>2120</v>
      </c>
      <c r="AL175" s="15">
        <v>36950</v>
      </c>
      <c r="AM175" s="8">
        <v>2980</v>
      </c>
      <c r="AN175" s="15">
        <v>36950</v>
      </c>
      <c r="AO175" s="8">
        <v>2140</v>
      </c>
      <c r="AP175" s="5">
        <v>41425</v>
      </c>
      <c r="AQ175" s="4">
        <v>17.725000000000001</v>
      </c>
      <c r="AR175" s="11">
        <v>37560</v>
      </c>
      <c r="AS175" s="11">
        <v>37560</v>
      </c>
      <c r="AT175" s="10">
        <v>25.72</v>
      </c>
    </row>
    <row r="176" spans="1:46" x14ac:dyDescent="0.25">
      <c r="A176" s="16">
        <v>23558</v>
      </c>
      <c r="B176" s="1">
        <v>7560</v>
      </c>
      <c r="C176" s="13" t="str">
        <f t="shared" si="2"/>
        <v>11997</v>
      </c>
      <c r="D176" s="2">
        <v>35461</v>
      </c>
      <c r="E176" s="1">
        <v>6035</v>
      </c>
      <c r="F176" s="16">
        <v>39629</v>
      </c>
      <c r="G176" s="1">
        <v>9450</v>
      </c>
      <c r="H176" s="16">
        <v>39629</v>
      </c>
      <c r="I176" s="1">
        <v>4000</v>
      </c>
      <c r="J176" s="16">
        <v>39629</v>
      </c>
      <c r="K176" s="1">
        <v>2452.674</v>
      </c>
      <c r="L176" s="16">
        <v>39629</v>
      </c>
      <c r="M176" s="1">
        <v>1812</v>
      </c>
      <c r="N176" s="16">
        <v>39629</v>
      </c>
      <c r="O176" s="1">
        <v>2140</v>
      </c>
      <c r="P176" s="16">
        <v>39629</v>
      </c>
      <c r="Q176" s="1">
        <v>9334</v>
      </c>
      <c r="R176" s="16">
        <v>39629</v>
      </c>
      <c r="S176" s="1">
        <v>2510</v>
      </c>
      <c r="T176" s="16">
        <v>39629</v>
      </c>
      <c r="U176" s="1">
        <v>3884.3</v>
      </c>
      <c r="V176" s="16">
        <v>39629</v>
      </c>
      <c r="W176" s="1">
        <v>1829.877</v>
      </c>
      <c r="X176" s="15">
        <v>37011</v>
      </c>
      <c r="Y176" s="8">
        <v>27760</v>
      </c>
      <c r="Z176" s="15">
        <v>36981</v>
      </c>
      <c r="AA176" s="8">
        <v>8320</v>
      </c>
      <c r="AB176" s="15">
        <v>36981</v>
      </c>
      <c r="AC176" s="8">
        <v>2280</v>
      </c>
      <c r="AD176" s="15">
        <v>36981</v>
      </c>
      <c r="AE176" s="8">
        <v>3700</v>
      </c>
      <c r="AF176" s="15">
        <v>36981</v>
      </c>
      <c r="AG176" s="8">
        <v>2700</v>
      </c>
      <c r="AH176" s="15">
        <v>36981</v>
      </c>
      <c r="AI176" s="8">
        <v>1400</v>
      </c>
      <c r="AJ176" s="15">
        <v>36981</v>
      </c>
      <c r="AK176" s="8">
        <v>2100</v>
      </c>
      <c r="AL176" s="15">
        <v>36981</v>
      </c>
      <c r="AM176" s="8">
        <v>2950</v>
      </c>
      <c r="AN176" s="15">
        <v>36981</v>
      </c>
      <c r="AO176" s="8">
        <v>2080</v>
      </c>
      <c r="AP176" s="5">
        <v>41455</v>
      </c>
      <c r="AQ176" s="4">
        <v>17.443000000000001</v>
      </c>
      <c r="AR176" s="11">
        <v>37589</v>
      </c>
      <c r="AS176" s="11">
        <v>37589</v>
      </c>
      <c r="AT176" s="10">
        <v>25.16</v>
      </c>
    </row>
    <row r="177" spans="1:46" x14ac:dyDescent="0.25">
      <c r="A177" s="16">
        <v>23589</v>
      </c>
      <c r="B177" s="1">
        <v>7473</v>
      </c>
      <c r="C177" s="13" t="str">
        <f t="shared" si="2"/>
        <v>21997</v>
      </c>
      <c r="D177" s="2">
        <v>35489</v>
      </c>
      <c r="E177" s="1">
        <v>-5423</v>
      </c>
      <c r="F177" s="16">
        <v>39660</v>
      </c>
      <c r="G177" s="1">
        <v>9700</v>
      </c>
      <c r="H177" s="16">
        <v>39660</v>
      </c>
      <c r="I177" s="1">
        <v>4100</v>
      </c>
      <c r="J177" s="16">
        <v>39660</v>
      </c>
      <c r="K177" s="1">
        <v>2504.674</v>
      </c>
      <c r="L177" s="16">
        <v>39660</v>
      </c>
      <c r="M177" s="1">
        <v>1787</v>
      </c>
      <c r="N177" s="16">
        <v>39660</v>
      </c>
      <c r="O177" s="1">
        <v>2120</v>
      </c>
      <c r="P177" s="16">
        <v>39660</v>
      </c>
      <c r="Q177" s="1">
        <v>9344</v>
      </c>
      <c r="R177" s="16">
        <v>39660</v>
      </c>
      <c r="S177" s="1">
        <v>2510</v>
      </c>
      <c r="T177" s="16">
        <v>39660</v>
      </c>
      <c r="U177" s="1">
        <v>3807.9</v>
      </c>
      <c r="V177" s="16">
        <v>39660</v>
      </c>
      <c r="W177" s="1">
        <v>1824.816</v>
      </c>
      <c r="X177" s="15">
        <v>37042</v>
      </c>
      <c r="Y177" s="8">
        <v>27490</v>
      </c>
      <c r="Z177" s="15">
        <v>37011</v>
      </c>
      <c r="AA177" s="8">
        <v>7980</v>
      </c>
      <c r="AB177" s="15">
        <v>37011</v>
      </c>
      <c r="AC177" s="8">
        <v>2190</v>
      </c>
      <c r="AD177" s="15">
        <v>37011</v>
      </c>
      <c r="AE177" s="8">
        <v>3680</v>
      </c>
      <c r="AF177" s="15">
        <v>37011</v>
      </c>
      <c r="AG177" s="8">
        <v>2880</v>
      </c>
      <c r="AH177" s="15">
        <v>37011</v>
      </c>
      <c r="AI177" s="8">
        <v>1380</v>
      </c>
      <c r="AJ177" s="15">
        <v>37011</v>
      </c>
      <c r="AK177" s="8">
        <v>2070</v>
      </c>
      <c r="AL177" s="15">
        <v>37011</v>
      </c>
      <c r="AM177" s="8">
        <v>2870</v>
      </c>
      <c r="AN177" s="15">
        <v>37011</v>
      </c>
      <c r="AO177" s="8">
        <v>2010</v>
      </c>
      <c r="AP177" s="5">
        <v>41486</v>
      </c>
      <c r="AQ177" s="4">
        <v>17.170000000000002</v>
      </c>
      <c r="AR177" s="11">
        <v>37621</v>
      </c>
      <c r="AS177" s="11">
        <v>37621</v>
      </c>
      <c r="AT177" s="10">
        <v>28.66</v>
      </c>
    </row>
    <row r="178" spans="1:46" x14ac:dyDescent="0.25">
      <c r="A178" s="16">
        <v>23620</v>
      </c>
      <c r="B178" s="1">
        <v>7449</v>
      </c>
      <c r="C178" s="13" t="str">
        <f t="shared" si="2"/>
        <v>31997</v>
      </c>
      <c r="D178" s="2">
        <v>35520</v>
      </c>
      <c r="E178" s="1">
        <v>6346</v>
      </c>
      <c r="F178" s="16">
        <v>39691</v>
      </c>
      <c r="G178" s="1">
        <v>9600</v>
      </c>
      <c r="H178" s="16">
        <v>39691</v>
      </c>
      <c r="I178" s="1">
        <v>4100</v>
      </c>
      <c r="J178" s="16">
        <v>39691</v>
      </c>
      <c r="K178" s="1">
        <v>2456.1260000000002</v>
      </c>
      <c r="L178" s="16">
        <v>39691</v>
      </c>
      <c r="M178" s="1">
        <v>1712</v>
      </c>
      <c r="N178" s="16">
        <v>39691</v>
      </c>
      <c r="O178" s="1">
        <v>2216</v>
      </c>
      <c r="P178" s="16">
        <v>39691</v>
      </c>
      <c r="Q178" s="1">
        <v>9409</v>
      </c>
      <c r="R178" s="16">
        <v>39691</v>
      </c>
      <c r="S178" s="1">
        <v>2510</v>
      </c>
      <c r="T178" s="16">
        <v>39691</v>
      </c>
      <c r="U178" s="1">
        <v>3773.9</v>
      </c>
      <c r="V178" s="16">
        <v>39691</v>
      </c>
      <c r="W178" s="1">
        <v>1840.91</v>
      </c>
      <c r="X178" s="15">
        <v>37072</v>
      </c>
      <c r="Y178" s="8">
        <v>25821</v>
      </c>
      <c r="Z178" s="15">
        <v>37042</v>
      </c>
      <c r="AA178" s="8">
        <v>7960</v>
      </c>
      <c r="AB178" s="15">
        <v>37042</v>
      </c>
      <c r="AC178" s="8">
        <v>2170</v>
      </c>
      <c r="AD178" s="15">
        <v>37042</v>
      </c>
      <c r="AE178" s="8">
        <v>3640</v>
      </c>
      <c r="AF178" s="15">
        <v>37042</v>
      </c>
      <c r="AG178" s="8">
        <v>2790</v>
      </c>
      <c r="AH178" s="15">
        <v>37042</v>
      </c>
      <c r="AI178" s="8">
        <v>1370</v>
      </c>
      <c r="AJ178" s="15">
        <v>37042</v>
      </c>
      <c r="AK178" s="8">
        <v>2050</v>
      </c>
      <c r="AL178" s="15">
        <v>37042</v>
      </c>
      <c r="AM178" s="8">
        <v>2830</v>
      </c>
      <c r="AN178" s="15">
        <v>37042</v>
      </c>
      <c r="AO178" s="8">
        <v>1990</v>
      </c>
      <c r="AP178" s="5">
        <v>41517</v>
      </c>
      <c r="AQ178" s="4">
        <v>17.303000000000001</v>
      </c>
      <c r="AR178" s="11">
        <v>37652</v>
      </c>
      <c r="AS178" s="11">
        <v>37652</v>
      </c>
      <c r="AT178" s="10">
        <v>31.1</v>
      </c>
    </row>
    <row r="179" spans="1:46" x14ac:dyDescent="0.25">
      <c r="A179" s="16">
        <v>23650</v>
      </c>
      <c r="B179" s="1">
        <v>7532</v>
      </c>
      <c r="C179" s="13" t="str">
        <f t="shared" si="2"/>
        <v>41997</v>
      </c>
      <c r="D179" s="2">
        <v>35550</v>
      </c>
      <c r="E179" s="1">
        <v>2826</v>
      </c>
      <c r="F179" s="16">
        <v>39721</v>
      </c>
      <c r="G179" s="1">
        <v>9400</v>
      </c>
      <c r="H179" s="16">
        <v>39721</v>
      </c>
      <c r="I179" s="1">
        <v>4100</v>
      </c>
      <c r="J179" s="16">
        <v>39721</v>
      </c>
      <c r="K179" s="1">
        <v>2327.578</v>
      </c>
      <c r="L179" s="16">
        <v>39721</v>
      </c>
      <c r="M179" s="1">
        <v>1812</v>
      </c>
      <c r="N179" s="16">
        <v>39721</v>
      </c>
      <c r="O179" s="1">
        <v>2210</v>
      </c>
      <c r="P179" s="16">
        <v>39721</v>
      </c>
      <c r="Q179" s="1">
        <v>9405.7999999999993</v>
      </c>
      <c r="R179" s="16">
        <v>39721</v>
      </c>
      <c r="S179" s="1">
        <v>2510</v>
      </c>
      <c r="T179" s="16">
        <v>39721</v>
      </c>
      <c r="U179" s="1">
        <v>3787.6</v>
      </c>
      <c r="V179" s="16">
        <v>39721</v>
      </c>
      <c r="W179" s="1">
        <v>1857.1469999999999</v>
      </c>
      <c r="X179" s="15">
        <v>37103</v>
      </c>
      <c r="Y179" s="8">
        <v>27140</v>
      </c>
      <c r="Z179" s="15">
        <v>37072</v>
      </c>
      <c r="AA179" s="8">
        <v>8040</v>
      </c>
      <c r="AB179" s="15">
        <v>37072</v>
      </c>
      <c r="AC179" s="8">
        <v>2100</v>
      </c>
      <c r="AD179" s="15">
        <v>37072</v>
      </c>
      <c r="AE179" s="8">
        <v>3650</v>
      </c>
      <c r="AF179" s="15">
        <v>37072</v>
      </c>
      <c r="AG179" s="8">
        <v>981</v>
      </c>
      <c r="AH179" s="15">
        <v>37072</v>
      </c>
      <c r="AI179" s="8">
        <v>1390</v>
      </c>
      <c r="AJ179" s="15">
        <v>37072</v>
      </c>
      <c r="AK179" s="8">
        <v>2060</v>
      </c>
      <c r="AL179" s="15">
        <v>37072</v>
      </c>
      <c r="AM179" s="8">
        <v>2850</v>
      </c>
      <c r="AN179" s="15">
        <v>37072</v>
      </c>
      <c r="AO179" s="8">
        <v>2000</v>
      </c>
      <c r="AP179" s="5">
        <v>41547</v>
      </c>
      <c r="AQ179" s="4">
        <v>16.878</v>
      </c>
      <c r="AR179" s="11">
        <v>37680</v>
      </c>
      <c r="AS179" s="11">
        <v>37680</v>
      </c>
      <c r="AT179" s="10">
        <v>32.79</v>
      </c>
    </row>
    <row r="180" spans="1:46" x14ac:dyDescent="0.25">
      <c r="A180" s="16">
        <v>23681</v>
      </c>
      <c r="B180" s="1">
        <v>7623</v>
      </c>
      <c r="C180" s="13" t="str">
        <f t="shared" si="2"/>
        <v>51997</v>
      </c>
      <c r="D180" s="2">
        <v>35580</v>
      </c>
      <c r="E180" s="1">
        <v>4202</v>
      </c>
      <c r="F180" s="16">
        <v>39752</v>
      </c>
      <c r="G180" s="1">
        <v>9400</v>
      </c>
      <c r="H180" s="16">
        <v>39752</v>
      </c>
      <c r="I180" s="1">
        <v>4100</v>
      </c>
      <c r="J180" s="16">
        <v>39752</v>
      </c>
      <c r="K180" s="1">
        <v>2327.578</v>
      </c>
      <c r="L180" s="16">
        <v>39752</v>
      </c>
      <c r="M180" s="1">
        <v>1812</v>
      </c>
      <c r="N180" s="16">
        <v>39752</v>
      </c>
      <c r="O180" s="1">
        <v>2185</v>
      </c>
      <c r="P180" s="16">
        <v>39752</v>
      </c>
      <c r="Q180" s="1">
        <v>9430</v>
      </c>
      <c r="R180" s="16">
        <v>39752</v>
      </c>
      <c r="S180" s="1">
        <v>2510</v>
      </c>
      <c r="T180" s="16">
        <v>39752</v>
      </c>
      <c r="U180" s="1">
        <v>3850.2</v>
      </c>
      <c r="V180" s="16">
        <v>39752</v>
      </c>
      <c r="W180" s="1">
        <v>1832.68</v>
      </c>
      <c r="X180" s="15">
        <v>37134</v>
      </c>
      <c r="Y180" s="8">
        <v>27690</v>
      </c>
      <c r="Z180" s="15">
        <v>37103</v>
      </c>
      <c r="AA180" s="8">
        <v>8070</v>
      </c>
      <c r="AB180" s="15">
        <v>37103</v>
      </c>
      <c r="AC180" s="8">
        <v>2150</v>
      </c>
      <c r="AD180" s="15">
        <v>37103</v>
      </c>
      <c r="AE180" s="8">
        <v>3760</v>
      </c>
      <c r="AF180" s="15">
        <v>37103</v>
      </c>
      <c r="AG180" s="8">
        <v>2130</v>
      </c>
      <c r="AH180" s="15">
        <v>37103</v>
      </c>
      <c r="AI180" s="8">
        <v>1390</v>
      </c>
      <c r="AJ180" s="15">
        <v>37103</v>
      </c>
      <c r="AK180" s="8">
        <v>1950</v>
      </c>
      <c r="AL180" s="15">
        <v>37103</v>
      </c>
      <c r="AM180" s="8">
        <v>2870</v>
      </c>
      <c r="AN180" s="15">
        <v>37103</v>
      </c>
      <c r="AO180" s="8">
        <v>2060</v>
      </c>
      <c r="AP180" s="5">
        <v>41578</v>
      </c>
      <c r="AQ180" s="4">
        <v>18.068999999999999</v>
      </c>
      <c r="AR180" s="11">
        <v>37711</v>
      </c>
      <c r="AS180" s="11">
        <v>37711</v>
      </c>
      <c r="AT180" s="10">
        <v>27.18</v>
      </c>
    </row>
    <row r="181" spans="1:46" x14ac:dyDescent="0.25">
      <c r="A181" s="16">
        <v>23711</v>
      </c>
      <c r="B181" s="1">
        <v>7634</v>
      </c>
      <c r="C181" s="13" t="str">
        <f t="shared" si="2"/>
        <v>61997</v>
      </c>
      <c r="D181" s="2">
        <v>35611</v>
      </c>
      <c r="E181" s="1">
        <v>-5727</v>
      </c>
      <c r="F181" s="16">
        <v>39782</v>
      </c>
      <c r="G181" s="1">
        <v>8958.7909999999993</v>
      </c>
      <c r="H181" s="16">
        <v>39782</v>
      </c>
      <c r="I181" s="1">
        <v>4100</v>
      </c>
      <c r="J181" s="16">
        <v>39782</v>
      </c>
      <c r="K181" s="1">
        <v>2358.9830000000002</v>
      </c>
      <c r="L181" s="16">
        <v>39782</v>
      </c>
      <c r="M181" s="1">
        <v>1767</v>
      </c>
      <c r="N181" s="16">
        <v>39782</v>
      </c>
      <c r="O181" s="1">
        <v>2180</v>
      </c>
      <c r="P181" s="16">
        <v>39782</v>
      </c>
      <c r="Q181" s="1">
        <v>9359.1</v>
      </c>
      <c r="R181" s="16">
        <v>39782</v>
      </c>
      <c r="S181" s="1">
        <v>2510</v>
      </c>
      <c r="T181" s="16">
        <v>39782</v>
      </c>
      <c r="U181" s="1">
        <v>3859.2</v>
      </c>
      <c r="V181" s="16">
        <v>39782</v>
      </c>
      <c r="W181" s="1">
        <v>1807.2670000000001</v>
      </c>
      <c r="X181" s="15">
        <v>37164</v>
      </c>
      <c r="Y181" s="8">
        <v>27160</v>
      </c>
      <c r="Z181" s="15">
        <v>37134</v>
      </c>
      <c r="AA181" s="8">
        <v>8000</v>
      </c>
      <c r="AB181" s="15">
        <v>37134</v>
      </c>
      <c r="AC181" s="8">
        <v>2160</v>
      </c>
      <c r="AD181" s="15">
        <v>37134</v>
      </c>
      <c r="AE181" s="8">
        <v>3750</v>
      </c>
      <c r="AF181" s="15">
        <v>37134</v>
      </c>
      <c r="AG181" s="8">
        <v>2740</v>
      </c>
      <c r="AH181" s="15">
        <v>37134</v>
      </c>
      <c r="AI181" s="8">
        <v>1390</v>
      </c>
      <c r="AJ181" s="15">
        <v>37134</v>
      </c>
      <c r="AK181" s="8">
        <v>2050</v>
      </c>
      <c r="AL181" s="15">
        <v>37134</v>
      </c>
      <c r="AM181" s="8">
        <v>2810</v>
      </c>
      <c r="AN181" s="15">
        <v>37134</v>
      </c>
      <c r="AO181" s="8">
        <v>2040</v>
      </c>
      <c r="AP181" s="5">
        <v>41608</v>
      </c>
      <c r="AQ181" s="4">
        <v>17.279</v>
      </c>
      <c r="AR181" s="11">
        <v>37741</v>
      </c>
      <c r="AS181" s="11">
        <v>37741</v>
      </c>
      <c r="AT181" s="10">
        <v>23.68</v>
      </c>
    </row>
    <row r="182" spans="1:46" x14ac:dyDescent="0.25">
      <c r="A182" s="16">
        <v>23742</v>
      </c>
      <c r="B182" s="1">
        <v>7770</v>
      </c>
      <c r="C182" s="13" t="str">
        <f t="shared" si="2"/>
        <v>71997</v>
      </c>
      <c r="D182" s="2">
        <v>35642</v>
      </c>
      <c r="E182" s="1">
        <v>-9890</v>
      </c>
      <c r="F182" s="16">
        <v>39813</v>
      </c>
      <c r="G182" s="1">
        <v>8517.875</v>
      </c>
      <c r="H182" s="16">
        <v>39813</v>
      </c>
      <c r="I182" s="1">
        <v>4100</v>
      </c>
      <c r="J182" s="16">
        <v>39813</v>
      </c>
      <c r="K182" s="1">
        <v>2360.4349999999999</v>
      </c>
      <c r="L182" s="16">
        <v>39813</v>
      </c>
      <c r="M182" s="1">
        <v>1717</v>
      </c>
      <c r="N182" s="16">
        <v>39813</v>
      </c>
      <c r="O182" s="1">
        <v>2080</v>
      </c>
      <c r="P182" s="16">
        <v>39813</v>
      </c>
      <c r="Q182" s="1">
        <v>9332.7999999999993</v>
      </c>
      <c r="R182" s="16">
        <v>39813</v>
      </c>
      <c r="S182" s="1">
        <v>2510</v>
      </c>
      <c r="T182" s="16">
        <v>39813</v>
      </c>
      <c r="U182" s="1">
        <v>3698.6</v>
      </c>
      <c r="V182" s="16">
        <v>39813</v>
      </c>
      <c r="W182" s="1">
        <v>1842.3140000000001</v>
      </c>
      <c r="X182" s="15">
        <v>37195</v>
      </c>
      <c r="Y182" s="8">
        <v>26850</v>
      </c>
      <c r="Z182" s="15">
        <v>37164</v>
      </c>
      <c r="AA182" s="8">
        <v>7850</v>
      </c>
      <c r="AB182" s="15">
        <v>37164</v>
      </c>
      <c r="AC182" s="8">
        <v>2100</v>
      </c>
      <c r="AD182" s="15">
        <v>37164</v>
      </c>
      <c r="AE182" s="8">
        <v>3650</v>
      </c>
      <c r="AF182" s="15">
        <v>37164</v>
      </c>
      <c r="AG182" s="8">
        <v>2680</v>
      </c>
      <c r="AH182" s="15">
        <v>37164</v>
      </c>
      <c r="AI182" s="8">
        <v>1340</v>
      </c>
      <c r="AJ182" s="15">
        <v>37164</v>
      </c>
      <c r="AK182" s="8">
        <v>2090</v>
      </c>
      <c r="AL182" s="15">
        <v>37164</v>
      </c>
      <c r="AM182" s="8">
        <v>2750</v>
      </c>
      <c r="AN182" s="15">
        <v>37164</v>
      </c>
      <c r="AO182" s="8">
        <v>2000</v>
      </c>
      <c r="AP182" s="5">
        <v>41639</v>
      </c>
      <c r="AQ182" s="4">
        <v>17.899000000000001</v>
      </c>
      <c r="AR182" s="11">
        <v>37771</v>
      </c>
      <c r="AS182" s="11">
        <v>37771</v>
      </c>
      <c r="AT182" s="10">
        <v>26.32</v>
      </c>
    </row>
    <row r="183" spans="1:46" x14ac:dyDescent="0.25">
      <c r="A183" s="16">
        <v>23773</v>
      </c>
      <c r="B183" s="1">
        <v>7773</v>
      </c>
      <c r="C183" s="13" t="str">
        <f t="shared" si="2"/>
        <v>81997</v>
      </c>
      <c r="D183" s="2">
        <v>35671</v>
      </c>
      <c r="E183" s="1">
        <v>-1602</v>
      </c>
      <c r="F183" s="16">
        <v>39844</v>
      </c>
      <c r="G183" s="1">
        <v>8113.3329999999996</v>
      </c>
      <c r="H183" s="16">
        <v>39844</v>
      </c>
      <c r="I183" s="1">
        <v>4007</v>
      </c>
      <c r="J183" s="16">
        <v>39844</v>
      </c>
      <c r="K183" s="1">
        <v>2212</v>
      </c>
      <c r="L183" s="16">
        <v>39844</v>
      </c>
      <c r="M183" s="1">
        <v>1705</v>
      </c>
      <c r="N183" s="16">
        <v>39844</v>
      </c>
      <c r="O183" s="1">
        <v>2192</v>
      </c>
      <c r="P183" s="16">
        <v>39844</v>
      </c>
      <c r="Q183" s="1">
        <v>9343</v>
      </c>
      <c r="R183" s="16">
        <v>39844</v>
      </c>
      <c r="S183" s="1">
        <v>2520</v>
      </c>
      <c r="T183" s="16">
        <v>39844</v>
      </c>
      <c r="U183" s="1">
        <v>3755.3</v>
      </c>
      <c r="V183" s="16">
        <v>39844</v>
      </c>
      <c r="W183" s="1">
        <v>1889.11</v>
      </c>
      <c r="X183" s="15">
        <v>37225</v>
      </c>
      <c r="Y183" s="8">
        <v>26470</v>
      </c>
      <c r="Z183" s="15">
        <v>37195</v>
      </c>
      <c r="AA183" s="8">
        <v>7690</v>
      </c>
      <c r="AB183" s="15">
        <v>37195</v>
      </c>
      <c r="AC183" s="8">
        <v>2040</v>
      </c>
      <c r="AD183" s="15">
        <v>37195</v>
      </c>
      <c r="AE183" s="8">
        <v>3520</v>
      </c>
      <c r="AF183" s="15">
        <v>37195</v>
      </c>
      <c r="AG183" s="8">
        <v>2840</v>
      </c>
      <c r="AH183" s="15">
        <v>37195</v>
      </c>
      <c r="AI183" s="8">
        <v>1310</v>
      </c>
      <c r="AJ183" s="15">
        <v>37195</v>
      </c>
      <c r="AK183" s="8">
        <v>2160</v>
      </c>
      <c r="AL183" s="15">
        <v>37195</v>
      </c>
      <c r="AM183" s="8">
        <v>2700</v>
      </c>
      <c r="AN183" s="15">
        <v>37195</v>
      </c>
      <c r="AO183" s="8">
        <v>1960</v>
      </c>
      <c r="AP183" s="5">
        <v>41670</v>
      </c>
      <c r="AQ183" s="4">
        <v>17.585999999999999</v>
      </c>
      <c r="AR183" s="11">
        <v>37802</v>
      </c>
      <c r="AS183" s="11">
        <v>37802</v>
      </c>
      <c r="AT183" s="10">
        <v>28.33</v>
      </c>
    </row>
    <row r="184" spans="1:46" x14ac:dyDescent="0.25">
      <c r="A184" s="16">
        <v>23801</v>
      </c>
      <c r="B184" s="1">
        <v>7808</v>
      </c>
      <c r="C184" s="13" t="str">
        <f t="shared" si="2"/>
        <v>91997</v>
      </c>
      <c r="D184" s="2">
        <v>35703</v>
      </c>
      <c r="E184" s="1">
        <v>1318</v>
      </c>
      <c r="F184" s="16">
        <v>39872</v>
      </c>
      <c r="G184" s="1">
        <v>8067.875</v>
      </c>
      <c r="H184" s="16">
        <v>39872</v>
      </c>
      <c r="I184" s="1">
        <v>3963.4810000000002</v>
      </c>
      <c r="J184" s="16">
        <v>39872</v>
      </c>
      <c r="K184" s="1">
        <v>2313.2919999999999</v>
      </c>
      <c r="L184" s="16">
        <v>39872</v>
      </c>
      <c r="M184" s="1">
        <v>1705</v>
      </c>
      <c r="N184" s="16">
        <v>39872</v>
      </c>
      <c r="O184" s="1">
        <v>2161.94</v>
      </c>
      <c r="P184" s="16">
        <v>39872</v>
      </c>
      <c r="Q184" s="1">
        <v>9331</v>
      </c>
      <c r="R184" s="16">
        <v>39872</v>
      </c>
      <c r="S184" s="1">
        <v>2520</v>
      </c>
      <c r="T184" s="16">
        <v>39872</v>
      </c>
      <c r="U184" s="1">
        <v>3733</v>
      </c>
      <c r="V184" s="16">
        <v>39872</v>
      </c>
      <c r="W184" s="1">
        <v>1907.972</v>
      </c>
      <c r="X184" s="15">
        <v>37256</v>
      </c>
      <c r="Y184" s="8">
        <v>25810</v>
      </c>
      <c r="Z184" s="15">
        <v>37225</v>
      </c>
      <c r="AA184" s="8">
        <v>7640</v>
      </c>
      <c r="AB184" s="15">
        <v>37225</v>
      </c>
      <c r="AC184" s="8">
        <v>2020</v>
      </c>
      <c r="AD184" s="15">
        <v>37225</v>
      </c>
      <c r="AE184" s="8">
        <v>3460</v>
      </c>
      <c r="AF184" s="15">
        <v>37225</v>
      </c>
      <c r="AG184" s="8">
        <v>2750</v>
      </c>
      <c r="AH184" s="15">
        <v>37225</v>
      </c>
      <c r="AI184" s="8">
        <v>1290</v>
      </c>
      <c r="AJ184" s="15">
        <v>37225</v>
      </c>
      <c r="AK184" s="8">
        <v>2080</v>
      </c>
      <c r="AL184" s="15">
        <v>37225</v>
      </c>
      <c r="AM184" s="8">
        <v>2690</v>
      </c>
      <c r="AN184" s="15">
        <v>37225</v>
      </c>
      <c r="AO184" s="8">
        <v>1940</v>
      </c>
      <c r="AP184" s="5">
        <v>41698</v>
      </c>
      <c r="AQ184" s="4">
        <v>16.114000000000001</v>
      </c>
      <c r="AR184" s="11">
        <v>37833</v>
      </c>
      <c r="AS184" s="11">
        <v>37833</v>
      </c>
      <c r="AT184" s="10">
        <v>28.37</v>
      </c>
    </row>
    <row r="185" spans="1:46" x14ac:dyDescent="0.25">
      <c r="A185" s="16">
        <v>23832</v>
      </c>
      <c r="B185" s="1">
        <v>7863</v>
      </c>
      <c r="C185" s="13" t="str">
        <f t="shared" si="2"/>
        <v>101997</v>
      </c>
      <c r="D185" s="2">
        <v>35734</v>
      </c>
      <c r="E185" s="1">
        <v>6019</v>
      </c>
      <c r="F185" s="16">
        <v>39903</v>
      </c>
      <c r="G185" s="1">
        <v>8072.4179999999997</v>
      </c>
      <c r="H185" s="16">
        <v>39903</v>
      </c>
      <c r="I185" s="1">
        <v>3970.3310000000001</v>
      </c>
      <c r="J185" s="16">
        <v>39903</v>
      </c>
      <c r="K185" s="1">
        <v>2364.7440000000001</v>
      </c>
      <c r="L185" s="16">
        <v>39903</v>
      </c>
      <c r="M185" s="1">
        <v>1705</v>
      </c>
      <c r="N185" s="16">
        <v>39903</v>
      </c>
      <c r="O185" s="1">
        <v>2060</v>
      </c>
      <c r="P185" s="16">
        <v>39903</v>
      </c>
      <c r="Q185" s="1">
        <v>9388</v>
      </c>
      <c r="R185" s="16">
        <v>39903</v>
      </c>
      <c r="S185" s="1">
        <v>2520</v>
      </c>
      <c r="T185" s="16">
        <v>39903</v>
      </c>
      <c r="U185" s="1">
        <v>3726.1</v>
      </c>
      <c r="V185" s="16">
        <v>39903</v>
      </c>
      <c r="W185" s="1">
        <v>1943.184</v>
      </c>
      <c r="X185" s="15">
        <v>37287</v>
      </c>
      <c r="Y185" s="8">
        <v>25010</v>
      </c>
      <c r="Z185" s="15">
        <v>37256</v>
      </c>
      <c r="AA185" s="8">
        <v>7640</v>
      </c>
      <c r="AB185" s="15">
        <v>37256</v>
      </c>
      <c r="AC185" s="8">
        <v>2050</v>
      </c>
      <c r="AD185" s="15">
        <v>37256</v>
      </c>
      <c r="AE185" s="8">
        <v>3480</v>
      </c>
      <c r="AF185" s="15">
        <v>37256</v>
      </c>
      <c r="AG185" s="8">
        <v>2000</v>
      </c>
      <c r="AH185" s="15">
        <v>37256</v>
      </c>
      <c r="AI185" s="8">
        <v>1300</v>
      </c>
      <c r="AJ185" s="15">
        <v>37256</v>
      </c>
      <c r="AK185" s="8">
        <v>2070</v>
      </c>
      <c r="AL185" s="15">
        <v>37256</v>
      </c>
      <c r="AM185" s="8">
        <v>2710</v>
      </c>
      <c r="AN185" s="15">
        <v>37256</v>
      </c>
      <c r="AO185" s="8">
        <v>1940</v>
      </c>
      <c r="AP185" s="5">
        <v>41729</v>
      </c>
      <c r="AQ185" s="4">
        <v>17.638000000000002</v>
      </c>
      <c r="AR185" s="11">
        <v>37862</v>
      </c>
      <c r="AS185" s="11">
        <v>37862</v>
      </c>
      <c r="AT185" s="10">
        <v>29.49</v>
      </c>
    </row>
    <row r="186" spans="1:46" x14ac:dyDescent="0.25">
      <c r="A186" s="16">
        <v>23862</v>
      </c>
      <c r="B186" s="1">
        <v>7895</v>
      </c>
      <c r="C186" s="13" t="str">
        <f t="shared" si="2"/>
        <v>111997</v>
      </c>
      <c r="D186" s="2">
        <v>35762</v>
      </c>
      <c r="E186" s="1">
        <v>2820</v>
      </c>
      <c r="F186" s="16">
        <v>39933</v>
      </c>
      <c r="G186" s="1">
        <v>8076.52</v>
      </c>
      <c r="H186" s="16">
        <v>39933</v>
      </c>
      <c r="I186" s="1">
        <v>4029.5880000000002</v>
      </c>
      <c r="J186" s="16">
        <v>39933</v>
      </c>
      <c r="K186" s="1">
        <v>2366.056</v>
      </c>
      <c r="L186" s="16">
        <v>39933</v>
      </c>
      <c r="M186" s="1">
        <v>1705</v>
      </c>
      <c r="N186" s="16">
        <v>39933</v>
      </c>
      <c r="O186" s="1">
        <v>2217.21</v>
      </c>
      <c r="P186" s="16">
        <v>39933</v>
      </c>
      <c r="Q186" s="1">
        <v>9459</v>
      </c>
      <c r="R186" s="16">
        <v>39933</v>
      </c>
      <c r="S186" s="1">
        <v>2520</v>
      </c>
      <c r="T186" s="16">
        <v>39933</v>
      </c>
      <c r="U186" s="1">
        <v>3794.5</v>
      </c>
      <c r="V186" s="16">
        <v>39933</v>
      </c>
      <c r="W186" s="1">
        <v>1940.7080000000001</v>
      </c>
      <c r="X186" s="15">
        <v>37315</v>
      </c>
      <c r="Y186" s="8">
        <v>24950</v>
      </c>
      <c r="Z186" s="15">
        <v>37287</v>
      </c>
      <c r="AA186" s="8">
        <v>7350</v>
      </c>
      <c r="AB186" s="15">
        <v>37287</v>
      </c>
      <c r="AC186" s="8">
        <v>1950</v>
      </c>
      <c r="AD186" s="15">
        <v>37287</v>
      </c>
      <c r="AE186" s="8">
        <v>3320</v>
      </c>
      <c r="AF186" s="15">
        <v>37287</v>
      </c>
      <c r="AG186" s="8">
        <v>2210</v>
      </c>
      <c r="AH186" s="15">
        <v>37287</v>
      </c>
      <c r="AI186" s="8">
        <v>1260</v>
      </c>
      <c r="AJ186" s="15">
        <v>37287</v>
      </c>
      <c r="AK186" s="8">
        <v>1970</v>
      </c>
      <c r="AL186" s="15">
        <v>37287</v>
      </c>
      <c r="AM186" s="8">
        <v>2580</v>
      </c>
      <c r="AN186" s="15">
        <v>37287</v>
      </c>
      <c r="AO186" s="8">
        <v>1840</v>
      </c>
      <c r="AP186" s="5">
        <v>41759</v>
      </c>
      <c r="AQ186" s="4">
        <v>16.978999999999999</v>
      </c>
      <c r="AR186" s="11">
        <v>37894</v>
      </c>
      <c r="AS186" s="11">
        <v>37894</v>
      </c>
      <c r="AT186" s="10">
        <v>27.61</v>
      </c>
    </row>
    <row r="187" spans="1:46" x14ac:dyDescent="0.25">
      <c r="A187" s="16">
        <v>23893</v>
      </c>
      <c r="B187" s="1">
        <v>7686</v>
      </c>
      <c r="C187" s="13" t="str">
        <f t="shared" si="2"/>
        <v>121997</v>
      </c>
      <c r="D187" s="2">
        <v>35795</v>
      </c>
      <c r="E187" s="1">
        <v>-3252</v>
      </c>
      <c r="F187" s="16">
        <v>39964</v>
      </c>
      <c r="G187" s="1">
        <v>8081.0619999999999</v>
      </c>
      <c r="H187" s="16">
        <v>39964</v>
      </c>
      <c r="I187" s="1">
        <v>4043.5149999999999</v>
      </c>
      <c r="J187" s="16">
        <v>39964</v>
      </c>
      <c r="K187" s="1">
        <v>2417.5079999999998</v>
      </c>
      <c r="L187" s="16">
        <v>39964</v>
      </c>
      <c r="M187" s="1">
        <v>1705</v>
      </c>
      <c r="N187" s="16">
        <v>39964</v>
      </c>
      <c r="O187" s="1">
        <v>2212.0859999999998</v>
      </c>
      <c r="P187" s="16">
        <v>39964</v>
      </c>
      <c r="Q187" s="1">
        <v>9428.7000000000007</v>
      </c>
      <c r="R187" s="16">
        <v>39964</v>
      </c>
      <c r="S187" s="1">
        <v>2520</v>
      </c>
      <c r="T187" s="16">
        <v>39964</v>
      </c>
      <c r="U187" s="1">
        <v>3775.2</v>
      </c>
      <c r="V187" s="16">
        <v>39964</v>
      </c>
      <c r="W187" s="1">
        <v>1955.2329999999999</v>
      </c>
      <c r="X187" s="15">
        <v>37346</v>
      </c>
      <c r="Y187" s="8">
        <v>25300</v>
      </c>
      <c r="Z187" s="15">
        <v>37315</v>
      </c>
      <c r="AA187" s="8">
        <v>7210</v>
      </c>
      <c r="AB187" s="15">
        <v>37315</v>
      </c>
      <c r="AC187" s="8">
        <v>1950</v>
      </c>
      <c r="AD187" s="15">
        <v>37315</v>
      </c>
      <c r="AE187" s="8">
        <v>3310</v>
      </c>
      <c r="AF187" s="15">
        <v>37315</v>
      </c>
      <c r="AG187" s="8">
        <v>2480</v>
      </c>
      <c r="AH187" s="15">
        <v>37315</v>
      </c>
      <c r="AI187" s="8">
        <v>1260</v>
      </c>
      <c r="AJ187" s="15">
        <v>37315</v>
      </c>
      <c r="AK187" s="8">
        <v>1910</v>
      </c>
      <c r="AL187" s="15">
        <v>37315</v>
      </c>
      <c r="AM187" s="8">
        <v>2550</v>
      </c>
      <c r="AN187" s="15">
        <v>37315</v>
      </c>
      <c r="AO187" s="8">
        <v>1790</v>
      </c>
      <c r="AP187" s="5">
        <v>41790</v>
      </c>
      <c r="AQ187" s="4">
        <v>17.756</v>
      </c>
      <c r="AR187" s="11">
        <v>37925</v>
      </c>
      <c r="AS187" s="11">
        <v>37925</v>
      </c>
      <c r="AT187" s="10">
        <v>27.7</v>
      </c>
    </row>
    <row r="188" spans="1:46" x14ac:dyDescent="0.25">
      <c r="A188" s="16">
        <v>23923</v>
      </c>
      <c r="B188" s="1">
        <v>7748</v>
      </c>
      <c r="C188" s="13" t="str">
        <f t="shared" si="2"/>
        <v>11998</v>
      </c>
      <c r="D188" s="2">
        <v>35825</v>
      </c>
      <c r="E188" s="1">
        <v>-622</v>
      </c>
      <c r="F188" s="16">
        <v>39994</v>
      </c>
      <c r="G188" s="1">
        <v>8335.4580000000005</v>
      </c>
      <c r="H188" s="16">
        <v>39994</v>
      </c>
      <c r="I188" s="1">
        <v>4049.7530000000002</v>
      </c>
      <c r="J188" s="16">
        <v>39994</v>
      </c>
      <c r="K188" s="1">
        <v>2418.913</v>
      </c>
      <c r="L188" s="16">
        <v>39994</v>
      </c>
      <c r="M188" s="1">
        <v>1705</v>
      </c>
      <c r="N188" s="16">
        <v>39994</v>
      </c>
      <c r="O188" s="1">
        <v>2059.2959999999998</v>
      </c>
      <c r="P188" s="16">
        <v>39994</v>
      </c>
      <c r="Q188" s="1">
        <v>9457.1</v>
      </c>
      <c r="R188" s="16">
        <v>39994</v>
      </c>
      <c r="S188" s="1">
        <v>2520</v>
      </c>
      <c r="T188" s="16">
        <v>39994</v>
      </c>
      <c r="U188" s="1">
        <v>3823.7</v>
      </c>
      <c r="V188" s="16">
        <v>39994</v>
      </c>
      <c r="W188" s="1">
        <v>1917.5989999999999</v>
      </c>
      <c r="X188" s="15">
        <v>37376</v>
      </c>
      <c r="Y188" s="8">
        <v>24100</v>
      </c>
      <c r="Z188" s="15">
        <v>37346</v>
      </c>
      <c r="AA188" s="8">
        <v>7380</v>
      </c>
      <c r="AB188" s="15">
        <v>37346</v>
      </c>
      <c r="AC188" s="8">
        <v>1970</v>
      </c>
      <c r="AD188" s="15">
        <v>37346</v>
      </c>
      <c r="AE188" s="8">
        <v>3350</v>
      </c>
      <c r="AF188" s="15">
        <v>37346</v>
      </c>
      <c r="AG188" s="8">
        <v>2460</v>
      </c>
      <c r="AH188" s="15">
        <v>37346</v>
      </c>
      <c r="AI188" s="8">
        <v>1290</v>
      </c>
      <c r="AJ188" s="15">
        <v>37346</v>
      </c>
      <c r="AK188" s="8">
        <v>1920</v>
      </c>
      <c r="AL188" s="15">
        <v>37346</v>
      </c>
      <c r="AM188" s="8">
        <v>2570</v>
      </c>
      <c r="AN188" s="15">
        <v>37346</v>
      </c>
      <c r="AO188" s="8">
        <v>1830</v>
      </c>
      <c r="AP188" s="5">
        <v>41820</v>
      </c>
      <c r="AQ188" s="4">
        <v>17.501999999999999</v>
      </c>
      <c r="AR188" s="11">
        <v>37953</v>
      </c>
      <c r="AS188" s="11">
        <v>37953</v>
      </c>
      <c r="AT188" s="10">
        <v>28.45</v>
      </c>
    </row>
    <row r="189" spans="1:46" x14ac:dyDescent="0.25">
      <c r="A189" s="16">
        <v>23954</v>
      </c>
      <c r="B189" s="1">
        <v>7665</v>
      </c>
      <c r="C189" s="13" t="str">
        <f t="shared" si="2"/>
        <v>21998</v>
      </c>
      <c r="D189" s="2">
        <v>35853</v>
      </c>
      <c r="E189" s="1">
        <v>-1599</v>
      </c>
      <c r="F189" s="16">
        <v>40025</v>
      </c>
      <c r="G189" s="1">
        <v>8540</v>
      </c>
      <c r="H189" s="16">
        <v>40025</v>
      </c>
      <c r="I189" s="1">
        <v>4053.1509999999998</v>
      </c>
      <c r="J189" s="16">
        <v>40025</v>
      </c>
      <c r="K189" s="1">
        <v>2470.3649999999998</v>
      </c>
      <c r="L189" s="16">
        <v>40025</v>
      </c>
      <c r="M189" s="1">
        <v>1705</v>
      </c>
      <c r="N189" s="16">
        <v>40025</v>
      </c>
      <c r="O189" s="1">
        <v>2051.1120000000001</v>
      </c>
      <c r="P189" s="16">
        <v>40025</v>
      </c>
      <c r="Q189" s="1">
        <v>9476.4</v>
      </c>
      <c r="R189" s="16">
        <v>40025</v>
      </c>
      <c r="S189" s="1">
        <v>2520</v>
      </c>
      <c r="T189" s="16">
        <v>40025</v>
      </c>
      <c r="U189" s="1">
        <v>3811.8</v>
      </c>
      <c r="V189" s="16">
        <v>40025</v>
      </c>
      <c r="W189" s="1">
        <v>1918.671</v>
      </c>
      <c r="X189" s="15">
        <v>37407</v>
      </c>
      <c r="Y189" s="8">
        <v>24890</v>
      </c>
      <c r="Z189" s="15">
        <v>37376</v>
      </c>
      <c r="AA189" s="8">
        <v>7430</v>
      </c>
      <c r="AB189" s="15">
        <v>37376</v>
      </c>
      <c r="AC189" s="8">
        <v>1970</v>
      </c>
      <c r="AD189" s="15">
        <v>37376</v>
      </c>
      <c r="AE189" s="8">
        <v>3320</v>
      </c>
      <c r="AF189" s="15">
        <v>37376</v>
      </c>
      <c r="AG189" s="8">
        <v>1230</v>
      </c>
      <c r="AH189" s="15">
        <v>37376</v>
      </c>
      <c r="AI189" s="8">
        <v>1310</v>
      </c>
      <c r="AJ189" s="15">
        <v>37376</v>
      </c>
      <c r="AK189" s="8">
        <v>1950</v>
      </c>
      <c r="AL189" s="15">
        <v>37376</v>
      </c>
      <c r="AM189" s="8">
        <v>2470</v>
      </c>
      <c r="AN189" s="15">
        <v>37376</v>
      </c>
      <c r="AO189" s="8">
        <v>1860</v>
      </c>
      <c r="AP189" s="5">
        <v>41851</v>
      </c>
      <c r="AQ189" s="4">
        <v>17.341999999999999</v>
      </c>
      <c r="AR189" s="11">
        <v>37986</v>
      </c>
      <c r="AS189" s="11">
        <v>37986</v>
      </c>
      <c r="AT189" s="10">
        <v>30.17</v>
      </c>
    </row>
    <row r="190" spans="1:46" x14ac:dyDescent="0.25">
      <c r="A190" s="16">
        <v>23985</v>
      </c>
      <c r="B190" s="1">
        <v>7748</v>
      </c>
      <c r="C190" s="13" t="str">
        <f t="shared" si="2"/>
        <v>31998</v>
      </c>
      <c r="D190" s="2">
        <v>35885</v>
      </c>
      <c r="E190" s="1">
        <v>1594</v>
      </c>
      <c r="F190" s="16">
        <v>40056</v>
      </c>
      <c r="G190" s="1">
        <v>8440</v>
      </c>
      <c r="H190" s="16">
        <v>40056</v>
      </c>
      <c r="I190" s="1">
        <v>4056.4380000000001</v>
      </c>
      <c r="J190" s="16">
        <v>40056</v>
      </c>
      <c r="K190" s="1">
        <v>2471.77</v>
      </c>
      <c r="L190" s="16">
        <v>40056</v>
      </c>
      <c r="M190" s="1">
        <v>1705</v>
      </c>
      <c r="N190" s="16">
        <v>40056</v>
      </c>
      <c r="O190" s="1">
        <v>2193.3220000000001</v>
      </c>
      <c r="P190" s="16">
        <v>40056</v>
      </c>
      <c r="Q190" s="1">
        <v>9532</v>
      </c>
      <c r="R190" s="16">
        <v>40056</v>
      </c>
      <c r="S190" s="1">
        <v>2520</v>
      </c>
      <c r="T190" s="16">
        <v>40056</v>
      </c>
      <c r="U190" s="1">
        <v>3852.9</v>
      </c>
      <c r="V190" s="16">
        <v>40056</v>
      </c>
      <c r="W190" s="1">
        <v>1960.2950000000001</v>
      </c>
      <c r="X190" s="15">
        <v>37437</v>
      </c>
      <c r="Y190" s="8">
        <v>24800</v>
      </c>
      <c r="Z190" s="15">
        <v>37407</v>
      </c>
      <c r="AA190" s="8">
        <v>7450</v>
      </c>
      <c r="AB190" s="15">
        <v>37407</v>
      </c>
      <c r="AC190" s="8">
        <v>1950</v>
      </c>
      <c r="AD190" s="15">
        <v>37407</v>
      </c>
      <c r="AE190" s="8">
        <v>3360</v>
      </c>
      <c r="AF190" s="15">
        <v>37407</v>
      </c>
      <c r="AG190" s="8">
        <v>1800</v>
      </c>
      <c r="AH190" s="15">
        <v>37407</v>
      </c>
      <c r="AI190" s="8">
        <v>1300</v>
      </c>
      <c r="AJ190" s="15">
        <v>37407</v>
      </c>
      <c r="AK190" s="8">
        <v>1980</v>
      </c>
      <c r="AL190" s="15">
        <v>37407</v>
      </c>
      <c r="AM190" s="8">
        <v>2620</v>
      </c>
      <c r="AN190" s="15">
        <v>37407</v>
      </c>
      <c r="AO190" s="8">
        <v>1790</v>
      </c>
      <c r="AP190" s="5">
        <v>41882</v>
      </c>
      <c r="AQ190" s="4">
        <v>17.488</v>
      </c>
      <c r="AR190" s="11">
        <v>38016</v>
      </c>
      <c r="AS190" s="11">
        <v>38016</v>
      </c>
      <c r="AT190" s="10">
        <v>29.18</v>
      </c>
    </row>
    <row r="191" spans="1:46" x14ac:dyDescent="0.25">
      <c r="A191" s="16">
        <v>24015</v>
      </c>
      <c r="B191" s="1">
        <v>7418</v>
      </c>
      <c r="C191" s="13" t="str">
        <f t="shared" si="2"/>
        <v>41998</v>
      </c>
      <c r="D191" s="2">
        <v>35915</v>
      </c>
      <c r="E191" s="1">
        <v>303</v>
      </c>
      <c r="F191" s="16">
        <v>40086</v>
      </c>
      <c r="G191" s="1">
        <v>8340</v>
      </c>
      <c r="H191" s="16">
        <v>40086</v>
      </c>
      <c r="I191" s="1">
        <v>4059.8359999999998</v>
      </c>
      <c r="J191" s="16">
        <v>40086</v>
      </c>
      <c r="K191" s="1">
        <v>2473.2220000000002</v>
      </c>
      <c r="L191" s="16">
        <v>40086</v>
      </c>
      <c r="M191" s="1">
        <v>1705</v>
      </c>
      <c r="N191" s="16">
        <v>40086</v>
      </c>
      <c r="O191" s="1">
        <v>2240</v>
      </c>
      <c r="P191" s="16">
        <v>40086</v>
      </c>
      <c r="Q191" s="1">
        <v>9623</v>
      </c>
      <c r="R191" s="16">
        <v>40086</v>
      </c>
      <c r="S191" s="1">
        <v>2520</v>
      </c>
      <c r="T191" s="16">
        <v>40086</v>
      </c>
      <c r="U191" s="1">
        <v>3837.2</v>
      </c>
      <c r="V191" s="16">
        <v>40086</v>
      </c>
      <c r="W191" s="1">
        <v>1992.8109999999999</v>
      </c>
      <c r="X191" s="15">
        <v>37468</v>
      </c>
      <c r="Y191" s="8">
        <v>25220</v>
      </c>
      <c r="Z191" s="15">
        <v>37437</v>
      </c>
      <c r="AA191" s="8">
        <v>7500</v>
      </c>
      <c r="AB191" s="15">
        <v>37437</v>
      </c>
      <c r="AC191" s="8">
        <v>1960</v>
      </c>
      <c r="AD191" s="15">
        <v>37437</v>
      </c>
      <c r="AE191" s="8">
        <v>3350</v>
      </c>
      <c r="AF191" s="15">
        <v>37437</v>
      </c>
      <c r="AG191" s="8">
        <v>1630</v>
      </c>
      <c r="AH191" s="15">
        <v>37437</v>
      </c>
      <c r="AI191" s="8">
        <v>1320</v>
      </c>
      <c r="AJ191" s="15">
        <v>37437</v>
      </c>
      <c r="AK191" s="8">
        <v>1910</v>
      </c>
      <c r="AL191" s="15">
        <v>37437</v>
      </c>
      <c r="AM191" s="8">
        <v>2640</v>
      </c>
      <c r="AN191" s="15">
        <v>37437</v>
      </c>
      <c r="AO191" s="8">
        <v>1880</v>
      </c>
      <c r="AP191" s="5">
        <v>41912</v>
      </c>
      <c r="AQ191" s="4">
        <v>17.158999999999999</v>
      </c>
      <c r="AR191" s="11">
        <v>38044</v>
      </c>
      <c r="AS191" s="11">
        <v>38044</v>
      </c>
      <c r="AT191" s="10">
        <v>32.229999999999997</v>
      </c>
    </row>
    <row r="192" spans="1:46" x14ac:dyDescent="0.25">
      <c r="A192" s="16">
        <v>24046</v>
      </c>
      <c r="B192" s="1">
        <v>7875</v>
      </c>
      <c r="C192" s="13" t="str">
        <f t="shared" si="2"/>
        <v>51998</v>
      </c>
      <c r="D192" s="2">
        <v>35944</v>
      </c>
      <c r="E192" s="1">
        <v>-4288</v>
      </c>
      <c r="F192" s="16">
        <v>40117</v>
      </c>
      <c r="G192" s="1">
        <v>8340</v>
      </c>
      <c r="H192" s="16">
        <v>40117</v>
      </c>
      <c r="I192" s="1">
        <v>4063.2330000000002</v>
      </c>
      <c r="J192" s="16">
        <v>40117</v>
      </c>
      <c r="K192" s="1">
        <v>2424.674</v>
      </c>
      <c r="L192" s="16">
        <v>40117</v>
      </c>
      <c r="M192" s="1">
        <v>1705</v>
      </c>
      <c r="N192" s="16">
        <v>40117</v>
      </c>
      <c r="O192" s="1">
        <v>2290</v>
      </c>
      <c r="P192" s="16">
        <v>40117</v>
      </c>
      <c r="Q192" s="1">
        <v>9629.1</v>
      </c>
      <c r="R192" s="16">
        <v>40117</v>
      </c>
      <c r="S192" s="1">
        <v>2520</v>
      </c>
      <c r="T192" s="16">
        <v>40117</v>
      </c>
      <c r="U192" s="1">
        <v>3843.5</v>
      </c>
      <c r="V192" s="16">
        <v>40117</v>
      </c>
      <c r="W192" s="1">
        <v>1990.502</v>
      </c>
      <c r="X192" s="15">
        <v>37499</v>
      </c>
      <c r="Y192" s="8">
        <v>25160</v>
      </c>
      <c r="Z192" s="15">
        <v>37468</v>
      </c>
      <c r="AA192" s="8">
        <v>7550</v>
      </c>
      <c r="AB192" s="15">
        <v>37468</v>
      </c>
      <c r="AC192" s="8">
        <v>1970</v>
      </c>
      <c r="AD192" s="15">
        <v>37468</v>
      </c>
      <c r="AE192" s="8">
        <v>3410</v>
      </c>
      <c r="AF192" s="15">
        <v>37468</v>
      </c>
      <c r="AG192" s="8">
        <v>1830</v>
      </c>
      <c r="AH192" s="15">
        <v>37468</v>
      </c>
      <c r="AI192" s="8">
        <v>1320</v>
      </c>
      <c r="AJ192" s="15">
        <v>37468</v>
      </c>
      <c r="AK192" s="8">
        <v>1930</v>
      </c>
      <c r="AL192" s="15">
        <v>37468</v>
      </c>
      <c r="AM192" s="8">
        <v>2700</v>
      </c>
      <c r="AN192" s="15">
        <v>37468</v>
      </c>
      <c r="AO192" s="8">
        <v>1890</v>
      </c>
      <c r="AP192" s="5">
        <v>41943</v>
      </c>
      <c r="AQ192" s="4">
        <v>17.936</v>
      </c>
      <c r="AR192" s="11">
        <v>38077</v>
      </c>
      <c r="AS192" s="11">
        <v>38077</v>
      </c>
      <c r="AT192" s="10">
        <v>31.51</v>
      </c>
    </row>
    <row r="193" spans="1:46" x14ac:dyDescent="0.25">
      <c r="A193" s="16">
        <v>24076</v>
      </c>
      <c r="B193" s="1">
        <v>7988</v>
      </c>
      <c r="C193" s="13" t="str">
        <f t="shared" si="2"/>
        <v>61998</v>
      </c>
      <c r="D193" s="2">
        <v>35976</v>
      </c>
      <c r="E193" s="1">
        <v>1661</v>
      </c>
      <c r="F193" s="16">
        <v>40147</v>
      </c>
      <c r="G193" s="1">
        <v>8340</v>
      </c>
      <c r="H193" s="16">
        <v>40147</v>
      </c>
      <c r="I193" s="1">
        <v>4066.5210000000002</v>
      </c>
      <c r="J193" s="16">
        <v>40147</v>
      </c>
      <c r="K193" s="1">
        <v>2374.674</v>
      </c>
      <c r="L193" s="16">
        <v>40147</v>
      </c>
      <c r="M193" s="1">
        <v>1705</v>
      </c>
      <c r="N193" s="16">
        <v>40147</v>
      </c>
      <c r="O193" s="1">
        <v>2370</v>
      </c>
      <c r="P193" s="16">
        <v>40147</v>
      </c>
      <c r="Q193" s="1">
        <v>9654</v>
      </c>
      <c r="R193" s="16">
        <v>40147</v>
      </c>
      <c r="S193" s="1">
        <v>2520</v>
      </c>
      <c r="T193" s="16">
        <v>40147</v>
      </c>
      <c r="U193" s="1">
        <v>3811.8</v>
      </c>
      <c r="V193" s="16">
        <v>40147</v>
      </c>
      <c r="W193" s="1">
        <v>1986.3630000000001</v>
      </c>
      <c r="X193" s="15">
        <v>37529</v>
      </c>
      <c r="Y193" s="8">
        <v>25950</v>
      </c>
      <c r="Z193" s="15">
        <v>37499</v>
      </c>
      <c r="AA193" s="8">
        <v>7620</v>
      </c>
      <c r="AB193" s="15">
        <v>37499</v>
      </c>
      <c r="AC193" s="8">
        <v>1970</v>
      </c>
      <c r="AD193" s="15">
        <v>37499</v>
      </c>
      <c r="AE193" s="8">
        <v>3400</v>
      </c>
      <c r="AF193" s="15">
        <v>37499</v>
      </c>
      <c r="AG193" s="8">
        <v>1570</v>
      </c>
      <c r="AH193" s="15">
        <v>37499</v>
      </c>
      <c r="AI193" s="8">
        <v>1330</v>
      </c>
      <c r="AJ193" s="15">
        <v>37499</v>
      </c>
      <c r="AK193" s="8">
        <v>1980</v>
      </c>
      <c r="AL193" s="15">
        <v>37499</v>
      </c>
      <c r="AM193" s="8">
        <v>2750</v>
      </c>
      <c r="AN193" s="15">
        <v>37499</v>
      </c>
      <c r="AO193" s="8">
        <v>1910</v>
      </c>
      <c r="AP193" s="5">
        <v>41973</v>
      </c>
      <c r="AQ193" s="4">
        <v>17.63</v>
      </c>
      <c r="AR193" s="11">
        <v>38107</v>
      </c>
      <c r="AS193" s="11">
        <v>38107</v>
      </c>
      <c r="AT193" s="10">
        <v>34.479999999999997</v>
      </c>
    </row>
    <row r="194" spans="1:46" x14ac:dyDescent="0.25">
      <c r="A194" s="16">
        <v>24107</v>
      </c>
      <c r="B194" s="1">
        <v>8180</v>
      </c>
      <c r="C194" s="13" t="str">
        <f t="shared" si="2"/>
        <v>71998</v>
      </c>
      <c r="D194" s="2">
        <v>36007</v>
      </c>
      <c r="E194" s="1">
        <v>683</v>
      </c>
      <c r="F194" s="16">
        <v>40178</v>
      </c>
      <c r="G194" s="1">
        <v>8240</v>
      </c>
      <c r="H194" s="16">
        <v>40178</v>
      </c>
      <c r="I194" s="1">
        <v>4076.3510000000001</v>
      </c>
      <c r="J194" s="16">
        <v>40178</v>
      </c>
      <c r="K194" s="1">
        <v>2374.674</v>
      </c>
      <c r="L194" s="16">
        <v>40178</v>
      </c>
      <c r="M194" s="1">
        <v>1705</v>
      </c>
      <c r="N194" s="16">
        <v>40178</v>
      </c>
      <c r="O194" s="1">
        <v>2450</v>
      </c>
      <c r="P194" s="16">
        <v>40178</v>
      </c>
      <c r="Q194" s="1">
        <v>9614</v>
      </c>
      <c r="R194" s="16">
        <v>40178</v>
      </c>
      <c r="S194" s="1">
        <v>2520</v>
      </c>
      <c r="T194" s="16">
        <v>40178</v>
      </c>
      <c r="U194" s="1">
        <v>3783.1</v>
      </c>
      <c r="V194" s="16">
        <v>40178</v>
      </c>
      <c r="W194" s="1">
        <v>1998.98</v>
      </c>
      <c r="X194" s="15">
        <v>37560</v>
      </c>
      <c r="Y194" s="8">
        <v>26960</v>
      </c>
      <c r="Z194" s="15">
        <v>37529</v>
      </c>
      <c r="AA194" s="8">
        <v>7700</v>
      </c>
      <c r="AB194" s="15">
        <v>37529</v>
      </c>
      <c r="AC194" s="8">
        <v>1980</v>
      </c>
      <c r="AD194" s="15">
        <v>37529</v>
      </c>
      <c r="AE194" s="8">
        <v>3420</v>
      </c>
      <c r="AF194" s="15">
        <v>37529</v>
      </c>
      <c r="AG194" s="8">
        <v>1890</v>
      </c>
      <c r="AH194" s="15">
        <v>37529</v>
      </c>
      <c r="AI194" s="8">
        <v>1330</v>
      </c>
      <c r="AJ194" s="15">
        <v>37529</v>
      </c>
      <c r="AK194" s="8">
        <v>2020</v>
      </c>
      <c r="AL194" s="15">
        <v>37529</v>
      </c>
      <c r="AM194" s="8">
        <v>2920</v>
      </c>
      <c r="AN194" s="15">
        <v>37529</v>
      </c>
      <c r="AO194" s="8">
        <v>1940</v>
      </c>
      <c r="AP194" s="5">
        <v>42004</v>
      </c>
      <c r="AQ194" s="4">
        <v>18.323</v>
      </c>
      <c r="AR194" s="11">
        <v>38138</v>
      </c>
      <c r="AS194" s="11">
        <v>38138</v>
      </c>
      <c r="AT194" s="10">
        <v>36.58</v>
      </c>
    </row>
    <row r="195" spans="1:46" x14ac:dyDescent="0.25">
      <c r="A195" s="16">
        <v>24138</v>
      </c>
      <c r="B195" s="1">
        <v>8047</v>
      </c>
      <c r="C195" s="13" t="str">
        <f t="shared" si="2"/>
        <v>81998</v>
      </c>
      <c r="D195" s="2">
        <v>36038</v>
      </c>
      <c r="E195" s="1">
        <v>-318</v>
      </c>
      <c r="F195" s="16">
        <v>40209</v>
      </c>
      <c r="G195" s="1">
        <v>8350.41</v>
      </c>
      <c r="H195" s="16">
        <v>40209</v>
      </c>
      <c r="I195" s="1">
        <v>4087.886</v>
      </c>
      <c r="J195" s="16">
        <v>40209</v>
      </c>
      <c r="K195" s="1">
        <v>2474.6619999999998</v>
      </c>
      <c r="L195" s="16">
        <v>40209</v>
      </c>
      <c r="M195" s="1">
        <v>1710</v>
      </c>
      <c r="N195" s="16">
        <v>40209</v>
      </c>
      <c r="O195" s="1">
        <v>2404</v>
      </c>
      <c r="P195" s="16">
        <v>40209</v>
      </c>
      <c r="Q195" s="1">
        <v>9614.7000000000007</v>
      </c>
      <c r="R195" s="16">
        <v>40209</v>
      </c>
      <c r="S195" s="1">
        <v>2410</v>
      </c>
      <c r="T195" s="16">
        <v>40209</v>
      </c>
      <c r="U195" s="1">
        <v>3971</v>
      </c>
      <c r="V195" s="16">
        <v>40209</v>
      </c>
      <c r="W195" s="1">
        <v>1996.721</v>
      </c>
      <c r="X195" s="15">
        <v>37590</v>
      </c>
      <c r="Y195" s="8">
        <v>26690</v>
      </c>
      <c r="Z195" s="15">
        <v>37560</v>
      </c>
      <c r="AA195" s="8">
        <v>7900</v>
      </c>
      <c r="AB195" s="15">
        <v>37560</v>
      </c>
      <c r="AC195" s="8">
        <v>2010</v>
      </c>
      <c r="AD195" s="15">
        <v>37560</v>
      </c>
      <c r="AE195" s="8">
        <v>3580</v>
      </c>
      <c r="AF195" s="15">
        <v>37560</v>
      </c>
      <c r="AG195" s="8">
        <v>2510</v>
      </c>
      <c r="AH195" s="15">
        <v>37560</v>
      </c>
      <c r="AI195" s="8">
        <v>1340</v>
      </c>
      <c r="AJ195" s="15">
        <v>37560</v>
      </c>
      <c r="AK195" s="8">
        <v>1980</v>
      </c>
      <c r="AL195" s="15">
        <v>37560</v>
      </c>
      <c r="AM195" s="8">
        <v>2990</v>
      </c>
      <c r="AN195" s="15">
        <v>37560</v>
      </c>
      <c r="AO195" s="8">
        <v>1920</v>
      </c>
      <c r="AP195" s="5">
        <v>42035</v>
      </c>
      <c r="AQ195" s="4">
        <v>17.971</v>
      </c>
      <c r="AR195" s="11">
        <v>38168</v>
      </c>
      <c r="AS195" s="11">
        <v>38168</v>
      </c>
      <c r="AT195" s="10">
        <v>34.5</v>
      </c>
    </row>
    <row r="196" spans="1:46" x14ac:dyDescent="0.25">
      <c r="A196" s="16">
        <v>24166</v>
      </c>
      <c r="B196" s="1">
        <v>8240</v>
      </c>
      <c r="C196" s="13" t="str">
        <f t="shared" si="2"/>
        <v>91998</v>
      </c>
      <c r="D196" s="2">
        <v>36068</v>
      </c>
      <c r="E196" s="1">
        <v>3097</v>
      </c>
      <c r="F196" s="16">
        <v>40237</v>
      </c>
      <c r="G196" s="1">
        <v>8400.41</v>
      </c>
      <c r="H196" s="16">
        <v>40237</v>
      </c>
      <c r="I196" s="1">
        <v>4100</v>
      </c>
      <c r="J196" s="16">
        <v>40237</v>
      </c>
      <c r="K196" s="1">
        <v>2474.6619999999998</v>
      </c>
      <c r="L196" s="16">
        <v>40237</v>
      </c>
      <c r="M196" s="1">
        <v>1710</v>
      </c>
      <c r="N196" s="16">
        <v>40237</v>
      </c>
      <c r="O196" s="1">
        <v>2430</v>
      </c>
      <c r="P196" s="16">
        <v>40237</v>
      </c>
      <c r="Q196" s="1">
        <v>9648.4</v>
      </c>
      <c r="R196" s="16">
        <v>40237</v>
      </c>
      <c r="S196" s="1">
        <v>2410</v>
      </c>
      <c r="T196" s="16">
        <v>40237</v>
      </c>
      <c r="U196" s="1">
        <v>3940</v>
      </c>
      <c r="V196" s="16">
        <v>40237</v>
      </c>
      <c r="W196" s="1">
        <v>2016.5940000000001</v>
      </c>
      <c r="X196" s="15">
        <v>37621</v>
      </c>
      <c r="Y196" s="8">
        <v>24860</v>
      </c>
      <c r="Z196" s="15">
        <v>37590</v>
      </c>
      <c r="AA196" s="8">
        <v>7850</v>
      </c>
      <c r="AB196" s="15">
        <v>37590</v>
      </c>
      <c r="AC196" s="8">
        <v>2010</v>
      </c>
      <c r="AD196" s="15">
        <v>37590</v>
      </c>
      <c r="AE196" s="8">
        <v>3480</v>
      </c>
      <c r="AF196" s="15">
        <v>37590</v>
      </c>
      <c r="AG196" s="8">
        <v>2390</v>
      </c>
      <c r="AH196" s="15">
        <v>37590</v>
      </c>
      <c r="AI196" s="8">
        <v>1340</v>
      </c>
      <c r="AJ196" s="15">
        <v>37590</v>
      </c>
      <c r="AK196" s="8">
        <v>2010</v>
      </c>
      <c r="AL196" s="15">
        <v>37590</v>
      </c>
      <c r="AM196" s="8">
        <v>2980</v>
      </c>
      <c r="AN196" s="15">
        <v>37590</v>
      </c>
      <c r="AO196" s="8">
        <v>1870</v>
      </c>
      <c r="AP196" s="5">
        <v>42063</v>
      </c>
      <c r="AQ196" s="4">
        <v>16.178999999999998</v>
      </c>
      <c r="AR196" s="11">
        <v>38198</v>
      </c>
      <c r="AS196" s="11">
        <v>38198</v>
      </c>
      <c r="AT196" s="10">
        <v>40.03</v>
      </c>
    </row>
    <row r="197" spans="1:46" x14ac:dyDescent="0.25">
      <c r="A197" s="16">
        <v>24197</v>
      </c>
      <c r="B197" s="1">
        <v>8294</v>
      </c>
      <c r="C197" s="13" t="str">
        <f t="shared" ref="C197:C260" si="3">MONTH(D197)&amp;YEAR(D197)</f>
        <v>101998</v>
      </c>
      <c r="D197" s="2">
        <v>36098</v>
      </c>
      <c r="E197" s="1">
        <v>3775</v>
      </c>
      <c r="F197" s="16">
        <v>40268</v>
      </c>
      <c r="G197" s="1">
        <v>8390.41</v>
      </c>
      <c r="H197" s="16">
        <v>40268</v>
      </c>
      <c r="I197" s="1">
        <v>4112.01</v>
      </c>
      <c r="J197" s="16">
        <v>40268</v>
      </c>
      <c r="K197" s="1">
        <v>2374.6619999999998</v>
      </c>
      <c r="L197" s="16">
        <v>40268</v>
      </c>
      <c r="M197" s="1">
        <v>1710</v>
      </c>
      <c r="N197" s="16">
        <v>40268</v>
      </c>
      <c r="O197" s="1">
        <v>2399</v>
      </c>
      <c r="P197" s="16">
        <v>40268</v>
      </c>
      <c r="Q197" s="1">
        <v>9682.7000000000007</v>
      </c>
      <c r="R197" s="16">
        <v>40268</v>
      </c>
      <c r="S197" s="1">
        <v>2410</v>
      </c>
      <c r="T197" s="16">
        <v>40268</v>
      </c>
      <c r="U197" s="1">
        <v>3972.8</v>
      </c>
      <c r="V197" s="16">
        <v>40268</v>
      </c>
      <c r="W197" s="1">
        <v>2036.769</v>
      </c>
      <c r="X197" s="15">
        <v>37652</v>
      </c>
      <c r="Y197" s="8">
        <v>25660</v>
      </c>
      <c r="Z197" s="15">
        <v>37621</v>
      </c>
      <c r="AA197" s="8">
        <v>8000</v>
      </c>
      <c r="AB197" s="15">
        <v>37621</v>
      </c>
      <c r="AC197" s="8">
        <v>2020</v>
      </c>
      <c r="AD197" s="15">
        <v>37621</v>
      </c>
      <c r="AE197" s="8">
        <v>3550</v>
      </c>
      <c r="AF197" s="15">
        <v>37621</v>
      </c>
      <c r="AG197" s="8">
        <v>2290</v>
      </c>
      <c r="AH197" s="15">
        <v>37621</v>
      </c>
      <c r="AI197" s="8">
        <v>1350</v>
      </c>
      <c r="AJ197" s="15">
        <v>37621</v>
      </c>
      <c r="AK197" s="8">
        <v>2050</v>
      </c>
      <c r="AL197" s="15">
        <v>37621</v>
      </c>
      <c r="AM197" s="8">
        <v>790</v>
      </c>
      <c r="AN197" s="15">
        <v>37621</v>
      </c>
      <c r="AO197" s="8">
        <v>1990</v>
      </c>
      <c r="AP197" s="5">
        <v>42094</v>
      </c>
      <c r="AQ197" s="4">
        <v>18.065000000000001</v>
      </c>
      <c r="AR197" s="11">
        <v>38230</v>
      </c>
      <c r="AS197" s="11">
        <v>38230</v>
      </c>
      <c r="AT197" s="10">
        <v>39.61</v>
      </c>
    </row>
    <row r="198" spans="1:46" x14ac:dyDescent="0.25">
      <c r="A198" s="16">
        <v>24227</v>
      </c>
      <c r="B198" s="1">
        <v>8272</v>
      </c>
      <c r="C198" s="13" t="str">
        <f t="shared" si="3"/>
        <v>111998</v>
      </c>
      <c r="D198" s="2">
        <v>36129</v>
      </c>
      <c r="E198" s="1">
        <v>-5568</v>
      </c>
      <c r="F198" s="16">
        <v>40298</v>
      </c>
      <c r="G198" s="1">
        <v>8440.41</v>
      </c>
      <c r="H198" s="16">
        <v>40298</v>
      </c>
      <c r="I198" s="1">
        <v>4120.317</v>
      </c>
      <c r="J198" s="16">
        <v>40298</v>
      </c>
      <c r="K198" s="1">
        <v>2374.6979999999999</v>
      </c>
      <c r="L198" s="16">
        <v>40298</v>
      </c>
      <c r="M198" s="1">
        <v>1710</v>
      </c>
      <c r="N198" s="16">
        <v>40298</v>
      </c>
      <c r="O198" s="1">
        <v>2298</v>
      </c>
      <c r="P198" s="16">
        <v>40298</v>
      </c>
      <c r="Q198" s="1">
        <v>9646.2510000000002</v>
      </c>
      <c r="R198" s="16">
        <v>40298</v>
      </c>
      <c r="S198" s="1">
        <v>2410</v>
      </c>
      <c r="T198" s="16">
        <v>40298</v>
      </c>
      <c r="U198" s="1">
        <v>3953.1</v>
      </c>
      <c r="V198" s="16">
        <v>40298</v>
      </c>
      <c r="W198" s="1">
        <v>2077.1930000000002</v>
      </c>
      <c r="X198" s="15">
        <v>37680</v>
      </c>
      <c r="Y198" s="8">
        <v>27310</v>
      </c>
      <c r="Z198" s="15">
        <v>37652</v>
      </c>
      <c r="AA198" s="8">
        <v>8440</v>
      </c>
      <c r="AB198" s="15">
        <v>37652</v>
      </c>
      <c r="AC198" s="8">
        <v>2100</v>
      </c>
      <c r="AD198" s="15">
        <v>37652</v>
      </c>
      <c r="AE198" s="8">
        <v>3610</v>
      </c>
      <c r="AF198" s="15">
        <v>37652</v>
      </c>
      <c r="AG198" s="8">
        <v>2480</v>
      </c>
      <c r="AH198" s="15">
        <v>37652</v>
      </c>
      <c r="AI198" s="8">
        <v>1370</v>
      </c>
      <c r="AJ198" s="15">
        <v>37652</v>
      </c>
      <c r="AK198" s="8">
        <v>2150</v>
      </c>
      <c r="AL198" s="15">
        <v>37652</v>
      </c>
      <c r="AM198" s="8">
        <v>630</v>
      </c>
      <c r="AN198" s="15">
        <v>37652</v>
      </c>
      <c r="AO198" s="8">
        <v>2000</v>
      </c>
      <c r="AP198" s="5">
        <v>42124</v>
      </c>
      <c r="AQ198" s="4">
        <v>17.5</v>
      </c>
      <c r="AR198" s="11">
        <v>38260</v>
      </c>
      <c r="AS198" s="11">
        <v>38260</v>
      </c>
      <c r="AT198" s="10">
        <v>46.38</v>
      </c>
    </row>
    <row r="199" spans="1:46" x14ac:dyDescent="0.25">
      <c r="A199" s="16">
        <v>24258</v>
      </c>
      <c r="B199" s="1">
        <v>8344</v>
      </c>
      <c r="C199" s="13" t="str">
        <f t="shared" si="3"/>
        <v>121998</v>
      </c>
      <c r="D199" s="2">
        <v>36160</v>
      </c>
      <c r="E199" s="1">
        <v>-2658</v>
      </c>
      <c r="F199" s="16">
        <v>40329</v>
      </c>
      <c r="G199" s="1">
        <v>8350.41</v>
      </c>
      <c r="H199" s="16">
        <v>40329</v>
      </c>
      <c r="I199" s="1">
        <v>4120</v>
      </c>
      <c r="J199" s="16">
        <v>40329</v>
      </c>
      <c r="K199" s="1">
        <v>2374.674</v>
      </c>
      <c r="L199" s="16">
        <v>40329</v>
      </c>
      <c r="M199" s="1">
        <v>1710</v>
      </c>
      <c r="N199" s="16">
        <v>40329</v>
      </c>
      <c r="O199" s="1">
        <v>2253</v>
      </c>
      <c r="P199" s="16">
        <v>40329</v>
      </c>
      <c r="Q199" s="1">
        <v>9691</v>
      </c>
      <c r="R199" s="16">
        <v>40329</v>
      </c>
      <c r="S199" s="1">
        <v>2410</v>
      </c>
      <c r="T199" s="16">
        <v>40329</v>
      </c>
      <c r="U199" s="1">
        <v>4048.5</v>
      </c>
      <c r="V199" s="16">
        <v>40329</v>
      </c>
      <c r="W199" s="1">
        <v>2075.2069999999999</v>
      </c>
      <c r="X199" s="15">
        <v>37711</v>
      </c>
      <c r="Y199" s="8">
        <v>27520</v>
      </c>
      <c r="Z199" s="15">
        <v>37680</v>
      </c>
      <c r="AA199" s="8">
        <v>8810</v>
      </c>
      <c r="AB199" s="15">
        <v>37680</v>
      </c>
      <c r="AC199" s="8">
        <v>2190</v>
      </c>
      <c r="AD199" s="15">
        <v>37680</v>
      </c>
      <c r="AE199" s="8">
        <v>3710</v>
      </c>
      <c r="AF199" s="15">
        <v>37680</v>
      </c>
      <c r="AG199" s="8">
        <v>2480</v>
      </c>
      <c r="AH199" s="15">
        <v>37680</v>
      </c>
      <c r="AI199" s="8">
        <v>1410</v>
      </c>
      <c r="AJ199" s="15">
        <v>37680</v>
      </c>
      <c r="AK199" s="8">
        <v>2200</v>
      </c>
      <c r="AL199" s="15">
        <v>37680</v>
      </c>
      <c r="AM199" s="8">
        <v>1600</v>
      </c>
      <c r="AN199" s="15">
        <v>37680</v>
      </c>
      <c r="AO199" s="8">
        <v>2040</v>
      </c>
      <c r="AP199" s="5">
        <v>42155</v>
      </c>
      <c r="AQ199" s="4">
        <v>18.135999999999999</v>
      </c>
      <c r="AR199" s="11">
        <v>38289</v>
      </c>
      <c r="AS199" s="11">
        <v>38289</v>
      </c>
      <c r="AT199" s="10">
        <v>48.98</v>
      </c>
    </row>
    <row r="200" spans="1:46" x14ac:dyDescent="0.25">
      <c r="A200" s="16">
        <v>24288</v>
      </c>
      <c r="B200" s="1">
        <v>8346</v>
      </c>
      <c r="C200" s="13" t="str">
        <f t="shared" si="3"/>
        <v>11999</v>
      </c>
      <c r="D200" s="2">
        <v>36189</v>
      </c>
      <c r="E200" s="1">
        <v>2582</v>
      </c>
      <c r="F200" s="16">
        <v>40359</v>
      </c>
      <c r="G200" s="1">
        <v>8420.41</v>
      </c>
      <c r="H200" s="16">
        <v>40359</v>
      </c>
      <c r="I200" s="1">
        <v>4126.5569999999998</v>
      </c>
      <c r="J200" s="16">
        <v>40359</v>
      </c>
      <c r="K200" s="1">
        <v>2424.674</v>
      </c>
      <c r="L200" s="16">
        <v>40359</v>
      </c>
      <c r="M200" s="1">
        <v>1710</v>
      </c>
      <c r="N200" s="16">
        <v>40359</v>
      </c>
      <c r="O200" s="1">
        <v>2373</v>
      </c>
      <c r="P200" s="16">
        <v>40359</v>
      </c>
      <c r="Q200" s="1">
        <v>9727.3549999999996</v>
      </c>
      <c r="R200" s="16">
        <v>40359</v>
      </c>
      <c r="S200" s="1">
        <v>2410</v>
      </c>
      <c r="T200" s="16">
        <v>40359</v>
      </c>
      <c r="U200" s="1">
        <v>4105.2</v>
      </c>
      <c r="V200" s="16">
        <v>40359</v>
      </c>
      <c r="W200" s="1">
        <v>2051.4180000000001</v>
      </c>
      <c r="X200" s="15">
        <v>37741</v>
      </c>
      <c r="Y200" s="8">
        <v>26700</v>
      </c>
      <c r="Z200" s="15">
        <v>37711</v>
      </c>
      <c r="AA200" s="8">
        <v>9330</v>
      </c>
      <c r="AB200" s="15">
        <v>37711</v>
      </c>
      <c r="AC200" s="8">
        <v>2300</v>
      </c>
      <c r="AD200" s="15">
        <v>37711</v>
      </c>
      <c r="AE200" s="8">
        <v>3750</v>
      </c>
      <c r="AF200" s="15">
        <v>37711</v>
      </c>
      <c r="AG200" s="8">
        <v>1400</v>
      </c>
      <c r="AH200" s="15">
        <v>37711</v>
      </c>
      <c r="AI200" s="8">
        <v>1430</v>
      </c>
      <c r="AJ200" s="15">
        <v>37711</v>
      </c>
      <c r="AK200" s="8">
        <v>1960</v>
      </c>
      <c r="AL200" s="15">
        <v>37711</v>
      </c>
      <c r="AM200" s="8">
        <v>2250</v>
      </c>
      <c r="AN200" s="15">
        <v>37711</v>
      </c>
      <c r="AO200" s="8">
        <v>2220</v>
      </c>
      <c r="AP200" s="5">
        <v>42185</v>
      </c>
      <c r="AQ200" s="4">
        <v>18.116</v>
      </c>
      <c r="AR200" s="11">
        <v>38321</v>
      </c>
      <c r="AS200" s="11">
        <v>38321</v>
      </c>
      <c r="AT200" s="10">
        <v>45.51</v>
      </c>
    </row>
    <row r="201" spans="1:46" x14ac:dyDescent="0.25">
      <c r="A201" s="16">
        <v>24319</v>
      </c>
      <c r="B201" s="1">
        <v>8230</v>
      </c>
      <c r="C201" s="13" t="str">
        <f t="shared" si="3"/>
        <v>21999</v>
      </c>
      <c r="D201" s="2">
        <v>36217</v>
      </c>
      <c r="E201" s="1">
        <v>-3157</v>
      </c>
      <c r="F201" s="16">
        <v>40390</v>
      </c>
      <c r="G201" s="1">
        <v>8420.41</v>
      </c>
      <c r="H201" s="16">
        <v>40390</v>
      </c>
      <c r="I201" s="1">
        <v>4033.3</v>
      </c>
      <c r="J201" s="16">
        <v>40390</v>
      </c>
      <c r="K201" s="1">
        <v>2324.674</v>
      </c>
      <c r="L201" s="16">
        <v>40390</v>
      </c>
      <c r="M201" s="1">
        <v>1710</v>
      </c>
      <c r="N201" s="16">
        <v>40390</v>
      </c>
      <c r="O201" s="1">
        <v>2349</v>
      </c>
      <c r="P201" s="16">
        <v>40390</v>
      </c>
      <c r="Q201" s="1">
        <v>9710</v>
      </c>
      <c r="R201" s="16">
        <v>40390</v>
      </c>
      <c r="S201" s="1">
        <v>2410</v>
      </c>
      <c r="T201" s="16">
        <v>40390</v>
      </c>
      <c r="U201" s="1">
        <v>4059.6</v>
      </c>
      <c r="V201" s="16">
        <v>40390</v>
      </c>
      <c r="W201" s="1">
        <v>2055.6909999999998</v>
      </c>
      <c r="X201" s="15">
        <v>37772</v>
      </c>
      <c r="Y201" s="8">
        <v>26835</v>
      </c>
      <c r="Z201" s="15">
        <v>37741</v>
      </c>
      <c r="AA201" s="8">
        <v>9400</v>
      </c>
      <c r="AB201" s="15">
        <v>37741</v>
      </c>
      <c r="AC201" s="8">
        <v>2300</v>
      </c>
      <c r="AD201" s="15">
        <v>37741</v>
      </c>
      <c r="AE201" s="8">
        <v>3670</v>
      </c>
      <c r="AF201" s="15">
        <v>37741</v>
      </c>
      <c r="AG201" s="8">
        <v>140</v>
      </c>
      <c r="AH201" s="15">
        <v>37741</v>
      </c>
      <c r="AI201" s="8">
        <v>1430</v>
      </c>
      <c r="AJ201" s="15">
        <v>37741</v>
      </c>
      <c r="AK201" s="8">
        <v>1890</v>
      </c>
      <c r="AL201" s="15">
        <v>37741</v>
      </c>
      <c r="AM201" s="8">
        <v>2630</v>
      </c>
      <c r="AN201" s="15">
        <v>37741</v>
      </c>
      <c r="AO201" s="8">
        <v>2330</v>
      </c>
      <c r="AP201" s="5">
        <v>42216</v>
      </c>
      <c r="AQ201" s="4">
        <v>18.103000000000002</v>
      </c>
      <c r="AR201" s="11">
        <v>38352</v>
      </c>
      <c r="AS201" s="11">
        <v>38352</v>
      </c>
      <c r="AT201" s="10">
        <v>40.46</v>
      </c>
    </row>
    <row r="202" spans="1:46" x14ac:dyDescent="0.25">
      <c r="A202" s="16">
        <v>24350</v>
      </c>
      <c r="B202" s="1">
        <v>8252</v>
      </c>
      <c r="C202" s="13" t="str">
        <f t="shared" si="3"/>
        <v>31999</v>
      </c>
      <c r="D202" s="2">
        <v>36250</v>
      </c>
      <c r="E202" s="1">
        <v>3803</v>
      </c>
      <c r="F202" s="16">
        <v>40421</v>
      </c>
      <c r="G202" s="1">
        <v>8430.41</v>
      </c>
      <c r="H202" s="16">
        <v>40421</v>
      </c>
      <c r="I202" s="1">
        <v>4039.8910000000001</v>
      </c>
      <c r="J202" s="16">
        <v>40421</v>
      </c>
      <c r="K202" s="1">
        <v>2324.674</v>
      </c>
      <c r="L202" s="16">
        <v>40421</v>
      </c>
      <c r="M202" s="1">
        <v>1710</v>
      </c>
      <c r="N202" s="16">
        <v>40421</v>
      </c>
      <c r="O202" s="1">
        <v>2449</v>
      </c>
      <c r="P202" s="16">
        <v>40421</v>
      </c>
      <c r="Q202" s="1">
        <v>9623</v>
      </c>
      <c r="R202" s="16">
        <v>40421</v>
      </c>
      <c r="S202" s="1">
        <v>2410</v>
      </c>
      <c r="T202" s="16">
        <v>40421</v>
      </c>
      <c r="U202" s="1">
        <v>4104</v>
      </c>
      <c r="V202" s="16">
        <v>40421</v>
      </c>
      <c r="W202" s="1">
        <v>2078.1550000000002</v>
      </c>
      <c r="X202" s="15">
        <v>37802</v>
      </c>
      <c r="Y202" s="8">
        <v>26340</v>
      </c>
      <c r="Z202" s="15">
        <v>37772</v>
      </c>
      <c r="AA202" s="8">
        <v>9200</v>
      </c>
      <c r="AB202" s="15">
        <v>37772</v>
      </c>
      <c r="AC202" s="8">
        <v>2270</v>
      </c>
      <c r="AD202" s="15">
        <v>37772</v>
      </c>
      <c r="AE202" s="8">
        <v>3700</v>
      </c>
      <c r="AF202" s="15">
        <v>37772</v>
      </c>
      <c r="AG202" s="8">
        <v>305</v>
      </c>
      <c r="AH202" s="15">
        <v>37772</v>
      </c>
      <c r="AI202" s="8">
        <v>1440</v>
      </c>
      <c r="AJ202" s="15">
        <v>37772</v>
      </c>
      <c r="AK202" s="8">
        <v>2050</v>
      </c>
      <c r="AL202" s="15">
        <v>37772</v>
      </c>
      <c r="AM202" s="8">
        <v>2680</v>
      </c>
      <c r="AN202" s="15">
        <v>37772</v>
      </c>
      <c r="AO202" s="8">
        <v>2280</v>
      </c>
      <c r="AP202" s="5">
        <v>42247</v>
      </c>
      <c r="AQ202" s="4">
        <v>18.167000000000002</v>
      </c>
      <c r="AR202" s="11">
        <v>38383</v>
      </c>
      <c r="AS202" s="11">
        <v>38383</v>
      </c>
      <c r="AT202" s="10">
        <v>45.92</v>
      </c>
    </row>
    <row r="203" spans="1:46" x14ac:dyDescent="0.25">
      <c r="A203" s="16">
        <v>24380</v>
      </c>
      <c r="B203" s="1">
        <v>8254</v>
      </c>
      <c r="C203" s="13" t="str">
        <f t="shared" si="3"/>
        <v>41999</v>
      </c>
      <c r="D203" s="2">
        <v>36280</v>
      </c>
      <c r="E203" s="1">
        <v>-2141</v>
      </c>
      <c r="F203" s="16">
        <v>40451</v>
      </c>
      <c r="G203" s="1">
        <v>8420.41</v>
      </c>
      <c r="H203" s="16">
        <v>40451</v>
      </c>
      <c r="I203" s="1">
        <v>4047</v>
      </c>
      <c r="J203" s="16">
        <v>40451</v>
      </c>
      <c r="K203" s="1">
        <v>2375</v>
      </c>
      <c r="L203" s="16">
        <v>40451</v>
      </c>
      <c r="M203" s="1">
        <v>1710</v>
      </c>
      <c r="N203" s="16">
        <v>40451</v>
      </c>
      <c r="O203" s="1">
        <v>2516</v>
      </c>
      <c r="P203" s="16">
        <v>40451</v>
      </c>
      <c r="Q203" s="1">
        <v>9725</v>
      </c>
      <c r="R203" s="16">
        <v>40451</v>
      </c>
      <c r="S203" s="1">
        <v>2410</v>
      </c>
      <c r="T203" s="16">
        <v>40451</v>
      </c>
      <c r="U203" s="1">
        <v>4187.3999999999996</v>
      </c>
      <c r="V203" s="16">
        <v>40451</v>
      </c>
      <c r="W203" s="1">
        <v>1997.6690000000001</v>
      </c>
      <c r="X203" s="15">
        <v>37833</v>
      </c>
      <c r="Y203" s="8">
        <v>26650</v>
      </c>
      <c r="Z203" s="15">
        <v>37802</v>
      </c>
      <c r="AA203" s="8">
        <v>8630</v>
      </c>
      <c r="AB203" s="15">
        <v>37802</v>
      </c>
      <c r="AC203" s="8">
        <v>2240</v>
      </c>
      <c r="AD203" s="15">
        <v>37802</v>
      </c>
      <c r="AE203" s="8">
        <v>3700</v>
      </c>
      <c r="AF203" s="15">
        <v>37802</v>
      </c>
      <c r="AG203" s="8">
        <v>640</v>
      </c>
      <c r="AH203" s="15">
        <v>37802</v>
      </c>
      <c r="AI203" s="8">
        <v>1430</v>
      </c>
      <c r="AJ203" s="15">
        <v>37802</v>
      </c>
      <c r="AK203" s="8">
        <v>2100</v>
      </c>
      <c r="AL203" s="15">
        <v>37802</v>
      </c>
      <c r="AM203" s="8">
        <v>2640</v>
      </c>
      <c r="AN203" s="15">
        <v>37802</v>
      </c>
      <c r="AO203" s="8">
        <v>2080</v>
      </c>
      <c r="AP203" s="5">
        <v>42277</v>
      </c>
      <c r="AQ203" s="4">
        <v>17.739999999999998</v>
      </c>
      <c r="AR203" s="11">
        <v>38411</v>
      </c>
      <c r="AS203" s="11">
        <v>38411</v>
      </c>
      <c r="AT203" s="10">
        <v>50.06</v>
      </c>
    </row>
    <row r="204" spans="1:46" x14ac:dyDescent="0.25">
      <c r="A204" s="16">
        <v>24411</v>
      </c>
      <c r="B204" s="1">
        <v>8323</v>
      </c>
      <c r="C204" s="13" t="str">
        <f t="shared" si="3"/>
        <v>51999</v>
      </c>
      <c r="D204" s="2">
        <v>36311</v>
      </c>
      <c r="E204" s="1">
        <v>-1047</v>
      </c>
      <c r="F204" s="16">
        <v>40482</v>
      </c>
      <c r="G204" s="1">
        <v>8410.41</v>
      </c>
      <c r="H204" s="16">
        <v>40482</v>
      </c>
      <c r="I204" s="1">
        <v>4053</v>
      </c>
      <c r="J204" s="16">
        <v>40482</v>
      </c>
      <c r="K204" s="1">
        <v>2375</v>
      </c>
      <c r="L204" s="16">
        <v>40482</v>
      </c>
      <c r="M204" s="1">
        <v>1710</v>
      </c>
      <c r="N204" s="16">
        <v>40482</v>
      </c>
      <c r="O204" s="1">
        <v>2533</v>
      </c>
      <c r="P204" s="16">
        <v>40482</v>
      </c>
      <c r="Q204" s="1">
        <v>9816</v>
      </c>
      <c r="R204" s="16">
        <v>40482</v>
      </c>
      <c r="S204" s="1">
        <v>2410</v>
      </c>
      <c r="T204" s="16">
        <v>40482</v>
      </c>
      <c r="U204" s="1">
        <v>4185.6000000000004</v>
      </c>
      <c r="V204" s="16">
        <v>40482</v>
      </c>
      <c r="W204" s="1">
        <v>1997.6980000000001</v>
      </c>
      <c r="X204" s="15">
        <v>37864</v>
      </c>
      <c r="Y204" s="8">
        <v>27060</v>
      </c>
      <c r="Z204" s="15">
        <v>37833</v>
      </c>
      <c r="AA204" s="8">
        <v>8710</v>
      </c>
      <c r="AB204" s="15">
        <v>37833</v>
      </c>
      <c r="AC204" s="8">
        <v>2270</v>
      </c>
      <c r="AD204" s="15">
        <v>37833</v>
      </c>
      <c r="AE204" s="8">
        <v>3700</v>
      </c>
      <c r="AF204" s="15">
        <v>37833</v>
      </c>
      <c r="AG204" s="8">
        <v>850</v>
      </c>
      <c r="AH204" s="15">
        <v>37833</v>
      </c>
      <c r="AI204" s="8">
        <v>1430</v>
      </c>
      <c r="AJ204" s="15">
        <v>37833</v>
      </c>
      <c r="AK204" s="8">
        <v>2100</v>
      </c>
      <c r="AL204" s="15">
        <v>37833</v>
      </c>
      <c r="AM204" s="8">
        <v>2610</v>
      </c>
      <c r="AN204" s="15">
        <v>37833</v>
      </c>
      <c r="AO204" s="8">
        <v>2100</v>
      </c>
      <c r="AP204" s="5">
        <v>42308</v>
      </c>
      <c r="AQ204" s="4">
        <v>18.087</v>
      </c>
      <c r="AR204" s="11">
        <v>38442</v>
      </c>
      <c r="AS204" s="11">
        <v>38442</v>
      </c>
      <c r="AT204" s="10">
        <v>54.29</v>
      </c>
    </row>
    <row r="205" spans="1:46" x14ac:dyDescent="0.25">
      <c r="A205" s="16">
        <v>24441</v>
      </c>
      <c r="B205" s="1">
        <v>8427</v>
      </c>
      <c r="C205" s="13" t="str">
        <f t="shared" si="3"/>
        <v>61999</v>
      </c>
      <c r="D205" s="2">
        <v>36341</v>
      </c>
      <c r="E205" s="1">
        <v>-1724</v>
      </c>
      <c r="F205" s="16">
        <v>40512</v>
      </c>
      <c r="G205" s="1">
        <v>8460.41</v>
      </c>
      <c r="H205" s="16">
        <v>40512</v>
      </c>
      <c r="I205" s="1">
        <v>4060</v>
      </c>
      <c r="J205" s="16">
        <v>40512</v>
      </c>
      <c r="K205" s="1">
        <v>2375</v>
      </c>
      <c r="L205" s="16">
        <v>40512</v>
      </c>
      <c r="M205" s="1">
        <v>1710</v>
      </c>
      <c r="N205" s="16">
        <v>40512</v>
      </c>
      <c r="O205" s="1">
        <v>2462</v>
      </c>
      <c r="P205" s="16">
        <v>40512</v>
      </c>
      <c r="Q205" s="1">
        <v>9723</v>
      </c>
      <c r="R205" s="16">
        <v>40512</v>
      </c>
      <c r="S205" s="1">
        <v>2410</v>
      </c>
      <c r="T205" s="16">
        <v>40512</v>
      </c>
      <c r="U205" s="1">
        <v>4280.6000000000004</v>
      </c>
      <c r="V205" s="16">
        <v>40512</v>
      </c>
      <c r="W205" s="1">
        <v>2089.0329999999999</v>
      </c>
      <c r="X205" s="15">
        <v>37894</v>
      </c>
      <c r="Y205" s="8">
        <v>27350</v>
      </c>
      <c r="Z205" s="15">
        <v>37864</v>
      </c>
      <c r="AA205" s="8">
        <v>8690</v>
      </c>
      <c r="AB205" s="15">
        <v>37864</v>
      </c>
      <c r="AC205" s="8">
        <v>2300</v>
      </c>
      <c r="AD205" s="15">
        <v>37864</v>
      </c>
      <c r="AE205" s="8">
        <v>3700</v>
      </c>
      <c r="AF205" s="15">
        <v>37864</v>
      </c>
      <c r="AG205" s="8">
        <v>1280</v>
      </c>
      <c r="AH205" s="15">
        <v>37864</v>
      </c>
      <c r="AI205" s="8">
        <v>1410</v>
      </c>
      <c r="AJ205" s="15">
        <v>37864</v>
      </c>
      <c r="AK205" s="8">
        <v>2140</v>
      </c>
      <c r="AL205" s="15">
        <v>37864</v>
      </c>
      <c r="AM205" s="8">
        <v>2590</v>
      </c>
      <c r="AN205" s="15">
        <v>37864</v>
      </c>
      <c r="AO205" s="8">
        <v>2080</v>
      </c>
      <c r="AP205" s="5">
        <v>42338</v>
      </c>
      <c r="AQ205" s="4">
        <v>17.66</v>
      </c>
      <c r="AR205" s="11">
        <v>38471</v>
      </c>
      <c r="AS205" s="11">
        <v>38471</v>
      </c>
      <c r="AT205" s="10">
        <v>51.09</v>
      </c>
    </row>
    <row r="206" spans="1:46" x14ac:dyDescent="0.25">
      <c r="A206" s="16">
        <v>24472</v>
      </c>
      <c r="B206" s="1">
        <v>8511</v>
      </c>
      <c r="C206" s="13" t="str">
        <f t="shared" si="3"/>
        <v>71999</v>
      </c>
      <c r="D206" s="2">
        <v>36371</v>
      </c>
      <c r="E206" s="1">
        <v>-3400</v>
      </c>
      <c r="F206" s="16">
        <v>40543</v>
      </c>
      <c r="G206" s="1">
        <v>8510.41</v>
      </c>
      <c r="H206" s="16">
        <v>40543</v>
      </c>
      <c r="I206" s="1">
        <v>4068</v>
      </c>
      <c r="J206" s="16">
        <v>40543</v>
      </c>
      <c r="K206" s="1">
        <v>2525</v>
      </c>
      <c r="L206" s="16">
        <v>40543</v>
      </c>
      <c r="M206" s="1">
        <v>1710</v>
      </c>
      <c r="N206" s="16">
        <v>40543</v>
      </c>
      <c r="O206" s="1">
        <v>2433</v>
      </c>
      <c r="P206" s="16">
        <v>40543</v>
      </c>
      <c r="Q206" s="1">
        <v>9719</v>
      </c>
      <c r="R206" s="16">
        <v>40543</v>
      </c>
      <c r="S206" s="1">
        <v>2410</v>
      </c>
      <c r="T206" s="16">
        <v>40543</v>
      </c>
      <c r="U206" s="1">
        <v>4126</v>
      </c>
      <c r="V206" s="16">
        <v>40543</v>
      </c>
      <c r="W206" s="1">
        <v>2180.0749999999998</v>
      </c>
      <c r="X206" s="15">
        <v>37925</v>
      </c>
      <c r="Y206" s="8">
        <v>27840</v>
      </c>
      <c r="Z206" s="15">
        <v>37894</v>
      </c>
      <c r="AA206" s="8">
        <v>8500</v>
      </c>
      <c r="AB206" s="15">
        <v>37894</v>
      </c>
      <c r="AC206" s="8">
        <v>2280</v>
      </c>
      <c r="AD206" s="15">
        <v>37894</v>
      </c>
      <c r="AE206" s="8">
        <v>3750</v>
      </c>
      <c r="AF206" s="15">
        <v>37894</v>
      </c>
      <c r="AG206" s="8">
        <v>1700</v>
      </c>
      <c r="AH206" s="15">
        <v>37894</v>
      </c>
      <c r="AI206" s="8">
        <v>1440</v>
      </c>
      <c r="AJ206" s="15">
        <v>37894</v>
      </c>
      <c r="AK206" s="8">
        <v>2130</v>
      </c>
      <c r="AL206" s="15">
        <v>37894</v>
      </c>
      <c r="AM206" s="8">
        <v>2550</v>
      </c>
      <c r="AN206" s="15">
        <v>37894</v>
      </c>
      <c r="AO206" s="8">
        <v>2100</v>
      </c>
      <c r="AP206" s="5">
        <v>42369</v>
      </c>
      <c r="AQ206" s="4">
        <v>18.154</v>
      </c>
      <c r="AR206" s="11">
        <v>38503</v>
      </c>
      <c r="AS206" s="11">
        <v>38503</v>
      </c>
      <c r="AT206" s="10">
        <v>50.73</v>
      </c>
    </row>
    <row r="207" spans="1:46" x14ac:dyDescent="0.25">
      <c r="A207" s="16">
        <v>24503</v>
      </c>
      <c r="B207" s="1">
        <v>8567</v>
      </c>
      <c r="C207" s="13" t="str">
        <f t="shared" si="3"/>
        <v>81999</v>
      </c>
      <c r="D207" s="2">
        <v>36403</v>
      </c>
      <c r="E207" s="1">
        <v>562</v>
      </c>
      <c r="F207" s="16">
        <v>40574</v>
      </c>
      <c r="G207" s="1">
        <v>8917.6020000000008</v>
      </c>
      <c r="H207" s="16">
        <v>40574</v>
      </c>
      <c r="I207" s="1">
        <v>4076</v>
      </c>
      <c r="J207" s="16">
        <v>40574</v>
      </c>
      <c r="K207" s="1">
        <v>2625</v>
      </c>
      <c r="L207" s="16">
        <v>40574</v>
      </c>
      <c r="M207" s="1">
        <v>1670</v>
      </c>
      <c r="N207" s="16">
        <v>40574</v>
      </c>
      <c r="O207" s="1">
        <v>2547</v>
      </c>
      <c r="P207" s="16">
        <v>40574</v>
      </c>
      <c r="Q207" s="1">
        <v>9769</v>
      </c>
      <c r="R207" s="16">
        <v>40574</v>
      </c>
      <c r="S207" s="1">
        <v>2500</v>
      </c>
      <c r="T207" s="16">
        <v>40574</v>
      </c>
      <c r="U207" s="1">
        <v>4237.5</v>
      </c>
      <c r="V207" s="16">
        <v>40574</v>
      </c>
      <c r="W207" s="1">
        <v>2122.2800000000002</v>
      </c>
      <c r="X207" s="15">
        <v>37955</v>
      </c>
      <c r="Y207" s="8">
        <v>28180</v>
      </c>
      <c r="Z207" s="15">
        <v>37925</v>
      </c>
      <c r="AA207" s="8">
        <v>8540</v>
      </c>
      <c r="AB207" s="15">
        <v>37925</v>
      </c>
      <c r="AC207" s="8">
        <v>2240</v>
      </c>
      <c r="AD207" s="15">
        <v>37925</v>
      </c>
      <c r="AE207" s="8">
        <v>3840</v>
      </c>
      <c r="AF207" s="15">
        <v>37925</v>
      </c>
      <c r="AG207" s="8">
        <v>1860</v>
      </c>
      <c r="AH207" s="15">
        <v>37925</v>
      </c>
      <c r="AI207" s="8">
        <v>1470</v>
      </c>
      <c r="AJ207" s="15">
        <v>37925</v>
      </c>
      <c r="AK207" s="8">
        <v>2190</v>
      </c>
      <c r="AL207" s="15">
        <v>37925</v>
      </c>
      <c r="AM207" s="8">
        <v>2620</v>
      </c>
      <c r="AN207" s="15">
        <v>37925</v>
      </c>
      <c r="AO207" s="8">
        <v>2190</v>
      </c>
      <c r="AP207" s="5">
        <v>42460</v>
      </c>
      <c r="AQ207" s="4">
        <v>17.373000000000001</v>
      </c>
      <c r="AR207" s="11">
        <v>38533</v>
      </c>
      <c r="AS207" s="11">
        <v>38533</v>
      </c>
      <c r="AT207" s="10">
        <v>55.58</v>
      </c>
    </row>
    <row r="208" spans="1:46" x14ac:dyDescent="0.25">
      <c r="A208" s="16">
        <v>24531</v>
      </c>
      <c r="B208" s="1">
        <v>8620</v>
      </c>
      <c r="C208" s="13" t="str">
        <f t="shared" si="3"/>
        <v>91999</v>
      </c>
      <c r="D208" s="2">
        <v>36433</v>
      </c>
      <c r="E208" s="1">
        <v>-4257</v>
      </c>
      <c r="F208" s="16">
        <v>40602</v>
      </c>
      <c r="G208" s="1">
        <v>9337.6020000000008</v>
      </c>
      <c r="H208" s="16">
        <v>40602</v>
      </c>
      <c r="I208" s="1">
        <v>4084</v>
      </c>
      <c r="J208" s="16">
        <v>40602</v>
      </c>
      <c r="K208" s="1">
        <v>2525</v>
      </c>
      <c r="L208" s="16">
        <v>40602</v>
      </c>
      <c r="M208" s="1">
        <v>1360</v>
      </c>
      <c r="N208" s="16">
        <v>40602</v>
      </c>
      <c r="O208" s="1">
        <v>2508</v>
      </c>
      <c r="P208" s="16">
        <v>40602</v>
      </c>
      <c r="Q208" s="1">
        <v>9773</v>
      </c>
      <c r="R208" s="16">
        <v>40602</v>
      </c>
      <c r="S208" s="1">
        <v>2500</v>
      </c>
      <c r="T208" s="16">
        <v>40602</v>
      </c>
      <c r="U208" s="1">
        <v>4188.3999999999996</v>
      </c>
      <c r="V208" s="16">
        <v>40602</v>
      </c>
      <c r="W208" s="1">
        <v>2062.145</v>
      </c>
      <c r="X208" s="15">
        <v>37986</v>
      </c>
      <c r="Y208" s="8">
        <v>28200</v>
      </c>
      <c r="Z208" s="15">
        <v>37955</v>
      </c>
      <c r="AA208" s="8">
        <v>8530</v>
      </c>
      <c r="AB208" s="15">
        <v>37955</v>
      </c>
      <c r="AC208" s="8">
        <v>2190</v>
      </c>
      <c r="AD208" s="15">
        <v>37955</v>
      </c>
      <c r="AE208" s="8">
        <v>3950</v>
      </c>
      <c r="AF208" s="15">
        <v>37955</v>
      </c>
      <c r="AG208" s="8">
        <v>2060</v>
      </c>
      <c r="AH208" s="15">
        <v>37955</v>
      </c>
      <c r="AI208" s="8">
        <v>1470</v>
      </c>
      <c r="AJ208" s="15">
        <v>37955</v>
      </c>
      <c r="AK208" s="8">
        <v>2230</v>
      </c>
      <c r="AL208" s="15">
        <v>37955</v>
      </c>
      <c r="AM208" s="8">
        <v>2590</v>
      </c>
      <c r="AN208" s="15">
        <v>37955</v>
      </c>
      <c r="AO208" s="8">
        <v>2260</v>
      </c>
      <c r="AP208" s="5">
        <v>42490</v>
      </c>
      <c r="AQ208" s="4">
        <v>16.587</v>
      </c>
      <c r="AR208" s="11">
        <v>38562</v>
      </c>
      <c r="AS208" s="11">
        <v>38562</v>
      </c>
      <c r="AT208" s="10">
        <v>59.37</v>
      </c>
    </row>
    <row r="209" spans="1:46" x14ac:dyDescent="0.25">
      <c r="A209" s="16">
        <v>24562</v>
      </c>
      <c r="B209" s="1">
        <v>8544</v>
      </c>
      <c r="C209" s="13" t="str">
        <f t="shared" si="3"/>
        <v>101999</v>
      </c>
      <c r="D209" s="2">
        <v>36462</v>
      </c>
      <c r="E209" s="1">
        <v>3721</v>
      </c>
      <c r="F209" s="16">
        <v>40633</v>
      </c>
      <c r="G209" s="1">
        <v>9137.6020000000008</v>
      </c>
      <c r="H209" s="16">
        <v>40633</v>
      </c>
      <c r="I209" s="1">
        <v>4092</v>
      </c>
      <c r="J209" s="16">
        <v>40633</v>
      </c>
      <c r="K209" s="1">
        <v>2525</v>
      </c>
      <c r="L209" s="16">
        <v>40633</v>
      </c>
      <c r="M209" s="1">
        <v>320</v>
      </c>
      <c r="N209" s="16">
        <v>40633</v>
      </c>
      <c r="O209" s="1">
        <v>2387</v>
      </c>
      <c r="P209" s="16">
        <v>40633</v>
      </c>
      <c r="Q209" s="1">
        <v>9753</v>
      </c>
      <c r="R209" s="16">
        <v>40633</v>
      </c>
      <c r="S209" s="1">
        <v>2500</v>
      </c>
      <c r="T209" s="16">
        <v>40633</v>
      </c>
      <c r="U209" s="1">
        <v>4159.8</v>
      </c>
      <c r="V209" s="16">
        <v>40633</v>
      </c>
      <c r="W209" s="1">
        <v>2082.0419999999999</v>
      </c>
      <c r="X209" s="15">
        <v>38017</v>
      </c>
      <c r="Y209" s="8">
        <v>28080</v>
      </c>
      <c r="Z209" s="15">
        <v>37986</v>
      </c>
      <c r="AA209" s="8">
        <v>8520</v>
      </c>
      <c r="AB209" s="15">
        <v>37986</v>
      </c>
      <c r="AC209" s="8">
        <v>2280</v>
      </c>
      <c r="AD209" s="15">
        <v>37986</v>
      </c>
      <c r="AE209" s="8">
        <v>3930</v>
      </c>
      <c r="AF209" s="15">
        <v>37986</v>
      </c>
      <c r="AG209" s="8">
        <v>1980</v>
      </c>
      <c r="AH209" s="15">
        <v>37986</v>
      </c>
      <c r="AI209" s="8">
        <v>1480</v>
      </c>
      <c r="AJ209" s="15">
        <v>37986</v>
      </c>
      <c r="AK209" s="8">
        <v>2260</v>
      </c>
      <c r="AL209" s="15">
        <v>37986</v>
      </c>
      <c r="AM209" s="8">
        <v>2580</v>
      </c>
      <c r="AN209" s="15">
        <v>37986</v>
      </c>
      <c r="AO209" s="8">
        <v>2260</v>
      </c>
      <c r="AP209" s="5">
        <v>42521</v>
      </c>
      <c r="AQ209" s="4">
        <v>16.870999999999999</v>
      </c>
      <c r="AR209" s="11">
        <v>38595</v>
      </c>
      <c r="AS209" s="11">
        <v>38595</v>
      </c>
      <c r="AT209" s="10">
        <v>67.02</v>
      </c>
    </row>
    <row r="210" spans="1:46" x14ac:dyDescent="0.25">
      <c r="A210" s="16">
        <v>24592</v>
      </c>
      <c r="B210" s="1">
        <v>8475</v>
      </c>
      <c r="C210" s="13" t="str">
        <f t="shared" si="3"/>
        <v>111999</v>
      </c>
      <c r="D210" s="2">
        <v>36494</v>
      </c>
      <c r="E210" s="1">
        <v>-4354</v>
      </c>
      <c r="F210" s="16">
        <v>40663</v>
      </c>
      <c r="G210" s="1">
        <v>9137.6020000000008</v>
      </c>
      <c r="H210" s="16">
        <v>40663</v>
      </c>
      <c r="I210" s="1">
        <v>4100</v>
      </c>
      <c r="J210" s="16">
        <v>40663</v>
      </c>
      <c r="K210" s="1">
        <v>2525</v>
      </c>
      <c r="L210" s="16">
        <v>40663</v>
      </c>
      <c r="M210" s="1">
        <v>220</v>
      </c>
      <c r="N210" s="16">
        <v>40663</v>
      </c>
      <c r="O210" s="1">
        <v>2408</v>
      </c>
      <c r="P210" s="16">
        <v>40663</v>
      </c>
      <c r="Q210" s="1">
        <v>9795</v>
      </c>
      <c r="R210" s="16">
        <v>40663</v>
      </c>
      <c r="S210" s="1">
        <v>2500</v>
      </c>
      <c r="T210" s="16">
        <v>40663</v>
      </c>
      <c r="U210" s="1">
        <v>4127.3</v>
      </c>
      <c r="V210" s="16">
        <v>40663</v>
      </c>
      <c r="W210" s="1">
        <v>2051.9050000000002</v>
      </c>
      <c r="X210" s="15">
        <v>38046</v>
      </c>
      <c r="Y210" s="8">
        <v>28030</v>
      </c>
      <c r="Z210" s="15">
        <v>38017</v>
      </c>
      <c r="AA210" s="8">
        <v>8480</v>
      </c>
      <c r="AB210" s="15">
        <v>38017</v>
      </c>
      <c r="AC210" s="8">
        <v>2260</v>
      </c>
      <c r="AD210" s="15">
        <v>38017</v>
      </c>
      <c r="AE210" s="8">
        <v>3920</v>
      </c>
      <c r="AF210" s="15">
        <v>38017</v>
      </c>
      <c r="AG210" s="8">
        <v>1960</v>
      </c>
      <c r="AH210" s="15">
        <v>38017</v>
      </c>
      <c r="AI210" s="8">
        <v>1480</v>
      </c>
      <c r="AJ210" s="15">
        <v>38017</v>
      </c>
      <c r="AK210" s="8">
        <v>2300</v>
      </c>
      <c r="AL210" s="15">
        <v>38017</v>
      </c>
      <c r="AM210" s="8">
        <v>2580</v>
      </c>
      <c r="AN210" s="15">
        <v>38017</v>
      </c>
      <c r="AO210" s="8">
        <v>2220</v>
      </c>
      <c r="AP210" s="5">
        <v>42551</v>
      </c>
      <c r="AQ210" s="4">
        <v>16.579000000000001</v>
      </c>
      <c r="AR210" s="11">
        <v>38625</v>
      </c>
      <c r="AS210" s="11">
        <v>38625</v>
      </c>
      <c r="AT210" s="10">
        <v>63.48</v>
      </c>
    </row>
    <row r="211" spans="1:46" x14ac:dyDescent="0.25">
      <c r="A211" s="16">
        <v>24623</v>
      </c>
      <c r="B211" s="1">
        <v>8385</v>
      </c>
      <c r="C211" s="13" t="str">
        <f t="shared" si="3"/>
        <v>121999</v>
      </c>
      <c r="D211" s="2">
        <v>36525</v>
      </c>
      <c r="E211" s="1">
        <v>-1719</v>
      </c>
      <c r="F211" s="16">
        <v>40694</v>
      </c>
      <c r="G211" s="1">
        <v>9137.6020000000008</v>
      </c>
      <c r="H211" s="16">
        <v>40694</v>
      </c>
      <c r="I211" s="1">
        <v>4100</v>
      </c>
      <c r="J211" s="16">
        <v>40694</v>
      </c>
      <c r="K211" s="1">
        <v>2575</v>
      </c>
      <c r="L211" s="16">
        <v>40694</v>
      </c>
      <c r="M211" s="1">
        <v>220</v>
      </c>
      <c r="N211" s="16">
        <v>40694</v>
      </c>
      <c r="O211" s="1">
        <v>2536</v>
      </c>
      <c r="P211" s="16">
        <v>40694</v>
      </c>
      <c r="Q211" s="1">
        <v>9818</v>
      </c>
      <c r="R211" s="16">
        <v>40694</v>
      </c>
      <c r="S211" s="1">
        <v>2500</v>
      </c>
      <c r="T211" s="16">
        <v>40694</v>
      </c>
      <c r="U211" s="1">
        <v>4105.6000000000004</v>
      </c>
      <c r="V211" s="16">
        <v>40694</v>
      </c>
      <c r="W211" s="1">
        <v>2071.6219999999998</v>
      </c>
      <c r="X211" s="15">
        <v>38077</v>
      </c>
      <c r="Y211" s="8">
        <v>28450</v>
      </c>
      <c r="Z211" s="15">
        <v>38046</v>
      </c>
      <c r="AA211" s="8">
        <v>8440</v>
      </c>
      <c r="AB211" s="15">
        <v>38046</v>
      </c>
      <c r="AC211" s="8">
        <v>2280</v>
      </c>
      <c r="AD211" s="15">
        <v>38046</v>
      </c>
      <c r="AE211" s="8">
        <v>3950</v>
      </c>
      <c r="AF211" s="15">
        <v>38046</v>
      </c>
      <c r="AG211" s="8">
        <v>1970</v>
      </c>
      <c r="AH211" s="15">
        <v>38046</v>
      </c>
      <c r="AI211" s="8">
        <v>1490</v>
      </c>
      <c r="AJ211" s="15">
        <v>38046</v>
      </c>
      <c r="AK211" s="8">
        <v>2280</v>
      </c>
      <c r="AL211" s="15">
        <v>38046</v>
      </c>
      <c r="AM211" s="8">
        <v>2540</v>
      </c>
      <c r="AN211" s="15">
        <v>38046</v>
      </c>
      <c r="AO211" s="8">
        <v>2210</v>
      </c>
      <c r="AP211" s="5">
        <v>42582</v>
      </c>
      <c r="AQ211" s="4">
        <v>16.722999999999999</v>
      </c>
      <c r="AR211" s="11">
        <v>38656</v>
      </c>
      <c r="AS211" s="11">
        <v>38656</v>
      </c>
      <c r="AT211" s="10">
        <v>58.1</v>
      </c>
    </row>
    <row r="212" spans="1:46" x14ac:dyDescent="0.25">
      <c r="A212" s="16">
        <v>24653</v>
      </c>
      <c r="B212" s="1">
        <v>8539</v>
      </c>
      <c r="C212" s="13" t="str">
        <f t="shared" si="3"/>
        <v>12000</v>
      </c>
      <c r="D212" s="2">
        <v>36556</v>
      </c>
      <c r="E212" s="1">
        <v>-8418</v>
      </c>
      <c r="F212" s="16">
        <v>40724</v>
      </c>
      <c r="G212" s="1">
        <v>9837.6020000000008</v>
      </c>
      <c r="H212" s="16">
        <v>40724</v>
      </c>
      <c r="I212" s="1">
        <v>4100</v>
      </c>
      <c r="J212" s="16">
        <v>40724</v>
      </c>
      <c r="K212" s="1">
        <v>2575</v>
      </c>
      <c r="L212" s="16">
        <v>40724</v>
      </c>
      <c r="M212" s="1">
        <v>120</v>
      </c>
      <c r="N212" s="16">
        <v>40724</v>
      </c>
      <c r="O212" s="1">
        <v>2539</v>
      </c>
      <c r="P212" s="16">
        <v>40724</v>
      </c>
      <c r="Q212" s="1">
        <v>9770</v>
      </c>
      <c r="R212" s="16">
        <v>40724</v>
      </c>
      <c r="S212" s="1">
        <v>2500</v>
      </c>
      <c r="T212" s="16">
        <v>40724</v>
      </c>
      <c r="U212" s="1">
        <v>4017.3</v>
      </c>
      <c r="V212" s="16">
        <v>40724</v>
      </c>
      <c r="W212" s="1">
        <v>2137.0039999999999</v>
      </c>
      <c r="X212" s="15">
        <v>38107</v>
      </c>
      <c r="Y212" s="8">
        <v>28200</v>
      </c>
      <c r="Z212" s="15">
        <v>38077</v>
      </c>
      <c r="AA212" s="8">
        <v>8420</v>
      </c>
      <c r="AB212" s="15">
        <v>38077</v>
      </c>
      <c r="AC212" s="8">
        <v>2270</v>
      </c>
      <c r="AD212" s="15">
        <v>38077</v>
      </c>
      <c r="AE212" s="8">
        <v>3940</v>
      </c>
      <c r="AF212" s="15">
        <v>38077</v>
      </c>
      <c r="AG212" s="8">
        <v>2380</v>
      </c>
      <c r="AH212" s="15">
        <v>38077</v>
      </c>
      <c r="AI212" s="8">
        <v>1490</v>
      </c>
      <c r="AJ212" s="15">
        <v>38077</v>
      </c>
      <c r="AK212" s="8">
        <v>2310</v>
      </c>
      <c r="AL212" s="15">
        <v>38077</v>
      </c>
      <c r="AM212" s="8">
        <v>2530</v>
      </c>
      <c r="AN212" s="15">
        <v>38077</v>
      </c>
      <c r="AO212" s="8">
        <v>2230</v>
      </c>
      <c r="AP212" s="5">
        <v>42613</v>
      </c>
      <c r="AQ212" s="4">
        <v>16.449000000000002</v>
      </c>
      <c r="AR212" s="11">
        <v>38686</v>
      </c>
      <c r="AS212" s="11">
        <v>38686</v>
      </c>
      <c r="AT212" s="10">
        <v>55.05</v>
      </c>
    </row>
    <row r="213" spans="1:46" x14ac:dyDescent="0.25">
      <c r="A213" s="16">
        <v>24684</v>
      </c>
      <c r="B213" s="1">
        <v>9154</v>
      </c>
      <c r="C213" s="13" t="str">
        <f t="shared" si="3"/>
        <v>22000</v>
      </c>
      <c r="D213" s="2">
        <v>36585</v>
      </c>
      <c r="E213" s="1">
        <v>329</v>
      </c>
      <c r="F213" s="16">
        <v>40755</v>
      </c>
      <c r="G213" s="1">
        <v>10037.602000000001</v>
      </c>
      <c r="H213" s="16">
        <v>40755</v>
      </c>
      <c r="I213" s="1">
        <v>4050</v>
      </c>
      <c r="J213" s="16">
        <v>40755</v>
      </c>
      <c r="K213" s="1">
        <v>2625</v>
      </c>
      <c r="L213" s="16">
        <v>40755</v>
      </c>
      <c r="M213" s="1">
        <v>120</v>
      </c>
      <c r="N213" s="16">
        <v>40755</v>
      </c>
      <c r="O213" s="1">
        <v>2557</v>
      </c>
      <c r="P213" s="16">
        <v>40755</v>
      </c>
      <c r="Q213" s="1">
        <v>9837</v>
      </c>
      <c r="R213" s="16">
        <v>40755</v>
      </c>
      <c r="S213" s="1">
        <v>2500</v>
      </c>
      <c r="T213" s="16">
        <v>40755</v>
      </c>
      <c r="U213" s="1">
        <v>3955.7</v>
      </c>
      <c r="V213" s="16">
        <v>40755</v>
      </c>
      <c r="W213" s="1">
        <v>2076.886</v>
      </c>
      <c r="X213" s="15">
        <v>38138</v>
      </c>
      <c r="Y213" s="8">
        <v>28560</v>
      </c>
      <c r="Z213" s="15">
        <v>38107</v>
      </c>
      <c r="AA213" s="8">
        <v>8350</v>
      </c>
      <c r="AB213" s="15">
        <v>38107</v>
      </c>
      <c r="AC213" s="8">
        <v>2140</v>
      </c>
      <c r="AD213" s="15">
        <v>38107</v>
      </c>
      <c r="AE213" s="8">
        <v>3900</v>
      </c>
      <c r="AF213" s="15">
        <v>38107</v>
      </c>
      <c r="AG213" s="8">
        <v>2350</v>
      </c>
      <c r="AH213" s="15">
        <v>38107</v>
      </c>
      <c r="AI213" s="8">
        <v>1500</v>
      </c>
      <c r="AJ213" s="15">
        <v>38107</v>
      </c>
      <c r="AK213" s="8">
        <v>2280</v>
      </c>
      <c r="AL213" s="15">
        <v>38107</v>
      </c>
      <c r="AM213" s="8">
        <v>2530</v>
      </c>
      <c r="AN213" s="15">
        <v>38107</v>
      </c>
      <c r="AO213" s="8">
        <v>2260</v>
      </c>
      <c r="AP213" s="5">
        <v>42643</v>
      </c>
      <c r="AQ213" s="4">
        <v>15.975</v>
      </c>
      <c r="AR213" s="11">
        <v>38716</v>
      </c>
      <c r="AS213" s="11">
        <v>38716</v>
      </c>
      <c r="AT213" s="10">
        <v>58.98</v>
      </c>
    </row>
    <row r="214" spans="1:46" x14ac:dyDescent="0.25">
      <c r="A214" s="16">
        <v>24715</v>
      </c>
      <c r="B214" s="1">
        <v>9435</v>
      </c>
      <c r="C214" s="13" t="str">
        <f t="shared" si="3"/>
        <v>32000</v>
      </c>
      <c r="D214" s="2">
        <v>36616</v>
      </c>
      <c r="E214" s="1">
        <v>1502</v>
      </c>
      <c r="F214" s="16">
        <v>40786</v>
      </c>
      <c r="G214" s="1">
        <v>10137.602000000001</v>
      </c>
      <c r="H214" s="16">
        <v>40786</v>
      </c>
      <c r="I214" s="1">
        <v>4050</v>
      </c>
      <c r="J214" s="16">
        <v>40786</v>
      </c>
      <c r="K214" s="1">
        <v>2625</v>
      </c>
      <c r="L214" s="16">
        <v>40786</v>
      </c>
      <c r="M214" s="1">
        <v>20</v>
      </c>
      <c r="N214" s="16">
        <v>40786</v>
      </c>
      <c r="O214" s="1">
        <v>2563</v>
      </c>
      <c r="P214" s="16">
        <v>40786</v>
      </c>
      <c r="Q214" s="1">
        <v>9832</v>
      </c>
      <c r="R214" s="16">
        <v>40786</v>
      </c>
      <c r="S214" s="1">
        <v>2500</v>
      </c>
      <c r="T214" s="16">
        <v>40786</v>
      </c>
      <c r="U214" s="1">
        <v>4026.6</v>
      </c>
      <c r="V214" s="16">
        <v>40786</v>
      </c>
      <c r="W214" s="1">
        <v>2052.0520000000001</v>
      </c>
      <c r="X214" s="15">
        <v>38168</v>
      </c>
      <c r="Y214" s="8">
        <v>29290</v>
      </c>
      <c r="Z214" s="15">
        <v>38138</v>
      </c>
      <c r="AA214" s="8">
        <v>8650</v>
      </c>
      <c r="AB214" s="15">
        <v>38138</v>
      </c>
      <c r="AC214" s="8">
        <v>2250</v>
      </c>
      <c r="AD214" s="15">
        <v>38138</v>
      </c>
      <c r="AE214" s="8">
        <v>3970</v>
      </c>
      <c r="AF214" s="15">
        <v>38138</v>
      </c>
      <c r="AG214" s="8">
        <v>2050</v>
      </c>
      <c r="AH214" s="15">
        <v>38138</v>
      </c>
      <c r="AI214" s="8">
        <v>1500</v>
      </c>
      <c r="AJ214" s="15">
        <v>38138</v>
      </c>
      <c r="AK214" s="8">
        <v>2330</v>
      </c>
      <c r="AL214" s="15">
        <v>38138</v>
      </c>
      <c r="AM214" s="8">
        <v>2580</v>
      </c>
      <c r="AN214" s="15">
        <v>38138</v>
      </c>
      <c r="AO214" s="8">
        <v>2280</v>
      </c>
      <c r="AP214" s="5">
        <v>42674</v>
      </c>
      <c r="AQ214" s="4">
        <v>16.050999999999998</v>
      </c>
      <c r="AR214" s="11">
        <v>38748</v>
      </c>
      <c r="AS214" s="11">
        <v>38748</v>
      </c>
      <c r="AT214" s="10">
        <v>65.989999999999995</v>
      </c>
    </row>
    <row r="215" spans="1:46" x14ac:dyDescent="0.25">
      <c r="A215" s="16">
        <v>24745</v>
      </c>
      <c r="B215" s="1">
        <v>9095</v>
      </c>
      <c r="C215" s="13" t="str">
        <f t="shared" si="3"/>
        <v>42000</v>
      </c>
      <c r="D215" s="2">
        <v>36644</v>
      </c>
      <c r="E215" s="1">
        <v>-3264</v>
      </c>
      <c r="F215" s="16">
        <v>40816</v>
      </c>
      <c r="G215" s="1">
        <v>9937.6020000000008</v>
      </c>
      <c r="H215" s="16">
        <v>40816</v>
      </c>
      <c r="I215" s="1">
        <v>4050</v>
      </c>
      <c r="J215" s="16">
        <v>40816</v>
      </c>
      <c r="K215" s="1">
        <v>2725</v>
      </c>
      <c r="L215" s="16">
        <v>40816</v>
      </c>
      <c r="M215" s="1">
        <v>120</v>
      </c>
      <c r="N215" s="16">
        <v>40816</v>
      </c>
      <c r="O215" s="1">
        <v>2529</v>
      </c>
      <c r="P215" s="16">
        <v>40816</v>
      </c>
      <c r="Q215" s="1">
        <v>9557</v>
      </c>
      <c r="R215" s="16">
        <v>40816</v>
      </c>
      <c r="S215" s="1">
        <v>2500</v>
      </c>
      <c r="T215" s="16">
        <v>40816</v>
      </c>
      <c r="U215" s="1">
        <v>3947.3</v>
      </c>
      <c r="V215" s="16">
        <v>40816</v>
      </c>
      <c r="W215" s="1">
        <v>2099.2139999999999</v>
      </c>
      <c r="X215" s="15">
        <v>38199</v>
      </c>
      <c r="Y215" s="8">
        <v>29560</v>
      </c>
      <c r="Z215" s="15">
        <v>38168</v>
      </c>
      <c r="AA215" s="8">
        <v>9260</v>
      </c>
      <c r="AB215" s="15">
        <v>38168</v>
      </c>
      <c r="AC215" s="8">
        <v>2350</v>
      </c>
      <c r="AD215" s="15">
        <v>38168</v>
      </c>
      <c r="AE215" s="8">
        <v>4040</v>
      </c>
      <c r="AF215" s="15">
        <v>38168</v>
      </c>
      <c r="AG215" s="8">
        <v>1780</v>
      </c>
      <c r="AH215" s="15">
        <v>38168</v>
      </c>
      <c r="AI215" s="8">
        <v>1560</v>
      </c>
      <c r="AJ215" s="15">
        <v>38168</v>
      </c>
      <c r="AK215" s="8">
        <v>2350</v>
      </c>
      <c r="AL215" s="15">
        <v>38168</v>
      </c>
      <c r="AM215" s="8">
        <v>2600</v>
      </c>
      <c r="AN215" s="15">
        <v>38168</v>
      </c>
      <c r="AO215" s="8">
        <v>2360</v>
      </c>
      <c r="AP215" s="5">
        <v>42704</v>
      </c>
      <c r="AQ215" s="4">
        <v>16.09</v>
      </c>
      <c r="AR215" s="11">
        <v>38776</v>
      </c>
      <c r="AS215" s="11">
        <v>38776</v>
      </c>
      <c r="AT215" s="10">
        <v>61.76</v>
      </c>
    </row>
    <row r="216" spans="1:46" x14ac:dyDescent="0.25">
      <c r="A216" s="16">
        <v>24776</v>
      </c>
      <c r="B216" s="1">
        <v>9000</v>
      </c>
      <c r="C216" s="13" t="str">
        <f t="shared" si="3"/>
        <v>52000</v>
      </c>
      <c r="D216" s="2">
        <v>36677</v>
      </c>
      <c r="E216" s="1">
        <v>-4601</v>
      </c>
      <c r="F216" s="16">
        <v>40847</v>
      </c>
      <c r="G216" s="1">
        <v>9737.6020000000008</v>
      </c>
      <c r="H216" s="16">
        <v>40847</v>
      </c>
      <c r="I216" s="1">
        <v>4000</v>
      </c>
      <c r="J216" s="16">
        <v>40847</v>
      </c>
      <c r="K216" s="1">
        <v>2725</v>
      </c>
      <c r="L216" s="16">
        <v>40847</v>
      </c>
      <c r="M216" s="1">
        <v>320</v>
      </c>
      <c r="N216" s="16">
        <v>40847</v>
      </c>
      <c r="O216" s="1">
        <v>2348</v>
      </c>
      <c r="P216" s="16">
        <v>40847</v>
      </c>
      <c r="Q216" s="1">
        <v>9902</v>
      </c>
      <c r="R216" s="16">
        <v>40847</v>
      </c>
      <c r="S216" s="1">
        <v>2500</v>
      </c>
      <c r="T216" s="16">
        <v>40847</v>
      </c>
      <c r="U216" s="1">
        <v>3890.6</v>
      </c>
      <c r="V216" s="16">
        <v>40847</v>
      </c>
      <c r="W216" s="1">
        <v>2104.7469999999998</v>
      </c>
      <c r="X216" s="15">
        <v>38230</v>
      </c>
      <c r="Y216" s="8">
        <v>29920</v>
      </c>
      <c r="Z216" s="15">
        <v>38199</v>
      </c>
      <c r="AA216" s="8">
        <v>9360</v>
      </c>
      <c r="AB216" s="15">
        <v>38199</v>
      </c>
      <c r="AC216" s="8">
        <v>2400</v>
      </c>
      <c r="AD216" s="15">
        <v>38199</v>
      </c>
      <c r="AE216" s="8">
        <v>3930</v>
      </c>
      <c r="AF216" s="15">
        <v>38199</v>
      </c>
      <c r="AG216" s="8">
        <v>1950</v>
      </c>
      <c r="AH216" s="15">
        <v>38199</v>
      </c>
      <c r="AI216" s="8">
        <v>1600</v>
      </c>
      <c r="AJ216" s="15">
        <v>38199</v>
      </c>
      <c r="AK216" s="8">
        <v>2350</v>
      </c>
      <c r="AL216" s="15">
        <v>38199</v>
      </c>
      <c r="AM216" s="8">
        <v>2610</v>
      </c>
      <c r="AN216" s="15">
        <v>38199</v>
      </c>
      <c r="AO216" s="8">
        <v>2380</v>
      </c>
      <c r="AP216" s="5">
        <v>42735</v>
      </c>
      <c r="AQ216" s="4">
        <v>16.771999999999998</v>
      </c>
      <c r="AR216" s="11">
        <v>38807</v>
      </c>
      <c r="AS216" s="11">
        <v>38807</v>
      </c>
      <c r="AT216" s="10">
        <v>65.91</v>
      </c>
    </row>
    <row r="217" spans="1:46" x14ac:dyDescent="0.25">
      <c r="A217" s="16">
        <v>24806</v>
      </c>
      <c r="B217" s="1">
        <v>8978</v>
      </c>
      <c r="C217" s="13" t="str">
        <f t="shared" si="3"/>
        <v>62000</v>
      </c>
      <c r="D217" s="2">
        <v>36707</v>
      </c>
      <c r="E217" s="1">
        <v>-1794</v>
      </c>
      <c r="F217" s="16">
        <v>40877</v>
      </c>
      <c r="G217" s="1">
        <v>10037.602000000001</v>
      </c>
      <c r="H217" s="16">
        <v>40877</v>
      </c>
      <c r="I217" s="1">
        <v>4000</v>
      </c>
      <c r="J217" s="16">
        <v>40877</v>
      </c>
      <c r="K217" s="1">
        <v>2725</v>
      </c>
      <c r="L217" s="16">
        <v>40877</v>
      </c>
      <c r="M217" s="1">
        <v>570</v>
      </c>
      <c r="N217" s="16">
        <v>40877</v>
      </c>
      <c r="O217" s="1">
        <v>2440</v>
      </c>
      <c r="P217" s="16">
        <v>40877</v>
      </c>
      <c r="Q217" s="1">
        <v>9595</v>
      </c>
      <c r="R217" s="16">
        <v>40877</v>
      </c>
      <c r="S217" s="1">
        <v>2500</v>
      </c>
      <c r="T217" s="16">
        <v>40877</v>
      </c>
      <c r="U217" s="1">
        <v>3978</v>
      </c>
      <c r="V217" s="16">
        <v>40877</v>
      </c>
      <c r="W217" s="1">
        <v>2188.4679999999998</v>
      </c>
      <c r="X217" s="15">
        <v>38260</v>
      </c>
      <c r="Y217" s="8">
        <v>30460</v>
      </c>
      <c r="Z217" s="15">
        <v>38230</v>
      </c>
      <c r="AA217" s="8">
        <v>9650</v>
      </c>
      <c r="AB217" s="15">
        <v>38230</v>
      </c>
      <c r="AC217" s="8">
        <v>2450</v>
      </c>
      <c r="AD217" s="15">
        <v>38230</v>
      </c>
      <c r="AE217" s="8">
        <v>3980</v>
      </c>
      <c r="AF217" s="15">
        <v>38230</v>
      </c>
      <c r="AG217" s="8">
        <v>1810</v>
      </c>
      <c r="AH217" s="15">
        <v>38230</v>
      </c>
      <c r="AI217" s="8">
        <v>1610</v>
      </c>
      <c r="AJ217" s="15">
        <v>38230</v>
      </c>
      <c r="AK217" s="8">
        <v>2400</v>
      </c>
      <c r="AL217" s="15">
        <v>38230</v>
      </c>
      <c r="AM217" s="8">
        <v>2630</v>
      </c>
      <c r="AN217" s="15">
        <v>38230</v>
      </c>
      <c r="AO217" s="8">
        <v>2400</v>
      </c>
      <c r="AP217" s="5">
        <v>42825</v>
      </c>
      <c r="AQ217" s="4">
        <v>16.574999999999999</v>
      </c>
      <c r="AR217" s="11">
        <v>38835</v>
      </c>
      <c r="AS217" s="11">
        <v>38835</v>
      </c>
      <c r="AT217" s="10">
        <v>72.5</v>
      </c>
    </row>
    <row r="218" spans="1:46" x14ac:dyDescent="0.25">
      <c r="A218" s="16">
        <v>24837</v>
      </c>
      <c r="B218" s="1">
        <v>8908</v>
      </c>
      <c r="C218" s="13" t="str">
        <f t="shared" si="3"/>
        <v>72000</v>
      </c>
      <c r="D218" s="2">
        <v>36738</v>
      </c>
      <c r="E218" s="1">
        <v>-10553</v>
      </c>
      <c r="F218" s="16">
        <v>40908</v>
      </c>
      <c r="G218" s="1">
        <v>10037.602000000001</v>
      </c>
      <c r="H218" s="16">
        <v>40908</v>
      </c>
      <c r="I218" s="1">
        <v>3950</v>
      </c>
      <c r="J218" s="16">
        <v>40908</v>
      </c>
      <c r="K218" s="1">
        <v>2725</v>
      </c>
      <c r="L218" s="16">
        <v>40908</v>
      </c>
      <c r="M218" s="1">
        <v>820</v>
      </c>
      <c r="N218" s="16">
        <v>40908</v>
      </c>
      <c r="O218" s="1">
        <v>2327</v>
      </c>
      <c r="P218" s="16">
        <v>40908</v>
      </c>
      <c r="Q218" s="1">
        <v>9869</v>
      </c>
      <c r="R218" s="16">
        <v>40908</v>
      </c>
      <c r="S218" s="1">
        <v>2500</v>
      </c>
      <c r="T218" s="16">
        <v>40908</v>
      </c>
      <c r="U218" s="1">
        <v>3999.3</v>
      </c>
      <c r="V218" s="16">
        <v>40908</v>
      </c>
      <c r="W218" s="1">
        <v>2214.018</v>
      </c>
      <c r="X218" s="15">
        <v>38291</v>
      </c>
      <c r="Y218" s="8">
        <v>30540</v>
      </c>
      <c r="Z218" s="15">
        <v>38260</v>
      </c>
      <c r="AA218" s="8">
        <v>9730</v>
      </c>
      <c r="AB218" s="15">
        <v>38260</v>
      </c>
      <c r="AC218" s="8">
        <v>2450</v>
      </c>
      <c r="AD218" s="15">
        <v>38260</v>
      </c>
      <c r="AE218" s="8">
        <v>3940</v>
      </c>
      <c r="AF218" s="15">
        <v>38260</v>
      </c>
      <c r="AG218" s="8">
        <v>2230</v>
      </c>
      <c r="AH218" s="15">
        <v>38260</v>
      </c>
      <c r="AI218" s="8">
        <v>1610</v>
      </c>
      <c r="AJ218" s="15">
        <v>38260</v>
      </c>
      <c r="AK218" s="8">
        <v>2380</v>
      </c>
      <c r="AL218" s="15">
        <v>38260</v>
      </c>
      <c r="AM218" s="8">
        <v>2620</v>
      </c>
      <c r="AN218" s="15">
        <v>38260</v>
      </c>
      <c r="AO218" s="8">
        <v>2470</v>
      </c>
      <c r="AP218" s="5">
        <v>42855</v>
      </c>
      <c r="AQ218" s="4">
        <v>15.99</v>
      </c>
      <c r="AR218" s="11">
        <v>38868</v>
      </c>
      <c r="AS218" s="11">
        <v>38868</v>
      </c>
      <c r="AT218" s="10">
        <v>70.41</v>
      </c>
    </row>
    <row r="219" spans="1:46" x14ac:dyDescent="0.25">
      <c r="A219" s="16">
        <v>24868</v>
      </c>
      <c r="B219" s="1">
        <v>9028</v>
      </c>
      <c r="C219" s="13" t="str">
        <f t="shared" si="3"/>
        <v>82000</v>
      </c>
      <c r="D219" s="2">
        <v>36769</v>
      </c>
      <c r="E219" s="1">
        <v>2047</v>
      </c>
      <c r="F219" s="16">
        <v>40939</v>
      </c>
      <c r="G219" s="1">
        <v>10004.258</v>
      </c>
      <c r="H219" s="16">
        <v>40939</v>
      </c>
      <c r="I219" s="1">
        <v>3850</v>
      </c>
      <c r="J219" s="16">
        <v>40939</v>
      </c>
      <c r="K219" s="1">
        <v>2675</v>
      </c>
      <c r="L219" s="16">
        <v>40939</v>
      </c>
      <c r="M219" s="1">
        <v>1065</v>
      </c>
      <c r="N219" s="16">
        <v>40939</v>
      </c>
      <c r="O219" s="1">
        <v>2432</v>
      </c>
      <c r="P219" s="16">
        <v>40939</v>
      </c>
      <c r="Q219" s="1">
        <v>9894</v>
      </c>
      <c r="R219" s="16">
        <v>40939</v>
      </c>
      <c r="S219" s="1">
        <v>2500</v>
      </c>
      <c r="T219" s="16">
        <v>40939</v>
      </c>
      <c r="U219" s="1">
        <v>4022.1</v>
      </c>
      <c r="V219" s="16">
        <v>40939</v>
      </c>
      <c r="W219" s="1">
        <v>2230.5569999999998</v>
      </c>
      <c r="X219" s="15">
        <v>38321</v>
      </c>
      <c r="Y219" s="8">
        <v>30000</v>
      </c>
      <c r="Z219" s="15">
        <v>38291</v>
      </c>
      <c r="AA219" s="8">
        <v>9780</v>
      </c>
      <c r="AB219" s="15">
        <v>38291</v>
      </c>
      <c r="AC219" s="8">
        <v>2440</v>
      </c>
      <c r="AD219" s="15">
        <v>38291</v>
      </c>
      <c r="AE219" s="8">
        <v>3960</v>
      </c>
      <c r="AF219" s="15">
        <v>38291</v>
      </c>
      <c r="AG219" s="8">
        <v>2250</v>
      </c>
      <c r="AH219" s="15">
        <v>38291</v>
      </c>
      <c r="AI219" s="8">
        <v>1630</v>
      </c>
      <c r="AJ219" s="15">
        <v>38291</v>
      </c>
      <c r="AK219" s="8">
        <v>2360</v>
      </c>
      <c r="AL219" s="15">
        <v>38291</v>
      </c>
      <c r="AM219" s="8">
        <v>2580</v>
      </c>
      <c r="AN219" s="15">
        <v>38291</v>
      </c>
      <c r="AO219" s="8">
        <v>2480</v>
      </c>
      <c r="AP219" s="5">
        <v>42886</v>
      </c>
      <c r="AQ219" s="4">
        <v>16.263000000000002</v>
      </c>
      <c r="AR219" s="11">
        <v>38898</v>
      </c>
      <c r="AS219" s="11">
        <v>38898</v>
      </c>
      <c r="AT219" s="10">
        <v>73.510000000000005</v>
      </c>
    </row>
    <row r="220" spans="1:46" x14ac:dyDescent="0.25">
      <c r="A220" s="16">
        <v>24897</v>
      </c>
      <c r="B220" s="1">
        <v>9325</v>
      </c>
      <c r="C220" s="13" t="str">
        <f t="shared" si="3"/>
        <v>92000</v>
      </c>
      <c r="D220" s="2">
        <v>36798</v>
      </c>
      <c r="E220" s="1">
        <v>1092</v>
      </c>
      <c r="F220" s="16">
        <v>40968</v>
      </c>
      <c r="G220" s="1">
        <v>10204.258</v>
      </c>
      <c r="H220" s="16">
        <v>40968</v>
      </c>
      <c r="I220" s="1">
        <v>3800</v>
      </c>
      <c r="J220" s="16">
        <v>40968</v>
      </c>
      <c r="K220" s="1">
        <v>2575</v>
      </c>
      <c r="L220" s="16">
        <v>40968</v>
      </c>
      <c r="M220" s="1">
        <v>1265</v>
      </c>
      <c r="N220" s="16">
        <v>40968</v>
      </c>
      <c r="O220" s="1">
        <v>2458</v>
      </c>
      <c r="P220" s="16">
        <v>40968</v>
      </c>
      <c r="Q220" s="1">
        <v>9889</v>
      </c>
      <c r="R220" s="16">
        <v>40968</v>
      </c>
      <c r="S220" s="1">
        <v>2500</v>
      </c>
      <c r="T220" s="16">
        <v>40968</v>
      </c>
      <c r="U220" s="1">
        <v>3985.5</v>
      </c>
      <c r="V220" s="16">
        <v>40968</v>
      </c>
      <c r="W220" s="1">
        <v>2205.06</v>
      </c>
      <c r="X220" s="15">
        <v>38352</v>
      </c>
      <c r="Y220" s="8">
        <v>29810</v>
      </c>
      <c r="Z220" s="15">
        <v>38321</v>
      </c>
      <c r="AA220" s="8">
        <v>9720</v>
      </c>
      <c r="AB220" s="15">
        <v>38321</v>
      </c>
      <c r="AC220" s="8">
        <v>2470</v>
      </c>
      <c r="AD220" s="15">
        <v>38321</v>
      </c>
      <c r="AE220" s="8">
        <v>3960</v>
      </c>
      <c r="AF220" s="15">
        <v>38321</v>
      </c>
      <c r="AG220" s="8">
        <v>1770</v>
      </c>
      <c r="AH220" s="15">
        <v>38321</v>
      </c>
      <c r="AI220" s="8">
        <v>1620</v>
      </c>
      <c r="AJ220" s="15">
        <v>38321</v>
      </c>
      <c r="AK220" s="8">
        <v>2350</v>
      </c>
      <c r="AL220" s="15">
        <v>38321</v>
      </c>
      <c r="AM220" s="8">
        <v>2610</v>
      </c>
      <c r="AN220" s="15">
        <v>38321</v>
      </c>
      <c r="AO220" s="8">
        <v>2440</v>
      </c>
      <c r="AP220" s="5">
        <v>42916</v>
      </c>
      <c r="AQ220" s="4">
        <v>16.212</v>
      </c>
      <c r="AR220" s="11">
        <v>38929</v>
      </c>
      <c r="AS220" s="11">
        <v>38929</v>
      </c>
      <c r="AT220" s="10">
        <v>75.150000000000006</v>
      </c>
    </row>
    <row r="221" spans="1:46" x14ac:dyDescent="0.25">
      <c r="A221" s="16">
        <v>24928</v>
      </c>
      <c r="B221" s="1">
        <v>9319</v>
      </c>
      <c r="C221" s="13" t="str">
        <f t="shared" si="3"/>
        <v>102000</v>
      </c>
      <c r="D221" s="2">
        <v>36830</v>
      </c>
      <c r="E221" s="1">
        <v>-1489</v>
      </c>
      <c r="F221" s="16">
        <v>40999</v>
      </c>
      <c r="G221" s="1">
        <v>10194.258</v>
      </c>
      <c r="H221" s="16">
        <v>40999</v>
      </c>
      <c r="I221" s="1">
        <v>3750</v>
      </c>
      <c r="J221" s="16">
        <v>40999</v>
      </c>
      <c r="K221" s="1">
        <v>2725</v>
      </c>
      <c r="L221" s="16">
        <v>40999</v>
      </c>
      <c r="M221" s="1">
        <v>1415</v>
      </c>
      <c r="N221" s="16">
        <v>40999</v>
      </c>
      <c r="O221" s="1">
        <v>2438</v>
      </c>
      <c r="P221" s="16">
        <v>40999</v>
      </c>
      <c r="Q221" s="1">
        <v>9891</v>
      </c>
      <c r="R221" s="16">
        <v>40999</v>
      </c>
      <c r="S221" s="1">
        <v>2500</v>
      </c>
      <c r="T221" s="16">
        <v>40999</v>
      </c>
      <c r="U221" s="1">
        <v>4015</v>
      </c>
      <c r="V221" s="16">
        <v>40999</v>
      </c>
      <c r="W221" s="1">
        <v>2087.3270000000002</v>
      </c>
      <c r="X221" s="15">
        <v>38383</v>
      </c>
      <c r="Y221" s="8">
        <v>29363</v>
      </c>
      <c r="Z221" s="15">
        <v>38352</v>
      </c>
      <c r="AA221" s="8">
        <v>9330</v>
      </c>
      <c r="AB221" s="15">
        <v>38352</v>
      </c>
      <c r="AC221" s="8">
        <v>2450</v>
      </c>
      <c r="AD221" s="15">
        <v>38352</v>
      </c>
      <c r="AE221" s="8">
        <v>3990</v>
      </c>
      <c r="AF221" s="15">
        <v>38352</v>
      </c>
      <c r="AG221" s="8">
        <v>1910</v>
      </c>
      <c r="AH221" s="15">
        <v>38352</v>
      </c>
      <c r="AI221" s="8">
        <v>1610</v>
      </c>
      <c r="AJ221" s="15">
        <v>38352</v>
      </c>
      <c r="AK221" s="8">
        <v>2290</v>
      </c>
      <c r="AL221" s="15">
        <v>38352</v>
      </c>
      <c r="AM221" s="8">
        <v>2750</v>
      </c>
      <c r="AN221" s="15">
        <v>38352</v>
      </c>
      <c r="AO221" s="8">
        <v>2440</v>
      </c>
      <c r="AP221" s="5">
        <v>42947</v>
      </c>
      <c r="AQ221" s="4">
        <v>16.248999999999999</v>
      </c>
      <c r="AR221" s="11">
        <v>38960</v>
      </c>
      <c r="AS221" s="11">
        <v>38960</v>
      </c>
      <c r="AT221" s="10">
        <v>70.25</v>
      </c>
    </row>
    <row r="222" spans="1:46" x14ac:dyDescent="0.25">
      <c r="A222" s="16">
        <v>24958</v>
      </c>
      <c r="B222" s="1">
        <v>9123</v>
      </c>
      <c r="C222" s="13" t="str">
        <f t="shared" si="3"/>
        <v>112000</v>
      </c>
      <c r="D222" s="2">
        <v>36860</v>
      </c>
      <c r="E222" s="1">
        <v>-78</v>
      </c>
      <c r="F222" s="16">
        <v>41029</v>
      </c>
      <c r="G222" s="1">
        <v>10094.258</v>
      </c>
      <c r="H222" s="16">
        <v>41029</v>
      </c>
      <c r="I222" s="1">
        <v>3600</v>
      </c>
      <c r="J222" s="16">
        <v>41029</v>
      </c>
      <c r="K222" s="1">
        <v>2965</v>
      </c>
      <c r="L222" s="16">
        <v>41029</v>
      </c>
      <c r="M222" s="1">
        <v>1465</v>
      </c>
      <c r="N222" s="16">
        <v>41029</v>
      </c>
      <c r="O222" s="1">
        <v>2595</v>
      </c>
      <c r="P222" s="16">
        <v>41029</v>
      </c>
      <c r="Q222" s="1">
        <v>9861</v>
      </c>
      <c r="R222" s="16">
        <v>41029</v>
      </c>
      <c r="S222" s="1">
        <v>2500</v>
      </c>
      <c r="T222" s="16">
        <v>41029</v>
      </c>
      <c r="U222" s="1">
        <v>4060</v>
      </c>
      <c r="V222" s="16">
        <v>41029</v>
      </c>
      <c r="W222" s="1">
        <v>2021.5329999999999</v>
      </c>
      <c r="X222" s="15">
        <v>38411</v>
      </c>
      <c r="Y222" s="8">
        <v>29682</v>
      </c>
      <c r="Z222" s="15">
        <v>38383</v>
      </c>
      <c r="AA222" s="8">
        <v>9130</v>
      </c>
      <c r="AB222" s="15">
        <v>38383</v>
      </c>
      <c r="AC222" s="8">
        <v>2400</v>
      </c>
      <c r="AD222" s="15">
        <v>38383</v>
      </c>
      <c r="AE222" s="8">
        <v>3940</v>
      </c>
      <c r="AF222" s="15">
        <v>38383</v>
      </c>
      <c r="AG222" s="8">
        <v>1820</v>
      </c>
      <c r="AH222" s="15">
        <v>38383</v>
      </c>
      <c r="AI222" s="8">
        <v>1600</v>
      </c>
      <c r="AJ222" s="15">
        <v>38383</v>
      </c>
      <c r="AK222" s="8">
        <v>2340</v>
      </c>
      <c r="AL222" s="15">
        <v>38383</v>
      </c>
      <c r="AM222" s="8">
        <v>2750</v>
      </c>
      <c r="AN222" s="15">
        <v>38383</v>
      </c>
      <c r="AO222" s="8">
        <v>2370</v>
      </c>
      <c r="AP222" s="5">
        <v>42978</v>
      </c>
      <c r="AQ222" s="4">
        <v>15.957000000000001</v>
      </c>
      <c r="AR222" s="11">
        <v>38989</v>
      </c>
      <c r="AS222" s="11">
        <v>38989</v>
      </c>
      <c r="AT222" s="10">
        <v>62.48</v>
      </c>
    </row>
    <row r="223" spans="1:46" x14ac:dyDescent="0.25">
      <c r="A223" s="16">
        <v>24989</v>
      </c>
      <c r="B223" s="1">
        <v>9205</v>
      </c>
      <c r="C223" s="13" t="str">
        <f t="shared" si="3"/>
        <v>122000</v>
      </c>
      <c r="D223" s="2">
        <v>36889</v>
      </c>
      <c r="E223" s="1">
        <v>-1837</v>
      </c>
      <c r="F223" s="16">
        <v>41060</v>
      </c>
      <c r="G223" s="1">
        <v>9894.2579999999998</v>
      </c>
      <c r="H223" s="16">
        <v>41060</v>
      </c>
      <c r="I223" s="1">
        <v>3525</v>
      </c>
      <c r="J223" s="16">
        <v>41060</v>
      </c>
      <c r="K223" s="1">
        <v>2925</v>
      </c>
      <c r="L223" s="16">
        <v>41060</v>
      </c>
      <c r="M223" s="1">
        <v>1465</v>
      </c>
      <c r="N223" s="16">
        <v>41060</v>
      </c>
      <c r="O223" s="1">
        <v>2530</v>
      </c>
      <c r="P223" s="16">
        <v>41060</v>
      </c>
      <c r="Q223" s="1">
        <v>9882</v>
      </c>
      <c r="R223" s="16">
        <v>41060</v>
      </c>
      <c r="S223" s="1">
        <v>2500</v>
      </c>
      <c r="T223" s="16">
        <v>41060</v>
      </c>
      <c r="U223" s="1">
        <v>4021.1</v>
      </c>
      <c r="V223" s="16">
        <v>41060</v>
      </c>
      <c r="W223" s="1">
        <v>2047.7670000000001</v>
      </c>
      <c r="X223" s="15">
        <v>38442</v>
      </c>
      <c r="Y223" s="8">
        <v>29790</v>
      </c>
      <c r="Z223" s="15">
        <v>38411</v>
      </c>
      <c r="AA223" s="8">
        <v>9250</v>
      </c>
      <c r="AB223" s="15">
        <v>38411</v>
      </c>
      <c r="AC223" s="8">
        <v>2350</v>
      </c>
      <c r="AD223" s="15">
        <v>38411</v>
      </c>
      <c r="AE223" s="8">
        <v>3940</v>
      </c>
      <c r="AF223" s="15">
        <v>38411</v>
      </c>
      <c r="AG223" s="8">
        <v>1870</v>
      </c>
      <c r="AH223" s="15">
        <v>38411</v>
      </c>
      <c r="AI223" s="8">
        <v>1630</v>
      </c>
      <c r="AJ223" s="15">
        <v>38411</v>
      </c>
      <c r="AK223" s="8">
        <v>2350</v>
      </c>
      <c r="AL223" s="15">
        <v>38411</v>
      </c>
      <c r="AM223" s="8">
        <v>2770</v>
      </c>
      <c r="AN223" s="15">
        <v>38411</v>
      </c>
      <c r="AO223" s="8">
        <v>2450</v>
      </c>
      <c r="AP223" s="5">
        <v>43008</v>
      </c>
      <c r="AQ223" s="4">
        <v>15.529</v>
      </c>
      <c r="AR223" s="11">
        <v>39021</v>
      </c>
      <c r="AS223" s="11">
        <v>39021</v>
      </c>
      <c r="AT223" s="10">
        <v>59.03</v>
      </c>
    </row>
    <row r="224" spans="1:46" x14ac:dyDescent="0.25">
      <c r="A224" s="16">
        <v>25019</v>
      </c>
      <c r="B224" s="1">
        <v>9144</v>
      </c>
      <c r="C224" s="13" t="str">
        <f t="shared" si="3"/>
        <v>12001</v>
      </c>
      <c r="D224" s="2">
        <v>36922</v>
      </c>
      <c r="E224" s="1">
        <v>-3570</v>
      </c>
      <c r="F224" s="16">
        <v>41090</v>
      </c>
      <c r="G224" s="1">
        <v>10184.258</v>
      </c>
      <c r="H224" s="16">
        <v>41090</v>
      </c>
      <c r="I224" s="1">
        <v>3350</v>
      </c>
      <c r="J224" s="16">
        <v>41090</v>
      </c>
      <c r="K224" s="1">
        <v>2975</v>
      </c>
      <c r="L224" s="16">
        <v>41090</v>
      </c>
      <c r="M224" s="1">
        <v>1465</v>
      </c>
      <c r="N224" s="16">
        <v>41090</v>
      </c>
      <c r="O224" s="1">
        <v>2527</v>
      </c>
      <c r="P224" s="16">
        <v>41090</v>
      </c>
      <c r="Q224" s="1">
        <v>9861</v>
      </c>
      <c r="R224" s="16">
        <v>41090</v>
      </c>
      <c r="S224" s="1">
        <v>2500</v>
      </c>
      <c r="T224" s="16">
        <v>41090</v>
      </c>
      <c r="U224" s="1">
        <v>3963.2</v>
      </c>
      <c r="V224" s="16">
        <v>41090</v>
      </c>
      <c r="W224" s="1">
        <v>2032.8</v>
      </c>
      <c r="X224" s="15">
        <v>38472</v>
      </c>
      <c r="Y224" s="8">
        <v>29930</v>
      </c>
      <c r="Z224" s="15">
        <v>38442</v>
      </c>
      <c r="AA224" s="8">
        <v>9350</v>
      </c>
      <c r="AB224" s="15">
        <v>38442</v>
      </c>
      <c r="AC224" s="8">
        <v>2430</v>
      </c>
      <c r="AD224" s="15">
        <v>38442</v>
      </c>
      <c r="AE224" s="8">
        <v>3910</v>
      </c>
      <c r="AF224" s="15">
        <v>38442</v>
      </c>
      <c r="AG224" s="8">
        <v>1850</v>
      </c>
      <c r="AH224" s="15">
        <v>38442</v>
      </c>
      <c r="AI224" s="8">
        <v>1620</v>
      </c>
      <c r="AJ224" s="15">
        <v>38442</v>
      </c>
      <c r="AK224" s="8">
        <v>2380</v>
      </c>
      <c r="AL224" s="15">
        <v>38442</v>
      </c>
      <c r="AM224" s="8">
        <v>2730</v>
      </c>
      <c r="AN224" s="15">
        <v>38442</v>
      </c>
      <c r="AO224" s="8">
        <v>2430</v>
      </c>
      <c r="AP224" s="5">
        <v>43039</v>
      </c>
      <c r="AQ224" s="4">
        <v>16.006</v>
      </c>
      <c r="AR224" s="11">
        <v>39051</v>
      </c>
      <c r="AS224" s="11">
        <v>39051</v>
      </c>
      <c r="AT224" s="10">
        <v>64.260000000000005</v>
      </c>
    </row>
    <row r="225" spans="1:46" x14ac:dyDescent="0.25">
      <c r="A225" s="16">
        <v>25050</v>
      </c>
      <c r="B225" s="1">
        <v>9156</v>
      </c>
      <c r="C225" s="13" t="str">
        <f t="shared" si="3"/>
        <v>22001</v>
      </c>
      <c r="D225" s="2">
        <v>36950</v>
      </c>
      <c r="E225" s="1">
        <v>2900</v>
      </c>
      <c r="F225" s="16">
        <v>41121</v>
      </c>
      <c r="G225" s="1">
        <v>10179.258</v>
      </c>
      <c r="H225" s="16">
        <v>41121</v>
      </c>
      <c r="I225" s="1">
        <v>3200</v>
      </c>
      <c r="J225" s="16">
        <v>41121</v>
      </c>
      <c r="K225" s="1">
        <v>3075</v>
      </c>
      <c r="L225" s="16">
        <v>41121</v>
      </c>
      <c r="M225" s="1">
        <v>1465</v>
      </c>
      <c r="N225" s="16">
        <v>41121</v>
      </c>
      <c r="O225" s="1">
        <v>2533</v>
      </c>
      <c r="P225" s="16">
        <v>41121</v>
      </c>
      <c r="Q225" s="1">
        <v>9882</v>
      </c>
      <c r="R225" s="16">
        <v>41121</v>
      </c>
      <c r="S225" s="1">
        <v>2500</v>
      </c>
      <c r="T225" s="16">
        <v>41121</v>
      </c>
      <c r="U225" s="1">
        <v>3967.9</v>
      </c>
      <c r="V225" s="16">
        <v>41121</v>
      </c>
      <c r="W225" s="1">
        <v>2023.248</v>
      </c>
      <c r="X225" s="15">
        <v>38503</v>
      </c>
      <c r="Y225" s="8">
        <v>29950</v>
      </c>
      <c r="Z225" s="15">
        <v>38472</v>
      </c>
      <c r="AA225" s="8">
        <v>9460</v>
      </c>
      <c r="AB225" s="15">
        <v>38472</v>
      </c>
      <c r="AC225" s="8">
        <v>2420</v>
      </c>
      <c r="AD225" s="15">
        <v>38472</v>
      </c>
      <c r="AE225" s="8">
        <v>3880</v>
      </c>
      <c r="AF225" s="15">
        <v>38472</v>
      </c>
      <c r="AG225" s="8">
        <v>1880</v>
      </c>
      <c r="AH225" s="15">
        <v>38472</v>
      </c>
      <c r="AI225" s="8">
        <v>1620</v>
      </c>
      <c r="AJ225" s="15">
        <v>38472</v>
      </c>
      <c r="AK225" s="8">
        <v>2400</v>
      </c>
      <c r="AL225" s="15">
        <v>38472</v>
      </c>
      <c r="AM225" s="8">
        <v>2690</v>
      </c>
      <c r="AN225" s="15">
        <v>38472</v>
      </c>
      <c r="AO225" s="8">
        <v>2470</v>
      </c>
      <c r="AP225" s="5">
        <v>43069</v>
      </c>
      <c r="AQ225" s="4">
        <v>15.699</v>
      </c>
      <c r="AR225" s="11">
        <v>39080</v>
      </c>
      <c r="AS225" s="11">
        <v>39080</v>
      </c>
      <c r="AT225" s="10">
        <v>60.86</v>
      </c>
    </row>
    <row r="226" spans="1:46" x14ac:dyDescent="0.25">
      <c r="A226" s="16">
        <v>25081</v>
      </c>
      <c r="B226" s="1">
        <v>9134</v>
      </c>
      <c r="C226" s="13" t="str">
        <f t="shared" si="3"/>
        <v>32001</v>
      </c>
      <c r="D226" s="2">
        <v>36980</v>
      </c>
      <c r="E226" s="1">
        <v>1700</v>
      </c>
      <c r="F226" s="16">
        <v>41152</v>
      </c>
      <c r="G226" s="1">
        <v>10179.258</v>
      </c>
      <c r="H226" s="16">
        <v>41152</v>
      </c>
      <c r="I226" s="1">
        <v>3134</v>
      </c>
      <c r="J226" s="16">
        <v>41152</v>
      </c>
      <c r="K226" s="1">
        <v>3175</v>
      </c>
      <c r="L226" s="16">
        <v>41152</v>
      </c>
      <c r="M226" s="1">
        <v>1515</v>
      </c>
      <c r="N226" s="16">
        <v>41152</v>
      </c>
      <c r="O226" s="1">
        <v>2556</v>
      </c>
      <c r="P226" s="16">
        <v>41152</v>
      </c>
      <c r="Q226" s="1">
        <v>9907</v>
      </c>
      <c r="R226" s="16">
        <v>41152</v>
      </c>
      <c r="S226" s="1">
        <v>2500</v>
      </c>
      <c r="T226" s="16">
        <v>41152</v>
      </c>
      <c r="U226" s="1">
        <v>4070.6</v>
      </c>
      <c r="V226" s="16">
        <v>41152</v>
      </c>
      <c r="W226" s="1">
        <v>2004.086</v>
      </c>
      <c r="X226" s="15">
        <v>38533</v>
      </c>
      <c r="Y226" s="8">
        <v>30006</v>
      </c>
      <c r="Z226" s="15">
        <v>38503</v>
      </c>
      <c r="AA226" s="8">
        <v>9500</v>
      </c>
      <c r="AB226" s="15">
        <v>38503</v>
      </c>
      <c r="AC226" s="8">
        <v>2380</v>
      </c>
      <c r="AD226" s="15">
        <v>38503</v>
      </c>
      <c r="AE226" s="8">
        <v>3920</v>
      </c>
      <c r="AF226" s="15">
        <v>38503</v>
      </c>
      <c r="AG226" s="8">
        <v>1780</v>
      </c>
      <c r="AH226" s="15">
        <v>38503</v>
      </c>
      <c r="AI226" s="8">
        <v>1650</v>
      </c>
      <c r="AJ226" s="15">
        <v>38503</v>
      </c>
      <c r="AK226" s="8">
        <v>2450</v>
      </c>
      <c r="AL226" s="15">
        <v>38503</v>
      </c>
      <c r="AM226" s="8">
        <v>2670</v>
      </c>
      <c r="AN226" s="15">
        <v>38503</v>
      </c>
      <c r="AO226" s="8">
        <v>2500</v>
      </c>
      <c r="AP226" s="5">
        <v>43100</v>
      </c>
      <c r="AQ226" s="4">
        <v>15.984</v>
      </c>
      <c r="AR226" s="11">
        <v>39113</v>
      </c>
      <c r="AS226" s="11">
        <v>39113</v>
      </c>
      <c r="AT226" s="10">
        <v>57.4</v>
      </c>
    </row>
    <row r="227" spans="1:46" x14ac:dyDescent="0.25">
      <c r="A227" s="16">
        <v>25111</v>
      </c>
      <c r="B227" s="1">
        <v>8932</v>
      </c>
      <c r="C227" s="13" t="str">
        <f t="shared" si="3"/>
        <v>42001</v>
      </c>
      <c r="D227" s="2">
        <v>37011</v>
      </c>
      <c r="E227" s="1">
        <v>6300</v>
      </c>
      <c r="F227" s="16">
        <v>41182</v>
      </c>
      <c r="G227" s="1">
        <v>9964.2579999999998</v>
      </c>
      <c r="H227" s="16">
        <v>41182</v>
      </c>
      <c r="I227" s="1">
        <v>3173</v>
      </c>
      <c r="J227" s="16">
        <v>41182</v>
      </c>
      <c r="K227" s="1">
        <v>3275</v>
      </c>
      <c r="L227" s="16">
        <v>41182</v>
      </c>
      <c r="M227" s="1">
        <v>1565</v>
      </c>
      <c r="N227" s="16">
        <v>41182</v>
      </c>
      <c r="O227" s="1">
        <v>2426</v>
      </c>
      <c r="P227" s="16">
        <v>41182</v>
      </c>
      <c r="Q227" s="1">
        <v>9941</v>
      </c>
      <c r="R227" s="16">
        <v>41182</v>
      </c>
      <c r="S227" s="1">
        <v>2500</v>
      </c>
      <c r="T227" s="16">
        <v>41182</v>
      </c>
      <c r="U227" s="1">
        <v>4169.5</v>
      </c>
      <c r="V227" s="16">
        <v>41182</v>
      </c>
      <c r="W227" s="1">
        <v>1923.684</v>
      </c>
      <c r="X227" s="15">
        <v>38564</v>
      </c>
      <c r="Y227" s="8">
        <v>30300</v>
      </c>
      <c r="Z227" s="15">
        <v>38533</v>
      </c>
      <c r="AA227" s="8">
        <v>9520</v>
      </c>
      <c r="AB227" s="15">
        <v>38533</v>
      </c>
      <c r="AC227" s="8">
        <v>2350</v>
      </c>
      <c r="AD227" s="15">
        <v>38533</v>
      </c>
      <c r="AE227" s="8">
        <v>3960</v>
      </c>
      <c r="AF227" s="15">
        <v>38533</v>
      </c>
      <c r="AG227" s="8">
        <v>1826</v>
      </c>
      <c r="AH227" s="15">
        <v>38533</v>
      </c>
      <c r="AI227" s="8">
        <v>1670</v>
      </c>
      <c r="AJ227" s="15">
        <v>38533</v>
      </c>
      <c r="AK227" s="8">
        <v>2460</v>
      </c>
      <c r="AL227" s="15">
        <v>38533</v>
      </c>
      <c r="AM227" s="8">
        <v>2690</v>
      </c>
      <c r="AN227" s="15">
        <v>38533</v>
      </c>
      <c r="AO227" s="8">
        <v>2430</v>
      </c>
      <c r="AP227" s="5">
        <v>43190</v>
      </c>
      <c r="AQ227" s="4">
        <v>15.956</v>
      </c>
      <c r="AR227" s="11">
        <v>39141</v>
      </c>
      <c r="AS227" s="11">
        <v>39141</v>
      </c>
      <c r="AT227" s="10">
        <v>61.89</v>
      </c>
    </row>
    <row r="228" spans="1:46" x14ac:dyDescent="0.25">
      <c r="A228" s="16">
        <v>25142</v>
      </c>
      <c r="B228" s="1">
        <v>8916</v>
      </c>
      <c r="C228" s="13" t="str">
        <f t="shared" si="3"/>
        <v>52001</v>
      </c>
      <c r="D228" s="2">
        <v>37042</v>
      </c>
      <c r="E228" s="1">
        <v>-1800</v>
      </c>
      <c r="F228" s="16">
        <v>41213</v>
      </c>
      <c r="G228" s="1">
        <v>9964.2579999999998</v>
      </c>
      <c r="H228" s="16">
        <v>41213</v>
      </c>
      <c r="I228" s="1">
        <v>3018</v>
      </c>
      <c r="J228" s="16">
        <v>41213</v>
      </c>
      <c r="K228" s="1">
        <v>3075</v>
      </c>
      <c r="L228" s="16">
        <v>41213</v>
      </c>
      <c r="M228" s="1">
        <v>1565</v>
      </c>
      <c r="N228" s="16">
        <v>41213</v>
      </c>
      <c r="O228" s="1">
        <v>2293</v>
      </c>
      <c r="P228" s="16">
        <v>41213</v>
      </c>
      <c r="Q228" s="1">
        <v>9984</v>
      </c>
      <c r="R228" s="16">
        <v>41213</v>
      </c>
      <c r="S228" s="1">
        <v>2500</v>
      </c>
      <c r="T228" s="16">
        <v>41213</v>
      </c>
      <c r="U228" s="1">
        <v>4246</v>
      </c>
      <c r="V228" s="16">
        <v>41213</v>
      </c>
      <c r="W228" s="1">
        <v>2011.249</v>
      </c>
      <c r="X228" s="15">
        <v>38595</v>
      </c>
      <c r="Y228" s="8">
        <v>30410</v>
      </c>
      <c r="Z228" s="15">
        <v>38564</v>
      </c>
      <c r="AA228" s="8">
        <v>9580</v>
      </c>
      <c r="AB228" s="15">
        <v>38564</v>
      </c>
      <c r="AC228" s="8">
        <v>2440</v>
      </c>
      <c r="AD228" s="15">
        <v>38564</v>
      </c>
      <c r="AE228" s="8">
        <v>3980</v>
      </c>
      <c r="AF228" s="15">
        <v>38564</v>
      </c>
      <c r="AG228" s="8">
        <v>1930</v>
      </c>
      <c r="AH228" s="15">
        <v>38564</v>
      </c>
      <c r="AI228" s="8">
        <v>1680</v>
      </c>
      <c r="AJ228" s="15">
        <v>38564</v>
      </c>
      <c r="AK228" s="8">
        <v>2460</v>
      </c>
      <c r="AL228" s="15">
        <v>38564</v>
      </c>
      <c r="AM228" s="8">
        <v>2700</v>
      </c>
      <c r="AN228" s="15">
        <v>38564</v>
      </c>
      <c r="AO228" s="8">
        <v>2430</v>
      </c>
      <c r="AP228" s="5">
        <v>43220</v>
      </c>
      <c r="AQ228" s="4">
        <v>15.51</v>
      </c>
      <c r="AR228" s="11">
        <v>39171</v>
      </c>
      <c r="AS228" s="11">
        <v>39171</v>
      </c>
      <c r="AT228" s="10">
        <v>68.099999999999994</v>
      </c>
    </row>
    <row r="229" spans="1:46" x14ac:dyDescent="0.25">
      <c r="A229" s="16">
        <v>25172</v>
      </c>
      <c r="B229" s="1">
        <v>8969</v>
      </c>
      <c r="C229" s="13" t="str">
        <f t="shared" si="3"/>
        <v>62001</v>
      </c>
      <c r="D229" s="2">
        <v>37071</v>
      </c>
      <c r="E229" s="1">
        <v>-4800</v>
      </c>
      <c r="F229" s="16">
        <v>41243</v>
      </c>
      <c r="G229" s="1">
        <v>9704.2579999999998</v>
      </c>
      <c r="H229" s="16">
        <v>41243</v>
      </c>
      <c r="I229" s="1">
        <v>3150</v>
      </c>
      <c r="J229" s="16">
        <v>41243</v>
      </c>
      <c r="K229" s="1">
        <v>3225</v>
      </c>
      <c r="L229" s="16">
        <v>41243</v>
      </c>
      <c r="M229" s="1">
        <v>1515</v>
      </c>
      <c r="N229" s="16">
        <v>41243</v>
      </c>
      <c r="O229" s="1">
        <v>2269</v>
      </c>
      <c r="P229" s="16">
        <v>41243</v>
      </c>
      <c r="Q229" s="1">
        <v>10048</v>
      </c>
      <c r="R229" s="16">
        <v>41243</v>
      </c>
      <c r="S229" s="1">
        <v>2500</v>
      </c>
      <c r="T229" s="16">
        <v>41243</v>
      </c>
      <c r="U229" s="1">
        <v>4188</v>
      </c>
      <c r="V229" s="16">
        <v>41243</v>
      </c>
      <c r="W229" s="1">
        <v>2044.7829999999999</v>
      </c>
      <c r="X229" s="15">
        <v>38625</v>
      </c>
      <c r="Y229" s="8">
        <v>30460</v>
      </c>
      <c r="Z229" s="15">
        <v>38595</v>
      </c>
      <c r="AA229" s="8">
        <v>9580</v>
      </c>
      <c r="AB229" s="15">
        <v>38595</v>
      </c>
      <c r="AC229" s="8">
        <v>2500</v>
      </c>
      <c r="AD229" s="15">
        <v>38595</v>
      </c>
      <c r="AE229" s="8">
        <v>4080</v>
      </c>
      <c r="AF229" s="15">
        <v>38595</v>
      </c>
      <c r="AG229" s="8">
        <v>1870</v>
      </c>
      <c r="AH229" s="15">
        <v>38595</v>
      </c>
      <c r="AI229" s="8">
        <v>1690</v>
      </c>
      <c r="AJ229" s="15">
        <v>38595</v>
      </c>
      <c r="AK229" s="8">
        <v>2450</v>
      </c>
      <c r="AL229" s="15">
        <v>38595</v>
      </c>
      <c r="AM229" s="8">
        <v>2700</v>
      </c>
      <c r="AN229" s="15">
        <v>38595</v>
      </c>
      <c r="AO229" s="8">
        <v>2450</v>
      </c>
      <c r="AP229" s="5">
        <v>43251</v>
      </c>
      <c r="AQ229" s="4">
        <v>15.973000000000001</v>
      </c>
      <c r="AR229" s="11">
        <v>39202</v>
      </c>
      <c r="AS229" s="11">
        <v>39202</v>
      </c>
      <c r="AT229" s="10">
        <v>67.650000000000006</v>
      </c>
    </row>
    <row r="230" spans="1:46" x14ac:dyDescent="0.25">
      <c r="A230" s="16">
        <v>25203</v>
      </c>
      <c r="B230" s="1">
        <v>8906</v>
      </c>
      <c r="C230" s="13" t="str">
        <f t="shared" si="3"/>
        <v>72001</v>
      </c>
      <c r="D230" s="2">
        <v>37103</v>
      </c>
      <c r="E230" s="1">
        <v>-1100</v>
      </c>
      <c r="F230" s="16">
        <v>41274</v>
      </c>
      <c r="G230" s="1">
        <v>9404.2579999999998</v>
      </c>
      <c r="H230" s="16">
        <v>41274</v>
      </c>
      <c r="I230" s="1">
        <v>3110</v>
      </c>
      <c r="J230" s="16">
        <v>41274</v>
      </c>
      <c r="K230" s="1">
        <v>3125</v>
      </c>
      <c r="L230" s="16">
        <v>41274</v>
      </c>
      <c r="M230" s="1">
        <v>1415</v>
      </c>
      <c r="N230" s="16">
        <v>41274</v>
      </c>
      <c r="O230" s="1">
        <v>2428</v>
      </c>
      <c r="P230" s="16">
        <v>41274</v>
      </c>
      <c r="Q230" s="1">
        <v>10018</v>
      </c>
      <c r="R230" s="16">
        <v>41274</v>
      </c>
      <c r="S230" s="1">
        <v>2500</v>
      </c>
      <c r="T230" s="16">
        <v>41274</v>
      </c>
      <c r="U230" s="1">
        <v>4177</v>
      </c>
      <c r="V230" s="16">
        <v>41274</v>
      </c>
      <c r="W230" s="1">
        <v>2104.7269999999999</v>
      </c>
      <c r="X230" s="15">
        <v>38656</v>
      </c>
      <c r="Y230" s="8">
        <v>30220</v>
      </c>
      <c r="Z230" s="15">
        <v>38625</v>
      </c>
      <c r="AA230" s="8">
        <v>9580</v>
      </c>
      <c r="AB230" s="15">
        <v>38625</v>
      </c>
      <c r="AC230" s="8">
        <v>2580</v>
      </c>
      <c r="AD230" s="15">
        <v>38625</v>
      </c>
      <c r="AE230" s="8">
        <v>3850</v>
      </c>
      <c r="AF230" s="15">
        <v>38625</v>
      </c>
      <c r="AG230" s="8">
        <v>2055</v>
      </c>
      <c r="AH230" s="15">
        <v>38625</v>
      </c>
      <c r="AI230" s="8">
        <v>1680</v>
      </c>
      <c r="AJ230" s="15">
        <v>38625</v>
      </c>
      <c r="AK230" s="8">
        <v>2425</v>
      </c>
      <c r="AL230" s="15">
        <v>38625</v>
      </c>
      <c r="AM230" s="8">
        <v>2700</v>
      </c>
      <c r="AN230" s="15">
        <v>38625</v>
      </c>
      <c r="AO230" s="8">
        <v>2500</v>
      </c>
      <c r="AP230" s="5">
        <v>43281</v>
      </c>
      <c r="AQ230" s="4">
        <v>15.846</v>
      </c>
      <c r="AR230" s="11">
        <v>39233</v>
      </c>
      <c r="AS230" s="11">
        <v>39233</v>
      </c>
      <c r="AT230" s="10">
        <v>68.040000000000006</v>
      </c>
    </row>
    <row r="231" spans="1:46" x14ac:dyDescent="0.25">
      <c r="A231" s="16">
        <v>25234</v>
      </c>
      <c r="B231" s="1">
        <v>8888</v>
      </c>
      <c r="C231" s="13" t="str">
        <f t="shared" si="3"/>
        <v>82001</v>
      </c>
      <c r="D231" s="2">
        <v>37134</v>
      </c>
      <c r="E231" s="1">
        <v>-2000</v>
      </c>
      <c r="F231" s="16">
        <v>41305</v>
      </c>
      <c r="G231" s="1">
        <v>9319.7199999999993</v>
      </c>
      <c r="H231" s="16">
        <v>41305</v>
      </c>
      <c r="I231" s="1">
        <v>3088</v>
      </c>
      <c r="J231" s="16">
        <v>41305</v>
      </c>
      <c r="K231" s="1">
        <v>3076</v>
      </c>
      <c r="L231" s="16">
        <v>41305</v>
      </c>
      <c r="M231" s="1">
        <v>1410</v>
      </c>
      <c r="N231" s="16">
        <v>41305</v>
      </c>
      <c r="O231" s="1">
        <v>2362</v>
      </c>
      <c r="P231" s="16">
        <v>41305</v>
      </c>
      <c r="Q231" s="1">
        <v>9995</v>
      </c>
      <c r="R231" s="16">
        <v>41305</v>
      </c>
      <c r="S231" s="1">
        <v>2500</v>
      </c>
      <c r="T231" s="16">
        <v>41305</v>
      </c>
      <c r="U231" s="1">
        <v>4168.1000000000004</v>
      </c>
      <c r="V231" s="16">
        <v>41305</v>
      </c>
      <c r="W231" s="1">
        <v>2053.5929999999998</v>
      </c>
      <c r="X231" s="15">
        <v>38686</v>
      </c>
      <c r="Y231" s="8">
        <v>29905</v>
      </c>
      <c r="Z231" s="15">
        <v>38656</v>
      </c>
      <c r="AA231" s="8">
        <v>9500</v>
      </c>
      <c r="AB231" s="15">
        <v>38656</v>
      </c>
      <c r="AC231" s="8">
        <v>2600</v>
      </c>
      <c r="AD231" s="15">
        <v>38656</v>
      </c>
      <c r="AE231" s="8">
        <v>3910</v>
      </c>
      <c r="AF231" s="15">
        <v>38656</v>
      </c>
      <c r="AG231" s="8">
        <v>1780</v>
      </c>
      <c r="AH231" s="15">
        <v>38656</v>
      </c>
      <c r="AI231" s="8">
        <v>1680</v>
      </c>
      <c r="AJ231" s="15">
        <v>38656</v>
      </c>
      <c r="AK231" s="8">
        <v>2450</v>
      </c>
      <c r="AL231" s="15">
        <v>38656</v>
      </c>
      <c r="AM231" s="8">
        <v>2700</v>
      </c>
      <c r="AN231" s="15">
        <v>38656</v>
      </c>
      <c r="AO231" s="8">
        <v>2500</v>
      </c>
      <c r="AP231" s="5">
        <v>43312</v>
      </c>
      <c r="AQ231" s="4">
        <v>15.85</v>
      </c>
      <c r="AR231" s="11">
        <v>39262</v>
      </c>
      <c r="AS231" s="11">
        <v>39262</v>
      </c>
      <c r="AT231" s="10">
        <v>71.41</v>
      </c>
    </row>
    <row r="232" spans="1:46" x14ac:dyDescent="0.25">
      <c r="A232" s="16">
        <v>25262</v>
      </c>
      <c r="B232" s="1">
        <v>8928</v>
      </c>
      <c r="C232" s="13" t="str">
        <f t="shared" si="3"/>
        <v>92001</v>
      </c>
      <c r="D232" s="2">
        <v>37162</v>
      </c>
      <c r="E232" s="1">
        <v>1600</v>
      </c>
      <c r="F232" s="16">
        <v>41333</v>
      </c>
      <c r="G232" s="1">
        <v>9319.7199999999993</v>
      </c>
      <c r="H232" s="16">
        <v>41333</v>
      </c>
      <c r="I232" s="1">
        <v>3115</v>
      </c>
      <c r="J232" s="16">
        <v>41333</v>
      </c>
      <c r="K232" s="1">
        <v>3076</v>
      </c>
      <c r="L232" s="16">
        <v>41333</v>
      </c>
      <c r="M232" s="1">
        <v>1460</v>
      </c>
      <c r="N232" s="16">
        <v>41333</v>
      </c>
      <c r="O232" s="1">
        <v>2266</v>
      </c>
      <c r="P232" s="16">
        <v>41333</v>
      </c>
      <c r="Q232" s="1">
        <v>9990</v>
      </c>
      <c r="R232" s="16">
        <v>41333</v>
      </c>
      <c r="S232" s="1">
        <v>2500</v>
      </c>
      <c r="T232" s="16">
        <v>41333</v>
      </c>
      <c r="U232" s="1">
        <v>4121.8999999999996</v>
      </c>
      <c r="V232" s="16">
        <v>41333</v>
      </c>
      <c r="W232" s="1">
        <v>2017.3030000000001</v>
      </c>
      <c r="X232" s="15">
        <v>38717</v>
      </c>
      <c r="Y232" s="8">
        <v>29905</v>
      </c>
      <c r="Z232" s="15">
        <v>38686</v>
      </c>
      <c r="AA232" s="8">
        <v>9550</v>
      </c>
      <c r="AB232" s="15">
        <v>38686</v>
      </c>
      <c r="AC232" s="8">
        <v>2570</v>
      </c>
      <c r="AD232" s="15">
        <v>38686</v>
      </c>
      <c r="AE232" s="8">
        <v>3910</v>
      </c>
      <c r="AF232" s="15">
        <v>38686</v>
      </c>
      <c r="AG232" s="8">
        <v>1550</v>
      </c>
      <c r="AH232" s="15">
        <v>38686</v>
      </c>
      <c r="AI232" s="8">
        <v>1680</v>
      </c>
      <c r="AJ232" s="15">
        <v>38686</v>
      </c>
      <c r="AK232" s="8">
        <v>2450</v>
      </c>
      <c r="AL232" s="15">
        <v>38686</v>
      </c>
      <c r="AM232" s="8">
        <v>2600</v>
      </c>
      <c r="AN232" s="15">
        <v>38686</v>
      </c>
      <c r="AO232" s="8">
        <v>2510</v>
      </c>
      <c r="AP232" s="5">
        <v>43343</v>
      </c>
      <c r="AQ232" s="4">
        <v>16</v>
      </c>
      <c r="AR232" s="11">
        <v>39294</v>
      </c>
      <c r="AS232" s="11">
        <v>39294</v>
      </c>
      <c r="AT232" s="10">
        <v>77.05</v>
      </c>
    </row>
    <row r="233" spans="1:46" x14ac:dyDescent="0.25">
      <c r="A233" s="16">
        <v>25293</v>
      </c>
      <c r="B233" s="1">
        <v>9055</v>
      </c>
      <c r="C233" s="13" t="str">
        <f t="shared" si="3"/>
        <v>102001</v>
      </c>
      <c r="D233" s="2">
        <v>37195</v>
      </c>
      <c r="E233" s="1">
        <v>2500</v>
      </c>
      <c r="F233" s="16">
        <v>41364</v>
      </c>
      <c r="G233" s="1">
        <v>9319.7199999999993</v>
      </c>
      <c r="H233" s="16">
        <v>41364</v>
      </c>
      <c r="I233" s="1">
        <v>3139</v>
      </c>
      <c r="J233" s="16">
        <v>41364</v>
      </c>
      <c r="K233" s="1">
        <v>3076</v>
      </c>
      <c r="L233" s="16">
        <v>41364</v>
      </c>
      <c r="M233" s="1">
        <v>1410</v>
      </c>
      <c r="N233" s="16">
        <v>41364</v>
      </c>
      <c r="O233" s="1">
        <v>2358</v>
      </c>
      <c r="P233" s="16">
        <v>41364</v>
      </c>
      <c r="Q233" s="1">
        <v>9995</v>
      </c>
      <c r="R233" s="16">
        <v>41364</v>
      </c>
      <c r="S233" s="1">
        <v>2500</v>
      </c>
      <c r="T233" s="16">
        <v>41364</v>
      </c>
      <c r="U233" s="1">
        <v>4158.2</v>
      </c>
      <c r="V233" s="16">
        <v>41364</v>
      </c>
      <c r="W233" s="1">
        <v>1852.65</v>
      </c>
      <c r="X233" s="15">
        <v>38748</v>
      </c>
      <c r="Y233" s="8">
        <v>29490</v>
      </c>
      <c r="Z233" s="15">
        <v>38717</v>
      </c>
      <c r="AA233" s="8">
        <v>9520</v>
      </c>
      <c r="AB233" s="15">
        <v>38717</v>
      </c>
      <c r="AC233" s="8">
        <v>2570</v>
      </c>
      <c r="AD233" s="15">
        <v>38717</v>
      </c>
      <c r="AE233" s="8">
        <v>3910</v>
      </c>
      <c r="AF233" s="15">
        <v>38717</v>
      </c>
      <c r="AG233" s="8">
        <v>1550</v>
      </c>
      <c r="AH233" s="15">
        <v>38717</v>
      </c>
      <c r="AI233" s="8">
        <v>1680</v>
      </c>
      <c r="AJ233" s="15">
        <v>38717</v>
      </c>
      <c r="AK233" s="8">
        <v>2450</v>
      </c>
      <c r="AL233" s="15">
        <v>38717</v>
      </c>
      <c r="AM233" s="8">
        <v>2600</v>
      </c>
      <c r="AN233" s="15">
        <v>38717</v>
      </c>
      <c r="AO233" s="8">
        <v>2510</v>
      </c>
      <c r="AP233" s="5">
        <v>43373</v>
      </c>
      <c r="AQ233" s="4">
        <v>15.18</v>
      </c>
      <c r="AR233" s="11">
        <v>39325</v>
      </c>
      <c r="AS233" s="11">
        <v>39325</v>
      </c>
      <c r="AT233" s="10">
        <v>72.69</v>
      </c>
    </row>
    <row r="234" spans="1:46" x14ac:dyDescent="0.25">
      <c r="A234" s="16">
        <v>25323</v>
      </c>
      <c r="B234" s="1">
        <v>9238</v>
      </c>
      <c r="C234" s="13" t="str">
        <f t="shared" si="3"/>
        <v>112001</v>
      </c>
      <c r="D234" s="2">
        <v>37225</v>
      </c>
      <c r="E234" s="1">
        <v>4200</v>
      </c>
      <c r="F234" s="16">
        <v>41394</v>
      </c>
      <c r="G234" s="1">
        <v>9619.7199999999993</v>
      </c>
      <c r="H234" s="16">
        <v>41394</v>
      </c>
      <c r="I234" s="1">
        <v>3124</v>
      </c>
      <c r="J234" s="16">
        <v>41394</v>
      </c>
      <c r="K234" s="1">
        <v>3176</v>
      </c>
      <c r="L234" s="16">
        <v>41394</v>
      </c>
      <c r="M234" s="1">
        <v>1510</v>
      </c>
      <c r="N234" s="16">
        <v>41394</v>
      </c>
      <c r="O234" s="1">
        <v>2346</v>
      </c>
      <c r="P234" s="16">
        <v>41394</v>
      </c>
      <c r="Q234" s="1">
        <v>10002</v>
      </c>
      <c r="R234" s="16">
        <v>41394</v>
      </c>
      <c r="S234" s="1">
        <v>2500</v>
      </c>
      <c r="T234" s="16">
        <v>41394</v>
      </c>
      <c r="U234" s="1">
        <v>4149.1000000000004</v>
      </c>
      <c r="V234" s="16">
        <v>41394</v>
      </c>
      <c r="W234" s="1">
        <v>1922.816</v>
      </c>
      <c r="X234" s="15">
        <v>38776</v>
      </c>
      <c r="Y234" s="8">
        <v>29865</v>
      </c>
      <c r="Z234" s="15">
        <v>38748</v>
      </c>
      <c r="AA234" s="8">
        <v>9490</v>
      </c>
      <c r="AB234" s="15">
        <v>38748</v>
      </c>
      <c r="AC234" s="8">
        <v>2530</v>
      </c>
      <c r="AD234" s="15">
        <v>38748</v>
      </c>
      <c r="AE234" s="8">
        <v>3700</v>
      </c>
      <c r="AF234" s="15">
        <v>38748</v>
      </c>
      <c r="AG234" s="8">
        <v>1530</v>
      </c>
      <c r="AH234" s="15">
        <v>38748</v>
      </c>
      <c r="AI234" s="8">
        <v>1680</v>
      </c>
      <c r="AJ234" s="15">
        <v>38748</v>
      </c>
      <c r="AK234" s="8">
        <v>2360</v>
      </c>
      <c r="AL234" s="15">
        <v>38748</v>
      </c>
      <c r="AM234" s="8">
        <v>2580</v>
      </c>
      <c r="AN234" s="15">
        <v>38748</v>
      </c>
      <c r="AO234" s="8">
        <v>2520</v>
      </c>
      <c r="AP234" s="5">
        <v>43404</v>
      </c>
      <c r="AQ234" s="4">
        <v>16.09</v>
      </c>
      <c r="AR234" s="11">
        <v>39353</v>
      </c>
      <c r="AS234" s="11">
        <v>39353</v>
      </c>
      <c r="AT234" s="10">
        <v>79.17</v>
      </c>
    </row>
    <row r="235" spans="1:46" x14ac:dyDescent="0.25">
      <c r="A235" s="16">
        <v>25354</v>
      </c>
      <c r="B235" s="1">
        <v>9356</v>
      </c>
      <c r="C235" s="13" t="str">
        <f t="shared" si="3"/>
        <v>122001</v>
      </c>
      <c r="D235" s="2">
        <v>37256</v>
      </c>
      <c r="E235" s="1">
        <v>-2200</v>
      </c>
      <c r="F235" s="16">
        <v>41425</v>
      </c>
      <c r="G235" s="1">
        <v>9819.7199999999993</v>
      </c>
      <c r="H235" s="16">
        <v>41425</v>
      </c>
      <c r="I235" s="1">
        <v>3064</v>
      </c>
      <c r="J235" s="16">
        <v>41425</v>
      </c>
      <c r="K235" s="1">
        <v>3076</v>
      </c>
      <c r="L235" s="16">
        <v>41425</v>
      </c>
      <c r="M235" s="1">
        <v>1480</v>
      </c>
      <c r="N235" s="16">
        <v>41425</v>
      </c>
      <c r="O235" s="1">
        <v>2251</v>
      </c>
      <c r="P235" s="16">
        <v>41425</v>
      </c>
      <c r="Q235" s="1">
        <v>10018</v>
      </c>
      <c r="R235" s="16">
        <v>41425</v>
      </c>
      <c r="S235" s="1">
        <v>2500</v>
      </c>
      <c r="T235" s="16">
        <v>41425</v>
      </c>
      <c r="U235" s="1">
        <v>4173</v>
      </c>
      <c r="V235" s="16">
        <v>41425</v>
      </c>
      <c r="W235" s="1">
        <v>1993.3119999999999</v>
      </c>
      <c r="X235" s="15">
        <v>38807</v>
      </c>
      <c r="Y235" s="8">
        <v>29790</v>
      </c>
      <c r="Z235" s="15">
        <v>38776</v>
      </c>
      <c r="AA235" s="8">
        <v>9450</v>
      </c>
      <c r="AB235" s="15">
        <v>38776</v>
      </c>
      <c r="AC235" s="8">
        <v>2480</v>
      </c>
      <c r="AD235" s="15">
        <v>38776</v>
      </c>
      <c r="AE235" s="8">
        <v>3900</v>
      </c>
      <c r="AF235" s="15">
        <v>38776</v>
      </c>
      <c r="AG235" s="8">
        <v>1835</v>
      </c>
      <c r="AH235" s="15">
        <v>38776</v>
      </c>
      <c r="AI235" s="8">
        <v>1680</v>
      </c>
      <c r="AJ235" s="15">
        <v>38776</v>
      </c>
      <c r="AK235" s="8">
        <v>2280</v>
      </c>
      <c r="AL235" s="15">
        <v>38776</v>
      </c>
      <c r="AM235" s="8">
        <v>2620</v>
      </c>
      <c r="AN235" s="15">
        <v>38776</v>
      </c>
      <c r="AO235" s="8">
        <v>2520</v>
      </c>
      <c r="AP235" s="5">
        <v>43434</v>
      </c>
      <c r="AQ235" s="4">
        <v>15.53</v>
      </c>
      <c r="AR235" s="11">
        <v>39386</v>
      </c>
      <c r="AS235" s="11">
        <v>39386</v>
      </c>
      <c r="AT235" s="10">
        <v>90.63</v>
      </c>
    </row>
    <row r="236" spans="1:46" x14ac:dyDescent="0.25">
      <c r="A236" s="16">
        <v>25384</v>
      </c>
      <c r="B236" s="1">
        <v>9631</v>
      </c>
      <c r="C236" s="13" t="str">
        <f t="shared" si="3"/>
        <v>12002</v>
      </c>
      <c r="D236" s="2">
        <v>37287</v>
      </c>
      <c r="E236" s="1">
        <v>2100</v>
      </c>
      <c r="F236" s="16">
        <v>41455</v>
      </c>
      <c r="G236" s="1">
        <v>10019.719999999999</v>
      </c>
      <c r="H236" s="16">
        <v>41455</v>
      </c>
      <c r="I236" s="1">
        <v>3105</v>
      </c>
      <c r="J236" s="16">
        <v>41455</v>
      </c>
      <c r="K236" s="1">
        <v>3101</v>
      </c>
      <c r="L236" s="16">
        <v>41455</v>
      </c>
      <c r="M236" s="1">
        <v>1190</v>
      </c>
      <c r="N236" s="16">
        <v>41455</v>
      </c>
      <c r="O236" s="1">
        <v>2210</v>
      </c>
      <c r="P236" s="16">
        <v>41455</v>
      </c>
      <c r="Q236" s="1">
        <v>9955</v>
      </c>
      <c r="R236" s="16">
        <v>41455</v>
      </c>
      <c r="S236" s="1">
        <v>2500</v>
      </c>
      <c r="T236" s="16">
        <v>41455</v>
      </c>
      <c r="U236" s="1">
        <v>4254.7</v>
      </c>
      <c r="V236" s="16">
        <v>41455</v>
      </c>
      <c r="W236" s="1">
        <v>2100.953</v>
      </c>
      <c r="X236" s="15">
        <v>38837</v>
      </c>
      <c r="Y236" s="8">
        <v>29645</v>
      </c>
      <c r="Z236" s="15">
        <v>38807</v>
      </c>
      <c r="AA236" s="8">
        <v>9550</v>
      </c>
      <c r="AB236" s="15">
        <v>38807</v>
      </c>
      <c r="AC236" s="8">
        <v>2500</v>
      </c>
      <c r="AD236" s="15">
        <v>38807</v>
      </c>
      <c r="AE236" s="8">
        <v>3900</v>
      </c>
      <c r="AF236" s="15">
        <v>38807</v>
      </c>
      <c r="AG236" s="8">
        <v>1810</v>
      </c>
      <c r="AH236" s="15">
        <v>38807</v>
      </c>
      <c r="AI236" s="8">
        <v>1700</v>
      </c>
      <c r="AJ236" s="15">
        <v>38807</v>
      </c>
      <c r="AK236" s="8">
        <v>2030</v>
      </c>
      <c r="AL236" s="15">
        <v>38807</v>
      </c>
      <c r="AM236" s="8">
        <v>2640</v>
      </c>
      <c r="AN236" s="15">
        <v>38807</v>
      </c>
      <c r="AO236" s="8">
        <v>2520</v>
      </c>
      <c r="AP236" s="5">
        <v>43465</v>
      </c>
      <c r="AQ236" s="4">
        <v>16.332999999999998</v>
      </c>
      <c r="AR236" s="11">
        <v>39416</v>
      </c>
      <c r="AS236" s="11">
        <v>39416</v>
      </c>
      <c r="AT236" s="10">
        <v>88.26</v>
      </c>
    </row>
    <row r="237" spans="1:46" x14ac:dyDescent="0.25">
      <c r="A237" s="16">
        <v>25415</v>
      </c>
      <c r="B237" s="1">
        <v>9295</v>
      </c>
      <c r="C237" s="13" t="str">
        <f t="shared" si="3"/>
        <v>22002</v>
      </c>
      <c r="D237" s="2">
        <v>37315</v>
      </c>
      <c r="E237" s="1">
        <v>-2500</v>
      </c>
      <c r="F237" s="16">
        <v>41486</v>
      </c>
      <c r="G237" s="1">
        <v>10219.719999999999</v>
      </c>
      <c r="H237" s="16">
        <v>41486</v>
      </c>
      <c r="I237" s="1">
        <v>3130</v>
      </c>
      <c r="J237" s="16">
        <v>41486</v>
      </c>
      <c r="K237" s="1">
        <v>3101</v>
      </c>
      <c r="L237" s="16">
        <v>41486</v>
      </c>
      <c r="M237" s="1">
        <v>1060</v>
      </c>
      <c r="N237" s="16">
        <v>41486</v>
      </c>
      <c r="O237" s="1">
        <v>2338</v>
      </c>
      <c r="P237" s="16">
        <v>41486</v>
      </c>
      <c r="Q237" s="1">
        <v>10052</v>
      </c>
      <c r="R237" s="16">
        <v>41486</v>
      </c>
      <c r="S237" s="1">
        <v>2500</v>
      </c>
      <c r="T237" s="16">
        <v>41486</v>
      </c>
      <c r="U237" s="1">
        <v>4040.2</v>
      </c>
      <c r="V237" s="16">
        <v>41486</v>
      </c>
      <c r="W237" s="1">
        <v>1974.452</v>
      </c>
      <c r="X237" s="15">
        <v>38868</v>
      </c>
      <c r="Y237" s="8">
        <v>29655</v>
      </c>
      <c r="Z237" s="15">
        <v>38837</v>
      </c>
      <c r="AA237" s="8">
        <v>9200</v>
      </c>
      <c r="AB237" s="15">
        <v>38837</v>
      </c>
      <c r="AC237" s="8">
        <v>2550</v>
      </c>
      <c r="AD237" s="15">
        <v>38837</v>
      </c>
      <c r="AE237" s="8">
        <v>3750</v>
      </c>
      <c r="AF237" s="15">
        <v>38837</v>
      </c>
      <c r="AG237" s="8">
        <v>2050</v>
      </c>
      <c r="AH237" s="15">
        <v>38837</v>
      </c>
      <c r="AI237" s="8">
        <v>1720</v>
      </c>
      <c r="AJ237" s="15">
        <v>38837</v>
      </c>
      <c r="AK237" s="8">
        <v>2080</v>
      </c>
      <c r="AL237" s="15">
        <v>38837</v>
      </c>
      <c r="AM237" s="8">
        <v>2650</v>
      </c>
      <c r="AN237" s="15">
        <v>38837</v>
      </c>
      <c r="AO237" s="8">
        <v>2520</v>
      </c>
      <c r="AP237" s="5">
        <v>43555</v>
      </c>
      <c r="AQ237" s="4">
        <v>16.54</v>
      </c>
      <c r="AR237" s="11">
        <v>39447</v>
      </c>
      <c r="AS237" s="11">
        <v>39447</v>
      </c>
      <c r="AT237" s="10">
        <v>93.85</v>
      </c>
    </row>
    <row r="238" spans="1:46" x14ac:dyDescent="0.25">
      <c r="A238" s="16">
        <v>25446</v>
      </c>
      <c r="B238" s="1">
        <v>9067</v>
      </c>
      <c r="C238" s="13" t="str">
        <f t="shared" si="3"/>
        <v>32002</v>
      </c>
      <c r="D238" s="2">
        <v>37344</v>
      </c>
      <c r="E238" s="1">
        <v>6100</v>
      </c>
      <c r="F238" s="16">
        <v>41517</v>
      </c>
      <c r="G238" s="1">
        <v>10419.719999999999</v>
      </c>
      <c r="H238" s="16">
        <v>41517</v>
      </c>
      <c r="I238" s="1">
        <v>3097</v>
      </c>
      <c r="J238" s="16">
        <v>41517</v>
      </c>
      <c r="K238" s="1">
        <v>3276</v>
      </c>
      <c r="L238" s="16">
        <v>41517</v>
      </c>
      <c r="M238" s="1">
        <v>650</v>
      </c>
      <c r="N238" s="16">
        <v>41517</v>
      </c>
      <c r="O238" s="1">
        <v>2344</v>
      </c>
      <c r="P238" s="16">
        <v>41517</v>
      </c>
      <c r="Q238" s="1">
        <v>10064</v>
      </c>
      <c r="R238" s="16">
        <v>41517</v>
      </c>
      <c r="S238" s="1">
        <v>2500</v>
      </c>
      <c r="T238" s="16">
        <v>41517</v>
      </c>
      <c r="U238" s="1">
        <v>4082.1</v>
      </c>
      <c r="V238" s="16">
        <v>41517</v>
      </c>
      <c r="W238" s="1">
        <v>2011.0070000000001</v>
      </c>
      <c r="X238" s="15">
        <v>38898</v>
      </c>
      <c r="Y238" s="8">
        <v>29850</v>
      </c>
      <c r="Z238" s="15">
        <v>38868</v>
      </c>
      <c r="AA238" s="8">
        <v>9300</v>
      </c>
      <c r="AB238" s="15">
        <v>38868</v>
      </c>
      <c r="AC238" s="8">
        <v>2580</v>
      </c>
      <c r="AD238" s="15">
        <v>38868</v>
      </c>
      <c r="AE238" s="8">
        <v>3700</v>
      </c>
      <c r="AF238" s="15">
        <v>38868</v>
      </c>
      <c r="AG238" s="8">
        <v>1935</v>
      </c>
      <c r="AH238" s="15">
        <v>38868</v>
      </c>
      <c r="AI238" s="8">
        <v>1720</v>
      </c>
      <c r="AJ238" s="15">
        <v>38868</v>
      </c>
      <c r="AK238" s="8">
        <v>2200</v>
      </c>
      <c r="AL238" s="15">
        <v>38868</v>
      </c>
      <c r="AM238" s="8">
        <v>2600</v>
      </c>
      <c r="AN238" s="15">
        <v>38868</v>
      </c>
      <c r="AO238" s="8">
        <v>2500</v>
      </c>
      <c r="AP238" s="5">
        <v>43585</v>
      </c>
      <c r="AQ238" s="4">
        <v>15.71</v>
      </c>
      <c r="AR238" s="11">
        <v>39478</v>
      </c>
      <c r="AS238" s="11">
        <v>39478</v>
      </c>
      <c r="AT238" s="10">
        <v>92.21</v>
      </c>
    </row>
    <row r="239" spans="1:46" x14ac:dyDescent="0.25">
      <c r="A239" s="16">
        <v>25476</v>
      </c>
      <c r="B239" s="1">
        <v>9295</v>
      </c>
      <c r="C239" s="13" t="str">
        <f t="shared" si="3"/>
        <v>42002</v>
      </c>
      <c r="D239" s="2">
        <v>37376</v>
      </c>
      <c r="E239" s="1">
        <v>4600</v>
      </c>
      <c r="F239" s="16">
        <v>41547</v>
      </c>
      <c r="G239" s="1">
        <v>10319.719999999999</v>
      </c>
      <c r="H239" s="16">
        <v>41547</v>
      </c>
      <c r="I239" s="1">
        <v>3065</v>
      </c>
      <c r="J239" s="16">
        <v>41547</v>
      </c>
      <c r="K239" s="1">
        <v>2826</v>
      </c>
      <c r="L239" s="16">
        <v>41547</v>
      </c>
      <c r="M239" s="1">
        <v>420</v>
      </c>
      <c r="N239" s="16">
        <v>41547</v>
      </c>
      <c r="O239" s="1">
        <v>2366</v>
      </c>
      <c r="P239" s="16">
        <v>41547</v>
      </c>
      <c r="Q239" s="1">
        <v>10082</v>
      </c>
      <c r="R239" s="16">
        <v>41547</v>
      </c>
      <c r="S239" s="1">
        <v>2500</v>
      </c>
      <c r="T239" s="16">
        <v>41547</v>
      </c>
      <c r="U239" s="1">
        <v>4135.8999999999996</v>
      </c>
      <c r="V239" s="16">
        <v>41547</v>
      </c>
      <c r="W239" s="1">
        <v>2093.9540000000002</v>
      </c>
      <c r="X239" s="15">
        <v>38929</v>
      </c>
      <c r="Y239" s="8">
        <v>29910</v>
      </c>
      <c r="Z239" s="15">
        <v>38898</v>
      </c>
      <c r="AA239" s="8">
        <v>9220</v>
      </c>
      <c r="AB239" s="15">
        <v>38898</v>
      </c>
      <c r="AC239" s="8">
        <v>2560</v>
      </c>
      <c r="AD239" s="15">
        <v>38898</v>
      </c>
      <c r="AE239" s="8">
        <v>3850</v>
      </c>
      <c r="AF239" s="15">
        <v>38898</v>
      </c>
      <c r="AG239" s="8">
        <v>2090</v>
      </c>
      <c r="AH239" s="15">
        <v>38898</v>
      </c>
      <c r="AI239" s="8">
        <v>1700</v>
      </c>
      <c r="AJ239" s="15">
        <v>38898</v>
      </c>
      <c r="AK239" s="8">
        <v>2250</v>
      </c>
      <c r="AL239" s="15">
        <v>38898</v>
      </c>
      <c r="AM239" s="8">
        <v>2580</v>
      </c>
      <c r="AN239" s="15">
        <v>38898</v>
      </c>
      <c r="AO239" s="8">
        <v>2500</v>
      </c>
      <c r="AP239" s="5">
        <v>43616</v>
      </c>
      <c r="AQ239" s="4">
        <v>16.23</v>
      </c>
      <c r="AR239" s="11">
        <v>39507</v>
      </c>
      <c r="AS239" s="11">
        <v>39507</v>
      </c>
      <c r="AT239" s="10">
        <v>100.1</v>
      </c>
    </row>
    <row r="240" spans="1:46" x14ac:dyDescent="0.25">
      <c r="A240" s="16">
        <v>25507</v>
      </c>
      <c r="B240" s="1">
        <v>9213</v>
      </c>
      <c r="C240" s="13" t="str">
        <f t="shared" si="3"/>
        <v>52002</v>
      </c>
      <c r="D240" s="2">
        <v>37407</v>
      </c>
      <c r="E240" s="1">
        <v>6000</v>
      </c>
      <c r="F240" s="16">
        <v>41578</v>
      </c>
      <c r="G240" s="1">
        <v>10019.719999999999</v>
      </c>
      <c r="H240" s="16">
        <v>41578</v>
      </c>
      <c r="I240" s="1">
        <v>3127</v>
      </c>
      <c r="J240" s="16">
        <v>41578</v>
      </c>
      <c r="K240" s="1">
        <v>2976</v>
      </c>
      <c r="L240" s="16">
        <v>41578</v>
      </c>
      <c r="M240" s="1">
        <v>610</v>
      </c>
      <c r="N240" s="16">
        <v>41578</v>
      </c>
      <c r="O240" s="1">
        <v>2320</v>
      </c>
      <c r="P240" s="16">
        <v>41578</v>
      </c>
      <c r="Q240" s="1">
        <v>10109</v>
      </c>
      <c r="R240" s="16">
        <v>41578</v>
      </c>
      <c r="S240" s="1">
        <v>2500</v>
      </c>
      <c r="T240" s="16">
        <v>41578</v>
      </c>
      <c r="U240" s="1">
        <v>4222.2</v>
      </c>
      <c r="V240" s="16">
        <v>41578</v>
      </c>
      <c r="W240" s="1">
        <v>2078.7620000000002</v>
      </c>
      <c r="X240" s="15">
        <v>38960</v>
      </c>
      <c r="Y240" s="8">
        <v>29820</v>
      </c>
      <c r="Z240" s="15">
        <v>38929</v>
      </c>
      <c r="AA240" s="8">
        <v>9320</v>
      </c>
      <c r="AB240" s="15">
        <v>38929</v>
      </c>
      <c r="AC240" s="8">
        <v>2560</v>
      </c>
      <c r="AD240" s="15">
        <v>38929</v>
      </c>
      <c r="AE240" s="8">
        <v>4070</v>
      </c>
      <c r="AF240" s="15">
        <v>38929</v>
      </c>
      <c r="AG240" s="8">
        <v>2060</v>
      </c>
      <c r="AH240" s="15">
        <v>38929</v>
      </c>
      <c r="AI240" s="8">
        <v>1700</v>
      </c>
      <c r="AJ240" s="15">
        <v>38929</v>
      </c>
      <c r="AK240" s="8">
        <v>2200</v>
      </c>
      <c r="AL240" s="15">
        <v>38929</v>
      </c>
      <c r="AM240" s="8">
        <v>2450</v>
      </c>
      <c r="AN240" s="15">
        <v>38929</v>
      </c>
      <c r="AO240" s="8">
        <v>2460</v>
      </c>
      <c r="AP240" s="5">
        <v>43646</v>
      </c>
      <c r="AQ240" s="4">
        <v>16.100000000000001</v>
      </c>
      <c r="AR240" s="11">
        <v>39538</v>
      </c>
      <c r="AS240" s="11">
        <v>39538</v>
      </c>
      <c r="AT240" s="10">
        <v>100.3</v>
      </c>
    </row>
    <row r="241" spans="1:46" x14ac:dyDescent="0.25">
      <c r="A241" s="16">
        <v>25537</v>
      </c>
      <c r="B241" s="1">
        <v>9346</v>
      </c>
      <c r="C241" s="13" t="str">
        <f t="shared" si="3"/>
        <v>62002</v>
      </c>
      <c r="D241" s="2">
        <v>37435</v>
      </c>
      <c r="E241" s="1">
        <v>1600</v>
      </c>
      <c r="F241" s="16">
        <v>41608</v>
      </c>
      <c r="G241" s="1">
        <v>10019.719999999999</v>
      </c>
      <c r="H241" s="16">
        <v>41608</v>
      </c>
      <c r="I241" s="1">
        <v>3136</v>
      </c>
      <c r="J241" s="16">
        <v>41608</v>
      </c>
      <c r="K241" s="1">
        <v>2976</v>
      </c>
      <c r="L241" s="16">
        <v>41608</v>
      </c>
      <c r="M241" s="1">
        <v>280</v>
      </c>
      <c r="N241" s="16">
        <v>41608</v>
      </c>
      <c r="O241" s="1">
        <v>2220</v>
      </c>
      <c r="P241" s="16">
        <v>41608</v>
      </c>
      <c r="Q241" s="1">
        <v>10209</v>
      </c>
      <c r="R241" s="16">
        <v>41608</v>
      </c>
      <c r="S241" s="1">
        <v>2500</v>
      </c>
      <c r="T241" s="16">
        <v>41608</v>
      </c>
      <c r="U241" s="1">
        <v>4232</v>
      </c>
      <c r="V241" s="16">
        <v>41608</v>
      </c>
      <c r="W241" s="1">
        <v>2081.116</v>
      </c>
      <c r="X241" s="15">
        <v>38990</v>
      </c>
      <c r="Y241" s="8">
        <v>29605</v>
      </c>
      <c r="Z241" s="15">
        <v>38960</v>
      </c>
      <c r="AA241" s="8">
        <v>9320</v>
      </c>
      <c r="AB241" s="15">
        <v>38960</v>
      </c>
      <c r="AC241" s="8">
        <v>2600</v>
      </c>
      <c r="AD241" s="15">
        <v>38960</v>
      </c>
      <c r="AE241" s="8">
        <v>4020</v>
      </c>
      <c r="AF241" s="15">
        <v>38960</v>
      </c>
      <c r="AG241" s="8">
        <v>1980</v>
      </c>
      <c r="AH241" s="15">
        <v>38960</v>
      </c>
      <c r="AI241" s="8">
        <v>1700</v>
      </c>
      <c r="AJ241" s="15">
        <v>38960</v>
      </c>
      <c r="AK241" s="8">
        <v>2180</v>
      </c>
      <c r="AL241" s="15">
        <v>38960</v>
      </c>
      <c r="AM241" s="8">
        <v>2500</v>
      </c>
      <c r="AN241" s="15">
        <v>38960</v>
      </c>
      <c r="AO241" s="8">
        <v>2470</v>
      </c>
      <c r="AP241" s="5">
        <v>43677</v>
      </c>
      <c r="AQ241" s="4">
        <v>16.29</v>
      </c>
      <c r="AR241" s="11">
        <v>39568</v>
      </c>
      <c r="AS241" s="11">
        <v>39568</v>
      </c>
      <c r="AT241" s="10">
        <v>111.36</v>
      </c>
    </row>
    <row r="242" spans="1:46" x14ac:dyDescent="0.25">
      <c r="A242" s="16">
        <v>25568</v>
      </c>
      <c r="B242" s="1">
        <v>9528</v>
      </c>
      <c r="C242" s="13" t="str">
        <f t="shared" si="3"/>
        <v>72002</v>
      </c>
      <c r="D242" s="2">
        <v>37468</v>
      </c>
      <c r="E242" s="1">
        <v>-2000</v>
      </c>
      <c r="F242" s="16">
        <v>41639</v>
      </c>
      <c r="G242" s="1">
        <v>10019.719999999999</v>
      </c>
      <c r="H242" s="16">
        <v>41639</v>
      </c>
      <c r="I242" s="1">
        <v>3169</v>
      </c>
      <c r="J242" s="16">
        <v>41639</v>
      </c>
      <c r="K242" s="1">
        <v>2926</v>
      </c>
      <c r="L242" s="16">
        <v>41639</v>
      </c>
      <c r="M242" s="1">
        <v>290</v>
      </c>
      <c r="N242" s="16">
        <v>41639</v>
      </c>
      <c r="O242" s="1">
        <v>2300</v>
      </c>
      <c r="P242" s="16">
        <v>41639</v>
      </c>
      <c r="Q242" s="1">
        <v>10170</v>
      </c>
      <c r="R242" s="16">
        <v>41639</v>
      </c>
      <c r="S242" s="1">
        <v>2500</v>
      </c>
      <c r="T242" s="16">
        <v>41639</v>
      </c>
      <c r="U242" s="1">
        <v>4228.1000000000004</v>
      </c>
      <c r="V242" s="16">
        <v>41639</v>
      </c>
      <c r="W242" s="1">
        <v>2109.2849999999999</v>
      </c>
      <c r="X242" s="15">
        <v>39021</v>
      </c>
      <c r="Y242" s="8">
        <v>29370</v>
      </c>
      <c r="Z242" s="15">
        <v>38990</v>
      </c>
      <c r="AA242" s="8">
        <v>9180</v>
      </c>
      <c r="AB242" s="15">
        <v>38990</v>
      </c>
      <c r="AC242" s="8">
        <v>2600</v>
      </c>
      <c r="AD242" s="15">
        <v>38990</v>
      </c>
      <c r="AE242" s="8">
        <v>3900</v>
      </c>
      <c r="AF242" s="15">
        <v>38990</v>
      </c>
      <c r="AG242" s="8">
        <v>2000</v>
      </c>
      <c r="AH242" s="15">
        <v>38990</v>
      </c>
      <c r="AI242" s="8">
        <v>1720</v>
      </c>
      <c r="AJ242" s="15">
        <v>38990</v>
      </c>
      <c r="AK242" s="8">
        <v>2180</v>
      </c>
      <c r="AL242" s="15">
        <v>38990</v>
      </c>
      <c r="AM242" s="8">
        <v>2470</v>
      </c>
      <c r="AN242" s="15">
        <v>38990</v>
      </c>
      <c r="AO242" s="8">
        <v>2490</v>
      </c>
      <c r="AP242" s="5">
        <v>43708</v>
      </c>
      <c r="AQ242" s="4">
        <v>16.18</v>
      </c>
      <c r="AR242" s="11">
        <v>39598</v>
      </c>
      <c r="AS242" s="11">
        <v>39598</v>
      </c>
      <c r="AT242" s="10">
        <v>127.78</v>
      </c>
    </row>
    <row r="243" spans="1:46" x14ac:dyDescent="0.25">
      <c r="A243" s="16">
        <v>25599</v>
      </c>
      <c r="B243" s="1">
        <v>9478</v>
      </c>
      <c r="C243" s="13" t="str">
        <f t="shared" si="3"/>
        <v>82002</v>
      </c>
      <c r="D243" s="2">
        <v>37498</v>
      </c>
      <c r="E243" s="1">
        <v>-4600</v>
      </c>
      <c r="F243" s="16">
        <v>41670</v>
      </c>
      <c r="G243" s="1">
        <v>10109.977999999999</v>
      </c>
      <c r="H243" s="16">
        <v>41670</v>
      </c>
      <c r="I243" s="1">
        <v>3270</v>
      </c>
      <c r="J243" s="16">
        <v>41670</v>
      </c>
      <c r="K243" s="1">
        <v>3127</v>
      </c>
      <c r="L243" s="16">
        <v>41670</v>
      </c>
      <c r="M243" s="1">
        <v>569</v>
      </c>
      <c r="N243" s="16">
        <v>41670</v>
      </c>
      <c r="O243" s="1">
        <v>2420</v>
      </c>
      <c r="P243" s="16">
        <v>41670</v>
      </c>
      <c r="Q243" s="1">
        <v>10131</v>
      </c>
      <c r="R243" s="16">
        <v>41670</v>
      </c>
      <c r="S243" s="1">
        <v>2500</v>
      </c>
      <c r="T243" s="16">
        <v>41670</v>
      </c>
      <c r="U243" s="1">
        <v>4181.7</v>
      </c>
      <c r="V243" s="16">
        <v>41670</v>
      </c>
      <c r="W243" s="1">
        <v>2052.5450000000001</v>
      </c>
      <c r="X243" s="15">
        <v>39051</v>
      </c>
      <c r="Y243" s="8">
        <v>28860</v>
      </c>
      <c r="Z243" s="15">
        <v>39021</v>
      </c>
      <c r="AA243" s="8">
        <v>9080</v>
      </c>
      <c r="AB243" s="15">
        <v>39021</v>
      </c>
      <c r="AC243" s="8">
        <v>2620</v>
      </c>
      <c r="AD243" s="15">
        <v>39021</v>
      </c>
      <c r="AE243" s="8">
        <v>3800</v>
      </c>
      <c r="AF243" s="15">
        <v>39021</v>
      </c>
      <c r="AG243" s="8">
        <v>1865</v>
      </c>
      <c r="AH243" s="15">
        <v>39021</v>
      </c>
      <c r="AI243" s="8">
        <v>1720</v>
      </c>
      <c r="AJ243" s="15">
        <v>39021</v>
      </c>
      <c r="AK243" s="8">
        <v>2220</v>
      </c>
      <c r="AL243" s="15">
        <v>39021</v>
      </c>
      <c r="AM243" s="8">
        <v>2510</v>
      </c>
      <c r="AN243" s="15">
        <v>39021</v>
      </c>
      <c r="AO243" s="8">
        <v>2500</v>
      </c>
      <c r="AP243" s="5">
        <v>43738</v>
      </c>
      <c r="AQ243" s="4">
        <v>15.64</v>
      </c>
      <c r="AR243" s="11">
        <v>39629</v>
      </c>
      <c r="AS243" s="11">
        <v>39629</v>
      </c>
      <c r="AT243" s="10">
        <v>139.83000000000001</v>
      </c>
    </row>
    <row r="244" spans="1:46" x14ac:dyDescent="0.25">
      <c r="A244" s="16">
        <v>25627</v>
      </c>
      <c r="B244" s="1">
        <v>9570</v>
      </c>
      <c r="C244" s="13" t="str">
        <f t="shared" si="3"/>
        <v>92002</v>
      </c>
      <c r="D244" s="2">
        <v>37529</v>
      </c>
      <c r="E244" s="1">
        <v>-10000</v>
      </c>
      <c r="F244" s="16">
        <v>41698</v>
      </c>
      <c r="G244" s="1">
        <v>10059.977999999999</v>
      </c>
      <c r="H244" s="16">
        <v>41698</v>
      </c>
      <c r="I244" s="1">
        <v>3260</v>
      </c>
      <c r="J244" s="16">
        <v>41698</v>
      </c>
      <c r="K244" s="1">
        <v>3427</v>
      </c>
      <c r="L244" s="16">
        <v>41698</v>
      </c>
      <c r="M244" s="1">
        <v>439</v>
      </c>
      <c r="N244" s="16">
        <v>41698</v>
      </c>
      <c r="O244" s="1">
        <v>2370</v>
      </c>
      <c r="P244" s="16">
        <v>41698</v>
      </c>
      <c r="Q244" s="1">
        <v>10106</v>
      </c>
      <c r="R244" s="16">
        <v>41698</v>
      </c>
      <c r="S244" s="1">
        <v>2500</v>
      </c>
      <c r="T244" s="16">
        <v>41698</v>
      </c>
      <c r="U244" s="1">
        <v>4215</v>
      </c>
      <c r="V244" s="16">
        <v>41698</v>
      </c>
      <c r="W244" s="1">
        <v>2089.6979999999999</v>
      </c>
      <c r="X244" s="15">
        <v>39082</v>
      </c>
      <c r="Y244" s="8">
        <v>28695</v>
      </c>
      <c r="Z244" s="15">
        <v>39051</v>
      </c>
      <c r="AA244" s="8">
        <v>8800</v>
      </c>
      <c r="AB244" s="15">
        <v>39051</v>
      </c>
      <c r="AC244" s="8">
        <v>2580</v>
      </c>
      <c r="AD244" s="15">
        <v>39051</v>
      </c>
      <c r="AE244" s="8">
        <v>3800</v>
      </c>
      <c r="AF244" s="15">
        <v>39051</v>
      </c>
      <c r="AG244" s="8">
        <v>1850</v>
      </c>
      <c r="AH244" s="15">
        <v>39051</v>
      </c>
      <c r="AI244" s="8">
        <v>1700</v>
      </c>
      <c r="AJ244" s="15">
        <v>39051</v>
      </c>
      <c r="AK244" s="8">
        <v>2200</v>
      </c>
      <c r="AL244" s="15">
        <v>39051</v>
      </c>
      <c r="AM244" s="8">
        <v>2440</v>
      </c>
      <c r="AN244" s="15">
        <v>39051</v>
      </c>
      <c r="AO244" s="8">
        <v>2470</v>
      </c>
      <c r="AP244" s="5">
        <v>43769</v>
      </c>
      <c r="AQ244" s="4">
        <v>16.11</v>
      </c>
      <c r="AR244" s="11">
        <v>39660</v>
      </c>
      <c r="AS244" s="11">
        <v>39660</v>
      </c>
      <c r="AT244" s="10">
        <v>123.98</v>
      </c>
    </row>
    <row r="245" spans="1:46" x14ac:dyDescent="0.25">
      <c r="A245" s="16">
        <v>25658</v>
      </c>
      <c r="B245" s="1">
        <v>9508</v>
      </c>
      <c r="C245" s="13" t="str">
        <f t="shared" si="3"/>
        <v>102002</v>
      </c>
      <c r="D245" s="2">
        <v>37560</v>
      </c>
      <c r="E245" s="1">
        <v>900</v>
      </c>
      <c r="F245" s="16">
        <v>41729</v>
      </c>
      <c r="G245" s="1">
        <v>9859.9779999999992</v>
      </c>
      <c r="H245" s="16">
        <v>41729</v>
      </c>
      <c r="I245" s="1">
        <v>3230</v>
      </c>
      <c r="J245" s="16">
        <v>41729</v>
      </c>
      <c r="K245" s="1">
        <v>3327</v>
      </c>
      <c r="L245" s="16">
        <v>41729</v>
      </c>
      <c r="M245" s="1">
        <v>309</v>
      </c>
      <c r="N245" s="16">
        <v>41729</v>
      </c>
      <c r="O245" s="1">
        <v>2320</v>
      </c>
      <c r="P245" s="16">
        <v>41729</v>
      </c>
      <c r="Q245" s="1">
        <v>10103</v>
      </c>
      <c r="R245" s="16">
        <v>41729</v>
      </c>
      <c r="S245" s="1">
        <v>2500</v>
      </c>
      <c r="T245" s="16">
        <v>41729</v>
      </c>
      <c r="U245" s="1">
        <v>4166.8999999999996</v>
      </c>
      <c r="V245" s="16">
        <v>41729</v>
      </c>
      <c r="W245" s="1">
        <v>2118.6509999999998</v>
      </c>
      <c r="X245" s="15">
        <v>39113</v>
      </c>
      <c r="Y245" s="8">
        <v>29970</v>
      </c>
      <c r="Z245" s="15">
        <v>39082</v>
      </c>
      <c r="AA245" s="8">
        <v>8700</v>
      </c>
      <c r="AB245" s="15">
        <v>39082</v>
      </c>
      <c r="AC245" s="8">
        <v>2500</v>
      </c>
      <c r="AD245" s="15">
        <v>39082</v>
      </c>
      <c r="AE245" s="8">
        <v>3840</v>
      </c>
      <c r="AF245" s="15">
        <v>39082</v>
      </c>
      <c r="AG245" s="8">
        <v>1800</v>
      </c>
      <c r="AH245" s="15">
        <v>39082</v>
      </c>
      <c r="AI245" s="8">
        <v>1680</v>
      </c>
      <c r="AJ245" s="15">
        <v>39082</v>
      </c>
      <c r="AK245" s="8">
        <v>2230</v>
      </c>
      <c r="AL245" s="15">
        <v>39082</v>
      </c>
      <c r="AM245" s="8">
        <v>2500</v>
      </c>
      <c r="AN245" s="15">
        <v>39082</v>
      </c>
      <c r="AO245" s="8">
        <v>2450</v>
      </c>
      <c r="AP245" s="5">
        <v>43799</v>
      </c>
      <c r="AQ245" s="4">
        <v>15.7</v>
      </c>
      <c r="AR245" s="11">
        <v>39689</v>
      </c>
      <c r="AS245" s="11">
        <v>39689</v>
      </c>
      <c r="AT245" s="10">
        <v>114.05</v>
      </c>
    </row>
    <row r="246" spans="1:46" x14ac:dyDescent="0.25">
      <c r="A246" s="16">
        <v>25688</v>
      </c>
      <c r="B246" s="1">
        <v>9591</v>
      </c>
      <c r="C246" s="13" t="str">
        <f t="shared" si="3"/>
        <v>112002</v>
      </c>
      <c r="D246" s="2">
        <v>37589</v>
      </c>
      <c r="E246" s="1">
        <v>3100</v>
      </c>
      <c r="F246" s="16">
        <v>41759</v>
      </c>
      <c r="G246" s="1">
        <v>9859.9779999999992</v>
      </c>
      <c r="H246" s="16">
        <v>41759</v>
      </c>
      <c r="I246" s="1">
        <v>3230</v>
      </c>
      <c r="J246" s="16">
        <v>41759</v>
      </c>
      <c r="K246" s="1">
        <v>3302</v>
      </c>
      <c r="L246" s="16">
        <v>41759</v>
      </c>
      <c r="M246" s="1">
        <v>269</v>
      </c>
      <c r="N246" s="16">
        <v>41759</v>
      </c>
      <c r="O246" s="1">
        <v>2325</v>
      </c>
      <c r="P246" s="16">
        <v>41759</v>
      </c>
      <c r="Q246" s="1">
        <v>10083</v>
      </c>
      <c r="R246" s="16">
        <v>41759</v>
      </c>
      <c r="S246" s="1">
        <v>2500</v>
      </c>
      <c r="T246" s="16">
        <v>41759</v>
      </c>
      <c r="U246" s="1">
        <v>4142</v>
      </c>
      <c r="V246" s="16">
        <v>41759</v>
      </c>
      <c r="W246" s="1">
        <v>2146.1529999999998</v>
      </c>
      <c r="X246" s="15">
        <v>39141</v>
      </c>
      <c r="Y246" s="8">
        <v>30070</v>
      </c>
      <c r="Z246" s="15">
        <v>39113</v>
      </c>
      <c r="AA246" s="8">
        <v>8700</v>
      </c>
      <c r="AB246" s="15">
        <v>39113</v>
      </c>
      <c r="AC246" s="8">
        <v>2450</v>
      </c>
      <c r="AD246" s="15">
        <v>39113</v>
      </c>
      <c r="AE246" s="8">
        <v>3860</v>
      </c>
      <c r="AF246" s="15">
        <v>39113</v>
      </c>
      <c r="AG246" s="8">
        <v>1660</v>
      </c>
      <c r="AH246" s="15">
        <v>39113</v>
      </c>
      <c r="AI246" s="8">
        <v>1690</v>
      </c>
      <c r="AJ246" s="15">
        <v>39113</v>
      </c>
      <c r="AK246" s="8">
        <v>2200</v>
      </c>
      <c r="AL246" s="15">
        <v>39113</v>
      </c>
      <c r="AM246" s="8">
        <v>2470</v>
      </c>
      <c r="AN246" s="15">
        <v>39113</v>
      </c>
      <c r="AO246" s="8">
        <v>2440</v>
      </c>
      <c r="AP246" s="5">
        <v>43830</v>
      </c>
      <c r="AQ246" s="4">
        <v>16.059999999999999</v>
      </c>
      <c r="AR246" s="11">
        <v>39721</v>
      </c>
      <c r="AS246" s="11">
        <v>39721</v>
      </c>
      <c r="AT246" s="10">
        <v>98.17</v>
      </c>
    </row>
    <row r="247" spans="1:46" x14ac:dyDescent="0.25">
      <c r="A247" s="16">
        <v>25719</v>
      </c>
      <c r="B247" s="1">
        <v>9523</v>
      </c>
      <c r="C247" s="13" t="str">
        <f t="shared" si="3"/>
        <v>122002</v>
      </c>
      <c r="D247" s="2">
        <v>37621</v>
      </c>
      <c r="E247" s="1">
        <v>-9100</v>
      </c>
      <c r="F247" s="16">
        <v>41790</v>
      </c>
      <c r="G247" s="1">
        <v>9859.9779999999992</v>
      </c>
      <c r="H247" s="16">
        <v>41790</v>
      </c>
      <c r="I247" s="1">
        <v>3230</v>
      </c>
      <c r="J247" s="16">
        <v>41790</v>
      </c>
      <c r="K247" s="1">
        <v>3327</v>
      </c>
      <c r="L247" s="16">
        <v>41790</v>
      </c>
      <c r="M247" s="1">
        <v>289</v>
      </c>
      <c r="N247" s="16">
        <v>41790</v>
      </c>
      <c r="O247" s="1">
        <v>2334</v>
      </c>
      <c r="P247" s="16">
        <v>41790</v>
      </c>
      <c r="Q247" s="1">
        <v>10083</v>
      </c>
      <c r="R247" s="16">
        <v>41790</v>
      </c>
      <c r="S247" s="1">
        <v>2500</v>
      </c>
      <c r="T247" s="16">
        <v>41790</v>
      </c>
      <c r="U247" s="1">
        <v>4188.8</v>
      </c>
      <c r="V247" s="16">
        <v>41790</v>
      </c>
      <c r="W247" s="1">
        <v>2189.373</v>
      </c>
      <c r="X247" s="15">
        <v>39172</v>
      </c>
      <c r="Y247" s="8">
        <v>29950</v>
      </c>
      <c r="Z247" s="15">
        <v>39141</v>
      </c>
      <c r="AA247" s="8">
        <v>8550</v>
      </c>
      <c r="AB247" s="15">
        <v>39141</v>
      </c>
      <c r="AC247" s="8">
        <v>2450</v>
      </c>
      <c r="AD247" s="15">
        <v>39141</v>
      </c>
      <c r="AE247" s="8">
        <v>3820</v>
      </c>
      <c r="AF247" s="15">
        <v>39141</v>
      </c>
      <c r="AG247" s="8">
        <v>2010</v>
      </c>
      <c r="AH247" s="15">
        <v>39141</v>
      </c>
      <c r="AI247" s="8">
        <v>1680</v>
      </c>
      <c r="AJ247" s="15">
        <v>39141</v>
      </c>
      <c r="AK247" s="8">
        <v>2200</v>
      </c>
      <c r="AL247" s="15">
        <v>39141</v>
      </c>
      <c r="AM247" s="8">
        <v>2450</v>
      </c>
      <c r="AN247" s="15">
        <v>39141</v>
      </c>
      <c r="AO247" s="8">
        <v>2400</v>
      </c>
      <c r="AP247" s="5">
        <v>43921</v>
      </c>
      <c r="AQ247" s="4">
        <v>16.559999999999999</v>
      </c>
      <c r="AR247" s="11">
        <v>39752</v>
      </c>
      <c r="AS247" s="11">
        <v>39752</v>
      </c>
      <c r="AT247" s="10">
        <v>65.319999999999993</v>
      </c>
    </row>
    <row r="248" spans="1:46" x14ac:dyDescent="0.25">
      <c r="A248" s="16">
        <v>25749</v>
      </c>
      <c r="B248" s="1">
        <v>9359</v>
      </c>
      <c r="C248" s="13" t="str">
        <f t="shared" si="3"/>
        <v>12003</v>
      </c>
      <c r="D248" s="2">
        <v>37652</v>
      </c>
      <c r="E248" s="1">
        <v>1000</v>
      </c>
      <c r="F248" s="16">
        <v>41820</v>
      </c>
      <c r="G248" s="1">
        <v>9859.9779999999992</v>
      </c>
      <c r="H248" s="16">
        <v>41820</v>
      </c>
      <c r="I248" s="1">
        <v>3150</v>
      </c>
      <c r="J248" s="16">
        <v>41820</v>
      </c>
      <c r="K248" s="1">
        <v>3327</v>
      </c>
      <c r="L248" s="16">
        <v>41820</v>
      </c>
      <c r="M248" s="1">
        <v>294</v>
      </c>
      <c r="N248" s="16">
        <v>41820</v>
      </c>
      <c r="O248" s="1">
        <v>2370</v>
      </c>
      <c r="P248" s="16">
        <v>41820</v>
      </c>
      <c r="Q248" s="1">
        <v>10095</v>
      </c>
      <c r="R248" s="16">
        <v>41820</v>
      </c>
      <c r="S248" s="1">
        <v>2500</v>
      </c>
      <c r="T248" s="16">
        <v>41820</v>
      </c>
      <c r="U248" s="1">
        <v>4272</v>
      </c>
      <c r="V248" s="16">
        <v>41820</v>
      </c>
      <c r="W248" s="1">
        <v>2245.5050000000001</v>
      </c>
      <c r="X248" s="15">
        <v>39202</v>
      </c>
      <c r="Y248" s="8">
        <v>30325</v>
      </c>
      <c r="Z248" s="15">
        <v>39172</v>
      </c>
      <c r="AA248" s="8">
        <v>8500</v>
      </c>
      <c r="AB248" s="15">
        <v>39172</v>
      </c>
      <c r="AC248" s="8">
        <v>2460</v>
      </c>
      <c r="AD248" s="15">
        <v>39172</v>
      </c>
      <c r="AE248" s="8">
        <v>3900</v>
      </c>
      <c r="AF248" s="15">
        <v>39172</v>
      </c>
      <c r="AG248" s="8">
        <v>2000</v>
      </c>
      <c r="AH248" s="15">
        <v>39172</v>
      </c>
      <c r="AI248" s="8">
        <v>1680</v>
      </c>
      <c r="AJ248" s="15">
        <v>39172</v>
      </c>
      <c r="AK248" s="8">
        <v>2080</v>
      </c>
      <c r="AL248" s="15">
        <v>39172</v>
      </c>
      <c r="AM248" s="8">
        <v>2400</v>
      </c>
      <c r="AN248" s="15">
        <v>39172</v>
      </c>
      <c r="AO248" s="8">
        <v>2400</v>
      </c>
      <c r="AP248" s="5">
        <v>43951</v>
      </c>
      <c r="AQ248" s="4">
        <v>15.87</v>
      </c>
      <c r="AR248" s="11">
        <v>39780</v>
      </c>
      <c r="AS248" s="11">
        <v>39780</v>
      </c>
      <c r="AT248" s="10">
        <v>53.49</v>
      </c>
    </row>
    <row r="249" spans="1:46" x14ac:dyDescent="0.25">
      <c r="A249" s="16">
        <v>25780</v>
      </c>
      <c r="B249" s="1">
        <v>9202</v>
      </c>
      <c r="C249" s="13" t="str">
        <f t="shared" si="3"/>
        <v>22003</v>
      </c>
      <c r="D249" s="2">
        <v>37680</v>
      </c>
      <c r="E249" s="1">
        <v>1700</v>
      </c>
      <c r="F249" s="16">
        <v>41851</v>
      </c>
      <c r="G249" s="1">
        <v>10009.977999999999</v>
      </c>
      <c r="H249" s="16">
        <v>41851</v>
      </c>
      <c r="I249" s="1">
        <v>3150</v>
      </c>
      <c r="J249" s="16">
        <v>41851</v>
      </c>
      <c r="K249" s="1">
        <v>3197</v>
      </c>
      <c r="L249" s="16">
        <v>41851</v>
      </c>
      <c r="M249" s="1">
        <v>494</v>
      </c>
      <c r="N249" s="16">
        <v>41851</v>
      </c>
      <c r="O249" s="1">
        <v>2291</v>
      </c>
      <c r="P249" s="16">
        <v>41851</v>
      </c>
      <c r="Q249" s="1">
        <v>10003</v>
      </c>
      <c r="R249" s="16">
        <v>41851</v>
      </c>
      <c r="S249" s="1">
        <v>2500</v>
      </c>
      <c r="T249" s="16">
        <v>41851</v>
      </c>
      <c r="U249" s="1">
        <v>4090.6</v>
      </c>
      <c r="V249" s="16">
        <v>41851</v>
      </c>
      <c r="W249" s="1">
        <v>2267.288</v>
      </c>
      <c r="X249" s="15">
        <v>39233</v>
      </c>
      <c r="Y249" s="8">
        <v>30015</v>
      </c>
      <c r="Z249" s="15">
        <v>39202</v>
      </c>
      <c r="AA249" s="8">
        <v>8600</v>
      </c>
      <c r="AB249" s="15">
        <v>39202</v>
      </c>
      <c r="AC249" s="8">
        <v>2540</v>
      </c>
      <c r="AD249" s="15">
        <v>39202</v>
      </c>
      <c r="AE249" s="8">
        <v>3850</v>
      </c>
      <c r="AF249" s="15">
        <v>39202</v>
      </c>
      <c r="AG249" s="8">
        <v>1970</v>
      </c>
      <c r="AH249" s="15">
        <v>39202</v>
      </c>
      <c r="AI249" s="8">
        <v>1690</v>
      </c>
      <c r="AJ249" s="15">
        <v>39202</v>
      </c>
      <c r="AK249" s="8">
        <v>2200</v>
      </c>
      <c r="AL249" s="15">
        <v>39202</v>
      </c>
      <c r="AM249" s="8">
        <v>2400</v>
      </c>
      <c r="AN249" s="15">
        <v>39202</v>
      </c>
      <c r="AO249" s="8">
        <v>2410</v>
      </c>
      <c r="AP249" s="5">
        <v>43982</v>
      </c>
      <c r="AQ249" s="4">
        <v>16.46</v>
      </c>
      <c r="AR249" s="11">
        <v>39813</v>
      </c>
      <c r="AS249" s="11">
        <v>39813</v>
      </c>
      <c r="AT249" s="10">
        <v>45.59</v>
      </c>
    </row>
    <row r="250" spans="1:46" x14ac:dyDescent="0.25">
      <c r="A250" s="16">
        <v>25811</v>
      </c>
      <c r="B250" s="1">
        <v>9560</v>
      </c>
      <c r="C250" s="13" t="str">
        <f t="shared" si="3"/>
        <v>32003</v>
      </c>
      <c r="D250" s="2">
        <v>37711</v>
      </c>
      <c r="E250" s="1">
        <v>6800</v>
      </c>
      <c r="F250" s="16">
        <v>41882</v>
      </c>
      <c r="G250" s="1">
        <v>9909.9779999999992</v>
      </c>
      <c r="H250" s="16">
        <v>41882</v>
      </c>
      <c r="I250" s="1">
        <v>3200</v>
      </c>
      <c r="J250" s="16">
        <v>41882</v>
      </c>
      <c r="K250" s="1">
        <v>3227</v>
      </c>
      <c r="L250" s="16">
        <v>41882</v>
      </c>
      <c r="M250" s="1">
        <v>589</v>
      </c>
      <c r="N250" s="16">
        <v>41882</v>
      </c>
      <c r="O250" s="1">
        <v>2341</v>
      </c>
      <c r="P250" s="16">
        <v>41882</v>
      </c>
      <c r="Q250" s="1">
        <v>10056</v>
      </c>
      <c r="R250" s="16">
        <v>41882</v>
      </c>
      <c r="S250" s="1">
        <v>2500</v>
      </c>
      <c r="T250" s="16">
        <v>41882</v>
      </c>
      <c r="U250" s="1">
        <v>4129</v>
      </c>
      <c r="V250" s="16">
        <v>41882</v>
      </c>
      <c r="W250" s="1">
        <v>2326.3150000000001</v>
      </c>
      <c r="X250" s="15">
        <v>39263</v>
      </c>
      <c r="Y250" s="8">
        <v>30035</v>
      </c>
      <c r="Z250" s="15">
        <v>39233</v>
      </c>
      <c r="AA250" s="8">
        <v>8570</v>
      </c>
      <c r="AB250" s="15">
        <v>39233</v>
      </c>
      <c r="AC250" s="8">
        <v>2520</v>
      </c>
      <c r="AD250" s="15">
        <v>39233</v>
      </c>
      <c r="AE250" s="8">
        <v>3900</v>
      </c>
      <c r="AF250" s="15">
        <v>39233</v>
      </c>
      <c r="AG250" s="8">
        <v>2000</v>
      </c>
      <c r="AH250" s="15">
        <v>39233</v>
      </c>
      <c r="AI250" s="8">
        <v>1690</v>
      </c>
      <c r="AJ250" s="15">
        <v>39233</v>
      </c>
      <c r="AK250" s="8">
        <v>2000</v>
      </c>
      <c r="AL250" s="15">
        <v>39233</v>
      </c>
      <c r="AM250" s="8">
        <v>2360</v>
      </c>
      <c r="AN250" s="15">
        <v>39233</v>
      </c>
      <c r="AO250" s="8">
        <v>2380</v>
      </c>
      <c r="AP250" s="5">
        <v>44012</v>
      </c>
      <c r="AQ250" s="4">
        <v>16.239999999999998</v>
      </c>
      <c r="AR250" s="11">
        <v>39843</v>
      </c>
      <c r="AS250" s="11">
        <v>39843</v>
      </c>
      <c r="AT250" s="10">
        <v>45.88</v>
      </c>
    </row>
    <row r="251" spans="1:46" x14ac:dyDescent="0.25">
      <c r="A251" s="16">
        <v>25841</v>
      </c>
      <c r="B251" s="1">
        <v>9853</v>
      </c>
      <c r="C251" s="13" t="str">
        <f t="shared" si="3"/>
        <v>42003</v>
      </c>
      <c r="D251" s="2">
        <v>37741</v>
      </c>
      <c r="E251" s="1">
        <v>1800</v>
      </c>
      <c r="F251" s="16">
        <v>41912</v>
      </c>
      <c r="G251" s="1">
        <v>9809.9779999999992</v>
      </c>
      <c r="H251" s="16">
        <v>41912</v>
      </c>
      <c r="I251" s="1">
        <v>3250</v>
      </c>
      <c r="J251" s="16">
        <v>41912</v>
      </c>
      <c r="K251" s="1">
        <v>3517</v>
      </c>
      <c r="L251" s="16">
        <v>41912</v>
      </c>
      <c r="M251" s="1">
        <v>844</v>
      </c>
      <c r="N251" s="16">
        <v>41912</v>
      </c>
      <c r="O251" s="1">
        <v>2296</v>
      </c>
      <c r="P251" s="16">
        <v>41912</v>
      </c>
      <c r="Q251" s="1">
        <v>10079</v>
      </c>
      <c r="R251" s="16">
        <v>41912</v>
      </c>
      <c r="S251" s="1">
        <v>2500</v>
      </c>
      <c r="T251" s="16">
        <v>41912</v>
      </c>
      <c r="U251" s="1">
        <v>4202</v>
      </c>
      <c r="V251" s="16">
        <v>41912</v>
      </c>
      <c r="W251" s="1">
        <v>2358.4989999999998</v>
      </c>
      <c r="X251" s="15">
        <v>39294</v>
      </c>
      <c r="Y251" s="8">
        <v>30400</v>
      </c>
      <c r="Z251" s="15">
        <v>39263</v>
      </c>
      <c r="AA251" s="8">
        <v>8580</v>
      </c>
      <c r="AB251" s="15">
        <v>39263</v>
      </c>
      <c r="AC251" s="8">
        <v>2520</v>
      </c>
      <c r="AD251" s="15">
        <v>39263</v>
      </c>
      <c r="AE251" s="8">
        <v>3920</v>
      </c>
      <c r="AF251" s="15">
        <v>39263</v>
      </c>
      <c r="AG251" s="8">
        <v>1925</v>
      </c>
      <c r="AH251" s="15">
        <v>39263</v>
      </c>
      <c r="AI251" s="8">
        <v>1690</v>
      </c>
      <c r="AJ251" s="15">
        <v>39263</v>
      </c>
      <c r="AK251" s="8">
        <v>2050</v>
      </c>
      <c r="AL251" s="15">
        <v>39263</v>
      </c>
      <c r="AM251" s="8">
        <v>2360</v>
      </c>
      <c r="AN251" s="15">
        <v>39263</v>
      </c>
      <c r="AO251" s="8">
        <v>2400</v>
      </c>
      <c r="AP251" s="5">
        <v>44043</v>
      </c>
      <c r="AQ251" s="4">
        <v>16.46</v>
      </c>
      <c r="AR251" s="11">
        <v>39871</v>
      </c>
      <c r="AS251" s="11">
        <v>39871</v>
      </c>
      <c r="AT251" s="10">
        <v>46.35</v>
      </c>
    </row>
    <row r="252" spans="1:46" x14ac:dyDescent="0.25">
      <c r="A252" s="16">
        <v>25872</v>
      </c>
      <c r="B252" s="1">
        <v>10013</v>
      </c>
      <c r="C252" s="13" t="str">
        <f t="shared" si="3"/>
        <v>52003</v>
      </c>
      <c r="D252" s="2">
        <v>37771</v>
      </c>
      <c r="E252" s="1">
        <v>2800</v>
      </c>
      <c r="F252" s="16">
        <v>41943</v>
      </c>
      <c r="G252" s="1">
        <v>9909.9779999999992</v>
      </c>
      <c r="H252" s="16">
        <v>41943</v>
      </c>
      <c r="I252" s="1">
        <v>3300</v>
      </c>
      <c r="J252" s="16">
        <v>41943</v>
      </c>
      <c r="K252" s="1">
        <v>3467</v>
      </c>
      <c r="L252" s="16">
        <v>41943</v>
      </c>
      <c r="M252" s="1">
        <v>1009</v>
      </c>
      <c r="N252" s="16">
        <v>41943</v>
      </c>
      <c r="O252" s="1">
        <v>2384</v>
      </c>
      <c r="P252" s="16">
        <v>41943</v>
      </c>
      <c r="Q252" s="1">
        <v>10176</v>
      </c>
      <c r="R252" s="16">
        <v>41943</v>
      </c>
      <c r="S252" s="1">
        <v>2500</v>
      </c>
      <c r="T252" s="16">
        <v>41943</v>
      </c>
      <c r="U252" s="1">
        <v>4252</v>
      </c>
      <c r="V252" s="16">
        <v>41943</v>
      </c>
      <c r="W252" s="1">
        <v>2393.08</v>
      </c>
      <c r="X252" s="15">
        <v>39325</v>
      </c>
      <c r="Y252" s="8">
        <v>30345</v>
      </c>
      <c r="Z252" s="15">
        <v>39294</v>
      </c>
      <c r="AA252" s="8">
        <v>8580</v>
      </c>
      <c r="AB252" s="15">
        <v>39294</v>
      </c>
      <c r="AC252" s="8">
        <v>2520</v>
      </c>
      <c r="AD252" s="15">
        <v>39294</v>
      </c>
      <c r="AE252" s="8">
        <v>3900</v>
      </c>
      <c r="AF252" s="15">
        <v>39294</v>
      </c>
      <c r="AG252" s="8">
        <v>2125</v>
      </c>
      <c r="AH252" s="15">
        <v>39294</v>
      </c>
      <c r="AI252" s="8">
        <v>1690</v>
      </c>
      <c r="AJ252" s="15">
        <v>39294</v>
      </c>
      <c r="AK252" s="8">
        <v>2200</v>
      </c>
      <c r="AL252" s="15">
        <v>39294</v>
      </c>
      <c r="AM252" s="8">
        <v>2380</v>
      </c>
      <c r="AN252" s="15">
        <v>39294</v>
      </c>
      <c r="AO252" s="8">
        <v>2400</v>
      </c>
      <c r="AP252" s="5">
        <v>44074</v>
      </c>
      <c r="AQ252" s="4">
        <v>16.649999999999999</v>
      </c>
      <c r="AR252" s="11">
        <v>39903</v>
      </c>
      <c r="AS252" s="11">
        <v>39903</v>
      </c>
      <c r="AT252" s="10">
        <v>49.23</v>
      </c>
    </row>
    <row r="253" spans="1:46" x14ac:dyDescent="0.25">
      <c r="A253" s="16">
        <v>25902</v>
      </c>
      <c r="B253" s="1">
        <v>10044</v>
      </c>
      <c r="C253" s="13" t="str">
        <f t="shared" si="3"/>
        <v>62003</v>
      </c>
      <c r="D253" s="2">
        <v>37802</v>
      </c>
      <c r="E253" s="1">
        <v>-2100</v>
      </c>
      <c r="F253" s="16">
        <v>41973</v>
      </c>
      <c r="G253" s="1">
        <v>9809.9779999999992</v>
      </c>
      <c r="H253" s="16">
        <v>41973</v>
      </c>
      <c r="I253" s="1">
        <v>3300</v>
      </c>
      <c r="J253" s="16">
        <v>41973</v>
      </c>
      <c r="K253" s="1">
        <v>3427</v>
      </c>
      <c r="L253" s="16">
        <v>41973</v>
      </c>
      <c r="M253" s="1">
        <v>674</v>
      </c>
      <c r="N253" s="16">
        <v>41973</v>
      </c>
      <c r="O253" s="1">
        <v>2325</v>
      </c>
      <c r="P253" s="16">
        <v>41973</v>
      </c>
      <c r="Q253" s="1">
        <v>10173</v>
      </c>
      <c r="R253" s="16">
        <v>41973</v>
      </c>
      <c r="S253" s="1">
        <v>2500</v>
      </c>
      <c r="T253" s="16">
        <v>41973</v>
      </c>
      <c r="U253" s="1">
        <v>4319</v>
      </c>
      <c r="V253" s="16">
        <v>41973</v>
      </c>
      <c r="W253" s="1">
        <v>2357.7910000000002</v>
      </c>
      <c r="X253" s="15">
        <v>39355</v>
      </c>
      <c r="Y253" s="8">
        <v>30665</v>
      </c>
      <c r="Z253" s="15">
        <v>39325</v>
      </c>
      <c r="AA253" s="8">
        <v>8600</v>
      </c>
      <c r="AB253" s="15">
        <v>39325</v>
      </c>
      <c r="AC253" s="8">
        <v>2560</v>
      </c>
      <c r="AD253" s="15">
        <v>39325</v>
      </c>
      <c r="AE253" s="8">
        <v>3850</v>
      </c>
      <c r="AF253" s="15">
        <v>39325</v>
      </c>
      <c r="AG253" s="8">
        <v>1970</v>
      </c>
      <c r="AH253" s="15">
        <v>39325</v>
      </c>
      <c r="AI253" s="8">
        <v>1690</v>
      </c>
      <c r="AJ253" s="15">
        <v>39325</v>
      </c>
      <c r="AK253" s="8">
        <v>2200</v>
      </c>
      <c r="AL253" s="15">
        <v>39325</v>
      </c>
      <c r="AM253" s="8">
        <v>2400</v>
      </c>
      <c r="AN253" s="15">
        <v>39325</v>
      </c>
      <c r="AO253" s="8">
        <v>2410</v>
      </c>
      <c r="AP253" s="5">
        <v>44104</v>
      </c>
      <c r="AQ253" s="4">
        <v>16.100000000000001</v>
      </c>
      <c r="AR253" s="11">
        <v>39933</v>
      </c>
      <c r="AS253" s="11">
        <v>39933</v>
      </c>
      <c r="AT253" s="10">
        <v>50.8</v>
      </c>
    </row>
    <row r="254" spans="1:46" x14ac:dyDescent="0.25">
      <c r="A254" s="16">
        <v>25933</v>
      </c>
      <c r="B254" s="1">
        <v>9944</v>
      </c>
      <c r="C254" s="13" t="str">
        <f t="shared" si="3"/>
        <v>72003</v>
      </c>
      <c r="D254" s="2">
        <v>37833</v>
      </c>
      <c r="E254" s="1">
        <v>1000</v>
      </c>
      <c r="F254" s="16">
        <v>42004</v>
      </c>
      <c r="G254" s="1">
        <v>9809.9779999999992</v>
      </c>
      <c r="H254" s="16">
        <v>42004</v>
      </c>
      <c r="I254" s="1">
        <v>3300</v>
      </c>
      <c r="J254" s="16">
        <v>42004</v>
      </c>
      <c r="K254" s="1">
        <v>3777</v>
      </c>
      <c r="L254" s="16">
        <v>42004</v>
      </c>
      <c r="M254" s="1">
        <v>569</v>
      </c>
      <c r="N254" s="16">
        <v>42004</v>
      </c>
      <c r="O254" s="1">
        <v>2390</v>
      </c>
      <c r="P254" s="16">
        <v>42004</v>
      </c>
      <c r="Q254" s="1">
        <v>10197</v>
      </c>
      <c r="R254" s="16">
        <v>42004</v>
      </c>
      <c r="S254" s="1">
        <v>2500</v>
      </c>
      <c r="T254" s="16">
        <v>42004</v>
      </c>
      <c r="U254" s="1">
        <v>4344</v>
      </c>
      <c r="V254" s="16">
        <v>42004</v>
      </c>
      <c r="W254" s="1">
        <v>2497.2359999999999</v>
      </c>
      <c r="X254" s="15">
        <v>39386</v>
      </c>
      <c r="Y254" s="8">
        <v>31260</v>
      </c>
      <c r="Z254" s="15">
        <v>39355</v>
      </c>
      <c r="AA254" s="8">
        <v>8650</v>
      </c>
      <c r="AB254" s="15">
        <v>39355</v>
      </c>
      <c r="AC254" s="8">
        <v>2540</v>
      </c>
      <c r="AD254" s="15">
        <v>39355</v>
      </c>
      <c r="AE254" s="8">
        <v>3900</v>
      </c>
      <c r="AF254" s="15">
        <v>39355</v>
      </c>
      <c r="AG254" s="8">
        <v>2175</v>
      </c>
      <c r="AH254" s="15">
        <v>39355</v>
      </c>
      <c r="AI254" s="8">
        <v>1710</v>
      </c>
      <c r="AJ254" s="15">
        <v>39355</v>
      </c>
      <c r="AK254" s="8">
        <v>2150</v>
      </c>
      <c r="AL254" s="15">
        <v>39355</v>
      </c>
      <c r="AM254" s="8">
        <v>2420</v>
      </c>
      <c r="AN254" s="15">
        <v>39355</v>
      </c>
      <c r="AO254" s="8">
        <v>2430</v>
      </c>
      <c r="AP254" s="5">
        <v>44135</v>
      </c>
      <c r="AQ254" s="4">
        <v>16.41</v>
      </c>
      <c r="AR254" s="11">
        <v>39962</v>
      </c>
      <c r="AS254" s="11">
        <v>39962</v>
      </c>
      <c r="AT254" s="10">
        <v>65.52</v>
      </c>
    </row>
    <row r="255" spans="1:46" x14ac:dyDescent="0.25">
      <c r="A255" s="16">
        <v>25964</v>
      </c>
      <c r="B255" s="1">
        <v>9655</v>
      </c>
      <c r="C255" s="13" t="str">
        <f t="shared" si="3"/>
        <v>82003</v>
      </c>
      <c r="D255" s="2">
        <v>37862</v>
      </c>
      <c r="E255" s="1">
        <v>1800</v>
      </c>
      <c r="F255" s="16">
        <v>42035</v>
      </c>
      <c r="G255" s="1">
        <v>9807.3709999999992</v>
      </c>
      <c r="H255" s="16">
        <v>42035</v>
      </c>
      <c r="I255" s="1">
        <v>3266</v>
      </c>
      <c r="J255" s="16">
        <v>42035</v>
      </c>
      <c r="K255" s="1">
        <v>3478</v>
      </c>
      <c r="L255" s="16">
        <v>42035</v>
      </c>
      <c r="M255" s="1">
        <v>430</v>
      </c>
      <c r="N255" s="16">
        <v>42035</v>
      </c>
      <c r="O255" s="1">
        <v>2294</v>
      </c>
      <c r="P255" s="16">
        <v>42035</v>
      </c>
      <c r="Q255" s="1">
        <v>10231</v>
      </c>
      <c r="R255" s="16">
        <v>42035</v>
      </c>
      <c r="S255" s="1">
        <v>2495</v>
      </c>
      <c r="T255" s="16">
        <v>42035</v>
      </c>
      <c r="U255" s="1">
        <v>4232</v>
      </c>
      <c r="V255" s="16">
        <v>42035</v>
      </c>
      <c r="W255" s="1">
        <v>2469.4670000000001</v>
      </c>
      <c r="X255" s="15">
        <v>39416</v>
      </c>
      <c r="Y255" s="8">
        <v>31700</v>
      </c>
      <c r="Z255" s="15">
        <v>39386</v>
      </c>
      <c r="AA255" s="8">
        <v>8850</v>
      </c>
      <c r="AB255" s="15">
        <v>39386</v>
      </c>
      <c r="AC255" s="8">
        <v>2590</v>
      </c>
      <c r="AD255" s="15">
        <v>39386</v>
      </c>
      <c r="AE255" s="8">
        <v>3940</v>
      </c>
      <c r="AF255" s="15">
        <v>39386</v>
      </c>
      <c r="AG255" s="8">
        <v>2275</v>
      </c>
      <c r="AH255" s="15">
        <v>39386</v>
      </c>
      <c r="AI255" s="8">
        <v>1730</v>
      </c>
      <c r="AJ255" s="15">
        <v>39386</v>
      </c>
      <c r="AK255" s="8">
        <v>2180</v>
      </c>
      <c r="AL255" s="15">
        <v>39386</v>
      </c>
      <c r="AM255" s="8">
        <v>2440</v>
      </c>
      <c r="AN255" s="15">
        <v>39386</v>
      </c>
      <c r="AO255" s="8">
        <v>2450</v>
      </c>
      <c r="AP255" s="5">
        <v>44165</v>
      </c>
      <c r="AQ255" s="4">
        <v>15.96</v>
      </c>
      <c r="AR255" s="11">
        <v>39994</v>
      </c>
      <c r="AS255" s="11">
        <v>39994</v>
      </c>
      <c r="AT255" s="10">
        <v>69.3</v>
      </c>
    </row>
    <row r="256" spans="1:46" x14ac:dyDescent="0.25">
      <c r="A256" s="16">
        <v>25992</v>
      </c>
      <c r="B256" s="1">
        <v>9729</v>
      </c>
      <c r="C256" s="13" t="str">
        <f t="shared" si="3"/>
        <v>92003</v>
      </c>
      <c r="D256" s="2">
        <v>37894</v>
      </c>
      <c r="E256" s="1">
        <v>-47</v>
      </c>
      <c r="F256" s="16">
        <v>42063</v>
      </c>
      <c r="G256" s="1">
        <v>9907.3709999999992</v>
      </c>
      <c r="H256" s="16">
        <v>42063</v>
      </c>
      <c r="I256" s="1">
        <v>3274</v>
      </c>
      <c r="J256" s="16">
        <v>42063</v>
      </c>
      <c r="K256" s="1">
        <v>3328</v>
      </c>
      <c r="L256" s="16">
        <v>42063</v>
      </c>
      <c r="M256" s="1">
        <v>420</v>
      </c>
      <c r="N256" s="16">
        <v>42063</v>
      </c>
      <c r="O256" s="1">
        <v>2269</v>
      </c>
      <c r="P256" s="16">
        <v>42063</v>
      </c>
      <c r="Q256" s="1">
        <v>10181</v>
      </c>
      <c r="R256" s="16">
        <v>42063</v>
      </c>
      <c r="S256" s="1">
        <v>2494</v>
      </c>
      <c r="T256" s="16">
        <v>42063</v>
      </c>
      <c r="U256" s="1">
        <v>4218</v>
      </c>
      <c r="V256" s="16">
        <v>42063</v>
      </c>
      <c r="W256" s="1">
        <v>2431.3620000000001</v>
      </c>
      <c r="X256" s="15">
        <v>39447</v>
      </c>
      <c r="Y256" s="8">
        <v>32000</v>
      </c>
      <c r="Z256" s="15">
        <v>39416</v>
      </c>
      <c r="AA256" s="8">
        <v>8980</v>
      </c>
      <c r="AB256" s="15">
        <v>39416</v>
      </c>
      <c r="AC256" s="8">
        <v>2190</v>
      </c>
      <c r="AD256" s="15">
        <v>39416</v>
      </c>
      <c r="AE256" s="8">
        <v>3950</v>
      </c>
      <c r="AF256" s="15">
        <v>39416</v>
      </c>
      <c r="AG256" s="8">
        <v>2405</v>
      </c>
      <c r="AH256" s="15">
        <v>39416</v>
      </c>
      <c r="AI256" s="8">
        <v>1740</v>
      </c>
      <c r="AJ256" s="15">
        <v>39416</v>
      </c>
      <c r="AK256" s="8">
        <v>2180</v>
      </c>
      <c r="AL256" s="15">
        <v>39416</v>
      </c>
      <c r="AM256" s="8">
        <v>2440</v>
      </c>
      <c r="AN256" s="15">
        <v>39416</v>
      </c>
      <c r="AO256" s="8">
        <v>2490</v>
      </c>
      <c r="AP256" s="5">
        <v>44196</v>
      </c>
      <c r="AQ256" s="4">
        <v>16.27</v>
      </c>
      <c r="AR256" s="11">
        <v>40025</v>
      </c>
      <c r="AS256" s="11">
        <v>40025</v>
      </c>
      <c r="AT256" s="10">
        <v>71.7</v>
      </c>
    </row>
    <row r="257" spans="1:46" x14ac:dyDescent="0.25">
      <c r="A257" s="16">
        <v>26023</v>
      </c>
      <c r="B257" s="1">
        <v>9768</v>
      </c>
      <c r="C257" s="13" t="str">
        <f t="shared" si="3"/>
        <v>102003</v>
      </c>
      <c r="D257" s="2">
        <v>37925</v>
      </c>
      <c r="E257" s="1">
        <v>100</v>
      </c>
      <c r="F257" s="16">
        <v>42094</v>
      </c>
      <c r="G257" s="1">
        <v>10307.370999999999</v>
      </c>
      <c r="H257" s="16">
        <v>42094</v>
      </c>
      <c r="I257" s="1">
        <v>3252</v>
      </c>
      <c r="J257" s="16">
        <v>42094</v>
      </c>
      <c r="K257" s="1">
        <v>3728</v>
      </c>
      <c r="L257" s="16">
        <v>42094</v>
      </c>
      <c r="M257" s="1">
        <v>535</v>
      </c>
      <c r="N257" s="16">
        <v>42094</v>
      </c>
      <c r="O257" s="1">
        <v>2152</v>
      </c>
      <c r="P257" s="16">
        <v>42094</v>
      </c>
      <c r="Q257" s="1">
        <v>10264</v>
      </c>
      <c r="R257" s="16">
        <v>42094</v>
      </c>
      <c r="S257" s="1">
        <v>2493</v>
      </c>
      <c r="T257" s="16">
        <v>42094</v>
      </c>
      <c r="U257" s="1">
        <v>4256</v>
      </c>
      <c r="V257" s="16">
        <v>42094</v>
      </c>
      <c r="W257" s="1">
        <v>2413.165</v>
      </c>
      <c r="X257" s="15">
        <v>39478</v>
      </c>
      <c r="Y257" s="8">
        <v>32200</v>
      </c>
      <c r="Z257" s="15">
        <v>39447</v>
      </c>
      <c r="AA257" s="8">
        <v>9100</v>
      </c>
      <c r="AB257" s="15">
        <v>39447</v>
      </c>
      <c r="AC257" s="8">
        <v>2530</v>
      </c>
      <c r="AD257" s="15">
        <v>39447</v>
      </c>
      <c r="AE257" s="8">
        <v>3840</v>
      </c>
      <c r="AF257" s="15">
        <v>39447</v>
      </c>
      <c r="AG257" s="8">
        <v>2340</v>
      </c>
      <c r="AH257" s="15">
        <v>39447</v>
      </c>
      <c r="AI257" s="8">
        <v>1750</v>
      </c>
      <c r="AJ257" s="15">
        <v>39447</v>
      </c>
      <c r="AK257" s="8">
        <v>2150</v>
      </c>
      <c r="AL257" s="15">
        <v>39447</v>
      </c>
      <c r="AM257" s="8">
        <v>2430</v>
      </c>
      <c r="AN257" s="15">
        <v>39447</v>
      </c>
      <c r="AO257" s="8">
        <v>2500</v>
      </c>
      <c r="AP257" s="5">
        <v>44286</v>
      </c>
      <c r="AQ257" s="4">
        <v>17.09</v>
      </c>
      <c r="AR257" s="11">
        <v>40056</v>
      </c>
      <c r="AS257" s="11">
        <v>40056</v>
      </c>
      <c r="AT257" s="10">
        <v>69.650000000000006</v>
      </c>
    </row>
    <row r="258" spans="1:46" x14ac:dyDescent="0.25">
      <c r="A258" s="16">
        <v>26053</v>
      </c>
      <c r="B258" s="1">
        <v>9769</v>
      </c>
      <c r="C258" s="13" t="str">
        <f t="shared" si="3"/>
        <v>112003</v>
      </c>
      <c r="D258" s="2">
        <v>37953</v>
      </c>
      <c r="E258" s="1">
        <v>-4800</v>
      </c>
      <c r="F258" s="16">
        <v>42124</v>
      </c>
      <c r="G258" s="1">
        <v>10307.370999999999</v>
      </c>
      <c r="H258" s="16">
        <v>42124</v>
      </c>
      <c r="I258" s="1">
        <v>3344</v>
      </c>
      <c r="J258" s="16">
        <v>42124</v>
      </c>
      <c r="K258" s="1">
        <v>3775</v>
      </c>
      <c r="L258" s="16">
        <v>42124</v>
      </c>
      <c r="M258" s="1">
        <v>565</v>
      </c>
      <c r="N258" s="16">
        <v>42124</v>
      </c>
      <c r="O258" s="1">
        <v>2165</v>
      </c>
      <c r="P258" s="16">
        <v>42124</v>
      </c>
      <c r="Q258" s="1">
        <v>10111</v>
      </c>
      <c r="R258" s="16">
        <v>42124</v>
      </c>
      <c r="S258" s="1">
        <v>2492</v>
      </c>
      <c r="T258" s="16">
        <v>42124</v>
      </c>
      <c r="U258" s="1">
        <v>4258</v>
      </c>
      <c r="V258" s="16">
        <v>42124</v>
      </c>
      <c r="W258" s="1">
        <v>2394.1849999999999</v>
      </c>
      <c r="X258" s="15">
        <v>39507</v>
      </c>
      <c r="Y258" s="8">
        <v>32435</v>
      </c>
      <c r="Z258" s="15">
        <v>39478</v>
      </c>
      <c r="AA258" s="8">
        <v>9200</v>
      </c>
      <c r="AB258" s="15">
        <v>39478</v>
      </c>
      <c r="AC258" s="8">
        <v>2580</v>
      </c>
      <c r="AD258" s="15">
        <v>39478</v>
      </c>
      <c r="AE258" s="8">
        <v>4010</v>
      </c>
      <c r="AF258" s="15">
        <v>39478</v>
      </c>
      <c r="AG258" s="8">
        <v>2230</v>
      </c>
      <c r="AH258" s="15">
        <v>39478</v>
      </c>
      <c r="AI258" s="8">
        <v>1780</v>
      </c>
      <c r="AJ258" s="15">
        <v>39478</v>
      </c>
      <c r="AK258" s="8">
        <v>2060</v>
      </c>
      <c r="AL258" s="15">
        <v>39478</v>
      </c>
      <c r="AM258" s="8">
        <v>2430</v>
      </c>
      <c r="AN258" s="15">
        <v>39478</v>
      </c>
      <c r="AO258" s="8">
        <v>2520</v>
      </c>
      <c r="AP258" s="5">
        <v>44316</v>
      </c>
      <c r="AQ258" s="4">
        <v>16.41</v>
      </c>
      <c r="AR258" s="11">
        <v>40086</v>
      </c>
      <c r="AS258" s="11">
        <v>40086</v>
      </c>
      <c r="AT258" s="10">
        <v>69.069999999999993</v>
      </c>
    </row>
    <row r="259" spans="1:46" x14ac:dyDescent="0.25">
      <c r="A259" s="16">
        <v>26084</v>
      </c>
      <c r="B259" s="1">
        <v>9645</v>
      </c>
      <c r="C259" s="13" t="str">
        <f t="shared" si="3"/>
        <v>122003</v>
      </c>
      <c r="D259" s="2">
        <v>37986</v>
      </c>
      <c r="E259" s="1">
        <v>-3800</v>
      </c>
      <c r="F259" s="16">
        <v>42155</v>
      </c>
      <c r="G259" s="1">
        <v>10507.370999999999</v>
      </c>
      <c r="H259" s="16">
        <v>42155</v>
      </c>
      <c r="I259" s="1">
        <v>3322</v>
      </c>
      <c r="J259" s="16">
        <v>42155</v>
      </c>
      <c r="K259" s="1">
        <v>3925</v>
      </c>
      <c r="L259" s="16">
        <v>42155</v>
      </c>
      <c r="M259" s="1">
        <v>490</v>
      </c>
      <c r="N259" s="16">
        <v>42155</v>
      </c>
      <c r="O259" s="1">
        <v>2139</v>
      </c>
      <c r="P259" s="16">
        <v>42155</v>
      </c>
      <c r="Q259" s="1">
        <v>10270</v>
      </c>
      <c r="R259" s="16">
        <v>42155</v>
      </c>
      <c r="S259" s="1">
        <v>2491</v>
      </c>
      <c r="T259" s="16">
        <v>42155</v>
      </c>
      <c r="U259" s="1">
        <v>4271</v>
      </c>
      <c r="V259" s="16">
        <v>42155</v>
      </c>
      <c r="W259" s="1">
        <v>2412.0990000000002</v>
      </c>
      <c r="X259" s="15">
        <v>39538</v>
      </c>
      <c r="Y259" s="8">
        <v>32425</v>
      </c>
      <c r="Z259" s="15">
        <v>39507</v>
      </c>
      <c r="AA259" s="8">
        <v>9200</v>
      </c>
      <c r="AB259" s="15">
        <v>39507</v>
      </c>
      <c r="AC259" s="8">
        <v>2560</v>
      </c>
      <c r="AD259" s="15">
        <v>39507</v>
      </c>
      <c r="AE259" s="8">
        <v>3980</v>
      </c>
      <c r="AF259" s="15">
        <v>39507</v>
      </c>
      <c r="AG259" s="8">
        <v>2435</v>
      </c>
      <c r="AH259" s="15">
        <v>39507</v>
      </c>
      <c r="AI259" s="8">
        <v>1780</v>
      </c>
      <c r="AJ259" s="15">
        <v>39507</v>
      </c>
      <c r="AK259" s="8">
        <v>2040</v>
      </c>
      <c r="AL259" s="15">
        <v>39507</v>
      </c>
      <c r="AM259" s="8">
        <v>2430</v>
      </c>
      <c r="AN259" s="15">
        <v>39507</v>
      </c>
      <c r="AO259" s="8">
        <v>2530</v>
      </c>
      <c r="AP259" s="5">
        <v>44347</v>
      </c>
      <c r="AQ259" s="4">
        <v>17.03</v>
      </c>
      <c r="AR259" s="11">
        <v>40116</v>
      </c>
      <c r="AS259" s="11">
        <v>40116</v>
      </c>
      <c r="AT259" s="10">
        <v>75.2</v>
      </c>
    </row>
    <row r="260" spans="1:46" x14ac:dyDescent="0.25">
      <c r="A260" s="16">
        <v>26114</v>
      </c>
      <c r="B260" s="1">
        <v>9604</v>
      </c>
      <c r="C260" s="13" t="str">
        <f t="shared" si="3"/>
        <v>12004</v>
      </c>
      <c r="D260" s="2">
        <v>38016</v>
      </c>
      <c r="E260" s="1">
        <v>7900</v>
      </c>
      <c r="F260" s="16">
        <v>42185</v>
      </c>
      <c r="G260" s="1">
        <v>10657.370999999999</v>
      </c>
      <c r="H260" s="16">
        <v>42185</v>
      </c>
      <c r="I260" s="1">
        <v>3273</v>
      </c>
      <c r="J260" s="16">
        <v>42185</v>
      </c>
      <c r="K260" s="1">
        <v>4275</v>
      </c>
      <c r="L260" s="16">
        <v>42185</v>
      </c>
      <c r="M260" s="1">
        <v>470</v>
      </c>
      <c r="N260" s="16">
        <v>42185</v>
      </c>
      <c r="O260" s="1">
        <v>2025</v>
      </c>
      <c r="P260" s="16">
        <v>42185</v>
      </c>
      <c r="Q260" s="1">
        <v>10166</v>
      </c>
      <c r="R260" s="16">
        <v>42185</v>
      </c>
      <c r="S260" s="1">
        <v>2490</v>
      </c>
      <c r="T260" s="16">
        <v>42185</v>
      </c>
      <c r="U260" s="1">
        <v>4408</v>
      </c>
      <c r="V260" s="16">
        <v>42185</v>
      </c>
      <c r="W260" s="1">
        <v>2395.9760000000001</v>
      </c>
      <c r="X260" s="15">
        <v>39568</v>
      </c>
      <c r="Y260" s="8">
        <v>31980</v>
      </c>
      <c r="Z260" s="15">
        <v>39538</v>
      </c>
      <c r="AA260" s="8">
        <v>9200</v>
      </c>
      <c r="AB260" s="15">
        <v>39538</v>
      </c>
      <c r="AC260" s="8">
        <v>2590</v>
      </c>
      <c r="AD260" s="15">
        <v>39538</v>
      </c>
      <c r="AE260" s="8">
        <v>4020</v>
      </c>
      <c r="AF260" s="15">
        <v>39538</v>
      </c>
      <c r="AG260" s="8">
        <v>2380</v>
      </c>
      <c r="AH260" s="15">
        <v>39538</v>
      </c>
      <c r="AI260" s="8">
        <v>1780</v>
      </c>
      <c r="AJ260" s="15">
        <v>39538</v>
      </c>
      <c r="AK260" s="8">
        <v>2040</v>
      </c>
      <c r="AL260" s="15">
        <v>39538</v>
      </c>
      <c r="AM260" s="8">
        <v>2340</v>
      </c>
      <c r="AN260" s="15">
        <v>39538</v>
      </c>
      <c r="AO260" s="8">
        <v>2545</v>
      </c>
      <c r="AP260" s="5">
        <v>44377</v>
      </c>
      <c r="AQ260" s="4">
        <v>16.670000000000002</v>
      </c>
      <c r="AR260" s="11">
        <v>40147</v>
      </c>
      <c r="AS260" s="11">
        <v>40147</v>
      </c>
      <c r="AT260" s="10">
        <v>78.47</v>
      </c>
    </row>
    <row r="261" spans="1:46" x14ac:dyDescent="0.25">
      <c r="A261" s="16">
        <v>26145</v>
      </c>
      <c r="B261" s="1">
        <v>9456</v>
      </c>
      <c r="C261" s="13" t="str">
        <f t="shared" ref="C261:C324" si="4">MONTH(D261)&amp;YEAR(D261)</f>
        <v>22004</v>
      </c>
      <c r="D261" s="2">
        <v>38044</v>
      </c>
      <c r="E261" s="1">
        <v>2000</v>
      </c>
      <c r="F261" s="16">
        <v>42216</v>
      </c>
      <c r="G261" s="1">
        <v>10567.370999999999</v>
      </c>
      <c r="H261" s="16">
        <v>42216</v>
      </c>
      <c r="I261" s="1">
        <v>3305</v>
      </c>
      <c r="J261" s="16">
        <v>42216</v>
      </c>
      <c r="K261" s="1">
        <v>4325</v>
      </c>
      <c r="L261" s="16">
        <v>42216</v>
      </c>
      <c r="M261" s="1">
        <v>460</v>
      </c>
      <c r="N261" s="16">
        <v>42216</v>
      </c>
      <c r="O261" s="1">
        <v>2122</v>
      </c>
      <c r="P261" s="16">
        <v>42216</v>
      </c>
      <c r="Q261" s="1">
        <v>10213</v>
      </c>
      <c r="R261" s="16">
        <v>42216</v>
      </c>
      <c r="S261" s="1">
        <v>2489</v>
      </c>
      <c r="T261" s="16">
        <v>42216</v>
      </c>
      <c r="U261" s="1">
        <v>4263</v>
      </c>
      <c r="V261" s="16">
        <v>42216</v>
      </c>
      <c r="W261" s="1">
        <v>2465.9670000000001</v>
      </c>
      <c r="X261" s="15">
        <v>39599</v>
      </c>
      <c r="Y261" s="8">
        <v>32200</v>
      </c>
      <c r="Z261" s="15">
        <v>39568</v>
      </c>
      <c r="AA261" s="8">
        <v>9120</v>
      </c>
      <c r="AB261" s="15">
        <v>39568</v>
      </c>
      <c r="AC261" s="8">
        <v>2590</v>
      </c>
      <c r="AD261" s="15">
        <v>39568</v>
      </c>
      <c r="AE261" s="8">
        <v>3880</v>
      </c>
      <c r="AF261" s="15">
        <v>39568</v>
      </c>
      <c r="AG261" s="8">
        <v>2390</v>
      </c>
      <c r="AH261" s="15">
        <v>39568</v>
      </c>
      <c r="AI261" s="8">
        <v>1770</v>
      </c>
      <c r="AJ261" s="15">
        <v>39568</v>
      </c>
      <c r="AK261" s="8">
        <v>1850</v>
      </c>
      <c r="AL261" s="15">
        <v>39568</v>
      </c>
      <c r="AM261" s="8">
        <v>2320</v>
      </c>
      <c r="AN261" s="15">
        <v>39568</v>
      </c>
      <c r="AO261" s="8">
        <v>2550</v>
      </c>
      <c r="AP261" s="5">
        <v>44408</v>
      </c>
      <c r="AQ261" s="4">
        <v>16.87</v>
      </c>
      <c r="AR261" s="11">
        <v>40178</v>
      </c>
      <c r="AS261" s="11">
        <v>40178</v>
      </c>
      <c r="AT261" s="10">
        <v>77.930000000000007</v>
      </c>
    </row>
    <row r="262" spans="1:46" x14ac:dyDescent="0.25">
      <c r="A262" s="16">
        <v>26176</v>
      </c>
      <c r="B262" s="1">
        <v>9411</v>
      </c>
      <c r="C262" s="13" t="str">
        <f t="shared" si="4"/>
        <v>32004</v>
      </c>
      <c r="D262" s="2">
        <v>38077</v>
      </c>
      <c r="E262" s="1">
        <v>5700</v>
      </c>
      <c r="F262" s="16">
        <v>42247</v>
      </c>
      <c r="G262" s="1">
        <v>10457.370999999999</v>
      </c>
      <c r="H262" s="16">
        <v>42247</v>
      </c>
      <c r="I262" s="1">
        <v>3210</v>
      </c>
      <c r="J262" s="16">
        <v>42247</v>
      </c>
      <c r="K262" s="1">
        <v>4225</v>
      </c>
      <c r="L262" s="16">
        <v>42247</v>
      </c>
      <c r="M262" s="1">
        <v>420</v>
      </c>
      <c r="N262" s="16">
        <v>42247</v>
      </c>
      <c r="O262" s="1">
        <v>2088</v>
      </c>
      <c r="P262" s="16">
        <v>42247</v>
      </c>
      <c r="Q262" s="1">
        <v>10268</v>
      </c>
      <c r="R262" s="16">
        <v>42247</v>
      </c>
      <c r="S262" s="1">
        <v>2488</v>
      </c>
      <c r="T262" s="16">
        <v>42247</v>
      </c>
      <c r="U262" s="1">
        <v>4278</v>
      </c>
      <c r="V262" s="16">
        <v>42247</v>
      </c>
      <c r="W262" s="1">
        <v>2546.8890000000001</v>
      </c>
      <c r="X262" s="15">
        <v>39629</v>
      </c>
      <c r="Y262" s="8">
        <v>32590</v>
      </c>
      <c r="Z262" s="15">
        <v>39599</v>
      </c>
      <c r="AA262" s="8">
        <v>9250</v>
      </c>
      <c r="AB262" s="15">
        <v>39599</v>
      </c>
      <c r="AC262" s="8">
        <v>2650</v>
      </c>
      <c r="AD262" s="15">
        <v>39599</v>
      </c>
      <c r="AE262" s="8">
        <v>3750</v>
      </c>
      <c r="AF262" s="15">
        <v>39599</v>
      </c>
      <c r="AG262" s="8">
        <v>2490</v>
      </c>
      <c r="AH262" s="15">
        <v>39599</v>
      </c>
      <c r="AI262" s="8">
        <v>1735</v>
      </c>
      <c r="AJ262" s="15">
        <v>39599</v>
      </c>
      <c r="AK262" s="8">
        <v>1900</v>
      </c>
      <c r="AL262" s="15">
        <v>39599</v>
      </c>
      <c r="AM262" s="8">
        <v>2320</v>
      </c>
      <c r="AN262" s="15">
        <v>39599</v>
      </c>
      <c r="AO262" s="8">
        <v>2585</v>
      </c>
      <c r="AP262" s="5">
        <v>44439</v>
      </c>
      <c r="AQ262" s="4">
        <v>17.03</v>
      </c>
      <c r="AR262" s="11">
        <v>40207</v>
      </c>
      <c r="AS262" s="11">
        <v>40207</v>
      </c>
      <c r="AT262" s="10">
        <v>71.459999999999994</v>
      </c>
    </row>
    <row r="263" spans="1:46" x14ac:dyDescent="0.25">
      <c r="A263" s="16">
        <v>26206</v>
      </c>
      <c r="B263" s="1">
        <v>9135</v>
      </c>
      <c r="C263" s="13" t="str">
        <f t="shared" si="4"/>
        <v>42004</v>
      </c>
      <c r="D263" s="2">
        <v>38107</v>
      </c>
      <c r="E263" s="1">
        <v>100</v>
      </c>
      <c r="F263" s="16">
        <v>42277</v>
      </c>
      <c r="G263" s="1">
        <v>10457.370999999999</v>
      </c>
      <c r="H263" s="16">
        <v>42277</v>
      </c>
      <c r="I263" s="1">
        <v>3254</v>
      </c>
      <c r="J263" s="16">
        <v>42277</v>
      </c>
      <c r="K263" s="1">
        <v>4425</v>
      </c>
      <c r="L263" s="16">
        <v>42277</v>
      </c>
      <c r="M263" s="1">
        <v>435</v>
      </c>
      <c r="N263" s="16">
        <v>42277</v>
      </c>
      <c r="O263" s="1">
        <v>2225</v>
      </c>
      <c r="P263" s="16">
        <v>42277</v>
      </c>
      <c r="Q263" s="1">
        <v>10209</v>
      </c>
      <c r="R263" s="16">
        <v>42277</v>
      </c>
      <c r="S263" s="1">
        <v>2487</v>
      </c>
      <c r="T263" s="16">
        <v>42277</v>
      </c>
      <c r="U263" s="1">
        <v>4317</v>
      </c>
      <c r="V263" s="16">
        <v>42277</v>
      </c>
      <c r="W263" s="1">
        <v>2395.326</v>
      </c>
      <c r="X263" s="15">
        <v>39660</v>
      </c>
      <c r="Y263" s="8">
        <v>32775</v>
      </c>
      <c r="Z263" s="15">
        <v>39629</v>
      </c>
      <c r="AA263" s="8">
        <v>9500</v>
      </c>
      <c r="AB263" s="15">
        <v>39629</v>
      </c>
      <c r="AC263" s="8">
        <v>2650</v>
      </c>
      <c r="AD263" s="15">
        <v>39629</v>
      </c>
      <c r="AE263" s="8">
        <v>3900</v>
      </c>
      <c r="AF263" s="15">
        <v>39629</v>
      </c>
      <c r="AG263" s="8">
        <v>2490</v>
      </c>
      <c r="AH263" s="15">
        <v>39629</v>
      </c>
      <c r="AI263" s="8">
        <v>1735</v>
      </c>
      <c r="AJ263" s="15">
        <v>39629</v>
      </c>
      <c r="AK263" s="8">
        <v>1840</v>
      </c>
      <c r="AL263" s="15">
        <v>39629</v>
      </c>
      <c r="AM263" s="8">
        <v>2340</v>
      </c>
      <c r="AN263" s="15">
        <v>39629</v>
      </c>
      <c r="AO263" s="8">
        <v>2585</v>
      </c>
      <c r="AP263" s="5">
        <v>44469</v>
      </c>
      <c r="AQ263" s="4">
        <v>16.61</v>
      </c>
      <c r="AR263" s="11">
        <v>40235</v>
      </c>
      <c r="AS263" s="11">
        <v>40235</v>
      </c>
      <c r="AT263" s="10">
        <v>77.59</v>
      </c>
    </row>
    <row r="264" spans="1:46" x14ac:dyDescent="0.25">
      <c r="A264" s="16">
        <v>26237</v>
      </c>
      <c r="B264" s="1">
        <v>9162</v>
      </c>
      <c r="C264" s="13" t="str">
        <f t="shared" si="4"/>
        <v>52004</v>
      </c>
      <c r="D264" s="2">
        <v>38138</v>
      </c>
      <c r="E264" s="1">
        <v>2800</v>
      </c>
      <c r="F264" s="16">
        <v>42308</v>
      </c>
      <c r="G264" s="1">
        <v>10407.370999999999</v>
      </c>
      <c r="H264" s="16">
        <v>42308</v>
      </c>
      <c r="I264" s="1">
        <v>3278</v>
      </c>
      <c r="J264" s="16">
        <v>42308</v>
      </c>
      <c r="K264" s="1">
        <v>4275</v>
      </c>
      <c r="L264" s="16">
        <v>42308</v>
      </c>
      <c r="M264" s="1">
        <v>475</v>
      </c>
      <c r="N264" s="16">
        <v>42308</v>
      </c>
      <c r="O264" s="1">
        <v>2198</v>
      </c>
      <c r="P264" s="16">
        <v>42308</v>
      </c>
      <c r="Q264" s="1">
        <v>10341</v>
      </c>
      <c r="R264" s="16">
        <v>42308</v>
      </c>
      <c r="S264" s="1">
        <v>2486</v>
      </c>
      <c r="T264" s="16">
        <v>42308</v>
      </c>
      <c r="U264" s="1">
        <v>4259</v>
      </c>
      <c r="V264" s="16">
        <v>42308</v>
      </c>
      <c r="W264" s="1">
        <v>2406.4569999999999</v>
      </c>
      <c r="X264" s="15">
        <v>39691</v>
      </c>
      <c r="Y264" s="8">
        <v>32615</v>
      </c>
      <c r="Z264" s="15">
        <v>39660</v>
      </c>
      <c r="AA264" s="8">
        <v>9600</v>
      </c>
      <c r="AB264" s="15">
        <v>39660</v>
      </c>
      <c r="AC264" s="8">
        <v>2650</v>
      </c>
      <c r="AD264" s="15">
        <v>39660</v>
      </c>
      <c r="AE264" s="8">
        <v>3980</v>
      </c>
      <c r="AF264" s="15">
        <v>39660</v>
      </c>
      <c r="AG264" s="8">
        <v>2460</v>
      </c>
      <c r="AH264" s="15">
        <v>39660</v>
      </c>
      <c r="AI264" s="8">
        <v>1650</v>
      </c>
      <c r="AJ264" s="15">
        <v>39660</v>
      </c>
      <c r="AK264" s="8">
        <v>1930</v>
      </c>
      <c r="AL264" s="15">
        <v>39660</v>
      </c>
      <c r="AM264" s="8">
        <v>2340</v>
      </c>
      <c r="AN264" s="15">
        <v>39660</v>
      </c>
      <c r="AO264" s="8">
        <v>2600</v>
      </c>
      <c r="AP264" s="5">
        <v>44500</v>
      </c>
      <c r="AQ264" s="4">
        <v>16.829999999999998</v>
      </c>
      <c r="AR264" s="11">
        <v>40268</v>
      </c>
      <c r="AS264" s="11">
        <v>40268</v>
      </c>
      <c r="AT264" s="10">
        <v>82.7</v>
      </c>
    </row>
    <row r="265" spans="1:46" x14ac:dyDescent="0.25">
      <c r="A265" s="16">
        <v>26267</v>
      </c>
      <c r="B265" s="1">
        <v>9139</v>
      </c>
      <c r="C265" s="13" t="str">
        <f t="shared" si="4"/>
        <v>62004</v>
      </c>
      <c r="D265" s="2">
        <v>38168</v>
      </c>
      <c r="E265" s="1">
        <v>-500</v>
      </c>
      <c r="F265" s="16">
        <v>42338</v>
      </c>
      <c r="G265" s="1">
        <v>10307.370999999999</v>
      </c>
      <c r="H265" s="16">
        <v>42338</v>
      </c>
      <c r="I265" s="1">
        <v>3351</v>
      </c>
      <c r="J265" s="16">
        <v>42338</v>
      </c>
      <c r="K265" s="1">
        <v>4425</v>
      </c>
      <c r="L265" s="16">
        <v>42338</v>
      </c>
      <c r="M265" s="1">
        <v>435</v>
      </c>
      <c r="N265" s="16">
        <v>42338</v>
      </c>
      <c r="O265" s="1">
        <v>2226</v>
      </c>
      <c r="P265" s="16">
        <v>42338</v>
      </c>
      <c r="Q265" s="1">
        <v>10361</v>
      </c>
      <c r="R265" s="16">
        <v>42338</v>
      </c>
      <c r="S265" s="1">
        <v>2485</v>
      </c>
      <c r="T265" s="16">
        <v>42338</v>
      </c>
      <c r="U265" s="1">
        <v>4297</v>
      </c>
      <c r="V265" s="16">
        <v>42338</v>
      </c>
      <c r="W265" s="1">
        <v>2379.5279999999998</v>
      </c>
      <c r="X265" s="15">
        <v>39721</v>
      </c>
      <c r="Y265" s="8">
        <v>32250</v>
      </c>
      <c r="Z265" s="15">
        <v>39691</v>
      </c>
      <c r="AA265" s="8">
        <v>9500</v>
      </c>
      <c r="AB265" s="15">
        <v>39691</v>
      </c>
      <c r="AC265" s="8">
        <v>2660</v>
      </c>
      <c r="AD265" s="15">
        <v>39691</v>
      </c>
      <c r="AE265" s="8">
        <v>4080</v>
      </c>
      <c r="AF265" s="15">
        <v>39691</v>
      </c>
      <c r="AG265" s="8">
        <v>2310</v>
      </c>
      <c r="AH265" s="15">
        <v>39691</v>
      </c>
      <c r="AI265" s="8">
        <v>1630</v>
      </c>
      <c r="AJ265" s="15">
        <v>39691</v>
      </c>
      <c r="AK265" s="8">
        <v>1940</v>
      </c>
      <c r="AL265" s="15">
        <v>39691</v>
      </c>
      <c r="AM265" s="8">
        <v>2360</v>
      </c>
      <c r="AN265" s="15">
        <v>39691</v>
      </c>
      <c r="AO265" s="8">
        <v>2600</v>
      </c>
      <c r="AP265" s="5">
        <v>44530</v>
      </c>
      <c r="AQ265" s="4">
        <v>16.309999999999999</v>
      </c>
      <c r="AR265" s="11">
        <v>40298</v>
      </c>
      <c r="AS265" s="11">
        <v>40298</v>
      </c>
      <c r="AT265" s="10">
        <v>87.44</v>
      </c>
    </row>
    <row r="266" spans="1:46" x14ac:dyDescent="0.25">
      <c r="A266" s="16">
        <v>26298</v>
      </c>
      <c r="B266" s="1">
        <v>9100</v>
      </c>
      <c r="C266" s="13" t="str">
        <f t="shared" si="4"/>
        <v>72004</v>
      </c>
      <c r="D266" s="2">
        <v>38198</v>
      </c>
      <c r="E266" s="1">
        <v>-1900</v>
      </c>
      <c r="F266" s="16">
        <v>42369</v>
      </c>
      <c r="G266" s="1">
        <v>10307.370999999999</v>
      </c>
      <c r="H266" s="16">
        <v>42369</v>
      </c>
      <c r="I266" s="1">
        <v>3389</v>
      </c>
      <c r="J266" s="16">
        <v>42369</v>
      </c>
      <c r="K266" s="1">
        <v>4425</v>
      </c>
      <c r="L266" s="16">
        <v>42369</v>
      </c>
      <c r="M266" s="1">
        <v>430</v>
      </c>
      <c r="N266" s="16">
        <v>42369</v>
      </c>
      <c r="O266" s="1">
        <v>2159</v>
      </c>
      <c r="P266" s="16">
        <v>42369</v>
      </c>
      <c r="Q266" s="1">
        <v>10407</v>
      </c>
      <c r="R266" s="16">
        <v>42369</v>
      </c>
      <c r="S266" s="1">
        <v>2484</v>
      </c>
      <c r="T266" s="16">
        <v>42369</v>
      </c>
      <c r="U266" s="1">
        <v>4275</v>
      </c>
      <c r="V266" s="16">
        <v>42369</v>
      </c>
      <c r="W266" s="1">
        <v>2532.3690000000001</v>
      </c>
      <c r="X266" s="15">
        <v>39752</v>
      </c>
      <c r="Y266" s="8">
        <v>32075</v>
      </c>
      <c r="Z266" s="15">
        <v>39721</v>
      </c>
      <c r="AA266" s="8">
        <v>9450</v>
      </c>
      <c r="AB266" s="15">
        <v>39721</v>
      </c>
      <c r="AC266" s="8">
        <v>2650</v>
      </c>
      <c r="AD266" s="15">
        <v>39721</v>
      </c>
      <c r="AE266" s="8">
        <v>3950</v>
      </c>
      <c r="AF266" s="15">
        <v>39721</v>
      </c>
      <c r="AG266" s="8">
        <v>2165</v>
      </c>
      <c r="AH266" s="15">
        <v>39721</v>
      </c>
      <c r="AI266" s="8">
        <v>1720</v>
      </c>
      <c r="AJ266" s="15">
        <v>39721</v>
      </c>
      <c r="AK266" s="8">
        <v>1940</v>
      </c>
      <c r="AL266" s="15">
        <v>39721</v>
      </c>
      <c r="AM266" s="8">
        <v>2360</v>
      </c>
      <c r="AN266" s="15">
        <v>39721</v>
      </c>
      <c r="AO266" s="8">
        <v>2580</v>
      </c>
      <c r="AP266" s="5">
        <v>44561</v>
      </c>
      <c r="AQ266" s="4">
        <v>16.47</v>
      </c>
      <c r="AR266" s="11">
        <v>40329</v>
      </c>
      <c r="AS266" s="11">
        <v>40329</v>
      </c>
      <c r="AT266" s="10">
        <v>74.650000000000006</v>
      </c>
    </row>
    <row r="267" spans="1:46" x14ac:dyDescent="0.25">
      <c r="A267" s="16">
        <v>26329</v>
      </c>
      <c r="B267" s="1">
        <v>9114</v>
      </c>
      <c r="C267" s="13" t="str">
        <f t="shared" si="4"/>
        <v>82004</v>
      </c>
      <c r="D267" s="2">
        <v>38230</v>
      </c>
      <c r="E267" s="1">
        <v>-4200</v>
      </c>
      <c r="F267" s="16">
        <v>42400</v>
      </c>
      <c r="G267" s="1">
        <v>10414</v>
      </c>
      <c r="H267" s="16">
        <v>42400</v>
      </c>
      <c r="I267" s="1">
        <v>3652</v>
      </c>
      <c r="J267" s="16">
        <v>42400</v>
      </c>
      <c r="K267" s="1">
        <v>4475</v>
      </c>
      <c r="L267" s="16">
        <v>42400</v>
      </c>
      <c r="M267" s="1">
        <v>430</v>
      </c>
      <c r="N267" s="16">
        <v>42400</v>
      </c>
      <c r="O267" s="1">
        <v>2159</v>
      </c>
      <c r="P267" s="16">
        <v>42400</v>
      </c>
      <c r="Q267" s="1">
        <v>10485</v>
      </c>
      <c r="R267" s="16">
        <v>42400</v>
      </c>
      <c r="S267" s="1">
        <v>2383</v>
      </c>
      <c r="T267" s="16">
        <v>42400</v>
      </c>
      <c r="U267" s="1">
        <v>4166</v>
      </c>
      <c r="V267" s="16">
        <v>42400</v>
      </c>
      <c r="W267" s="1">
        <v>2353.0369999999998</v>
      </c>
      <c r="X267" s="15">
        <v>39782</v>
      </c>
      <c r="Y267" s="8">
        <v>31110</v>
      </c>
      <c r="Z267" s="15">
        <v>39752</v>
      </c>
      <c r="AA267" s="8">
        <v>9350</v>
      </c>
      <c r="AB267" s="15">
        <v>39752</v>
      </c>
      <c r="AC267" s="8">
        <v>2520</v>
      </c>
      <c r="AD267" s="15">
        <v>39752</v>
      </c>
      <c r="AE267" s="8">
        <v>3900</v>
      </c>
      <c r="AF267" s="15">
        <v>39752</v>
      </c>
      <c r="AG267" s="8">
        <v>2260</v>
      </c>
      <c r="AH267" s="15">
        <v>39752</v>
      </c>
      <c r="AI267" s="8">
        <v>1720</v>
      </c>
      <c r="AJ267" s="15">
        <v>39752</v>
      </c>
      <c r="AK267" s="8">
        <v>1920</v>
      </c>
      <c r="AL267" s="15">
        <v>39752</v>
      </c>
      <c r="AM267" s="8">
        <v>2350</v>
      </c>
      <c r="AN267" s="15">
        <v>39752</v>
      </c>
      <c r="AO267" s="8">
        <v>2600</v>
      </c>
      <c r="AP267" s="5">
        <v>44651</v>
      </c>
      <c r="AQ267" s="4">
        <v>17.71</v>
      </c>
      <c r="AR267" s="11">
        <v>40359</v>
      </c>
      <c r="AS267" s="11">
        <v>40359</v>
      </c>
      <c r="AT267" s="10">
        <v>75.010000000000005</v>
      </c>
    </row>
    <row r="268" spans="1:46" x14ac:dyDescent="0.25">
      <c r="A268" s="16">
        <v>26358</v>
      </c>
      <c r="B268" s="1">
        <v>9336</v>
      </c>
      <c r="C268" s="13" t="str">
        <f t="shared" si="4"/>
        <v>92004</v>
      </c>
      <c r="D268" s="2">
        <v>38260</v>
      </c>
      <c r="E268" s="1">
        <v>3400</v>
      </c>
      <c r="F268" s="16">
        <v>42429</v>
      </c>
      <c r="G268" s="1">
        <v>10414</v>
      </c>
      <c r="H268" s="16">
        <v>42429</v>
      </c>
      <c r="I268" s="1">
        <v>3792</v>
      </c>
      <c r="J268" s="16">
        <v>42429</v>
      </c>
      <c r="K268" s="1">
        <v>4225</v>
      </c>
      <c r="L268" s="16">
        <v>42429</v>
      </c>
      <c r="M268" s="1">
        <v>420</v>
      </c>
      <c r="N268" s="16">
        <v>42429</v>
      </c>
      <c r="O268" s="1">
        <v>2120</v>
      </c>
      <c r="P268" s="16">
        <v>42429</v>
      </c>
      <c r="Q268" s="1">
        <v>10485</v>
      </c>
      <c r="R268" s="16">
        <v>42429</v>
      </c>
      <c r="S268" s="1">
        <v>2382</v>
      </c>
      <c r="T268" s="16">
        <v>42429</v>
      </c>
      <c r="U268" s="1">
        <v>4150</v>
      </c>
      <c r="V268" s="16">
        <v>42429</v>
      </c>
      <c r="W268" s="1">
        <v>2335.0259999999998</v>
      </c>
      <c r="X268" s="15">
        <v>39813</v>
      </c>
      <c r="Y268" s="8">
        <v>29615</v>
      </c>
      <c r="Z268" s="15">
        <v>39782</v>
      </c>
      <c r="AA268" s="8">
        <v>8800</v>
      </c>
      <c r="AB268" s="15">
        <v>39782</v>
      </c>
      <c r="AC268" s="8">
        <v>2350</v>
      </c>
      <c r="AD268" s="15">
        <v>39782</v>
      </c>
      <c r="AE268" s="8">
        <v>3820</v>
      </c>
      <c r="AF268" s="15">
        <v>39782</v>
      </c>
      <c r="AG268" s="8">
        <v>2320</v>
      </c>
      <c r="AH268" s="15">
        <v>39782</v>
      </c>
      <c r="AI268" s="8">
        <v>1710</v>
      </c>
      <c r="AJ268" s="15">
        <v>39782</v>
      </c>
      <c r="AK268" s="8">
        <v>1880</v>
      </c>
      <c r="AL268" s="15">
        <v>39782</v>
      </c>
      <c r="AM268" s="8">
        <v>2330</v>
      </c>
      <c r="AN268" s="15">
        <v>39782</v>
      </c>
      <c r="AO268" s="8">
        <v>2550</v>
      </c>
      <c r="AP268" s="5">
        <v>44681</v>
      </c>
      <c r="AQ268" s="4">
        <v>17</v>
      </c>
      <c r="AR268" s="11">
        <v>40389</v>
      </c>
      <c r="AS268" s="11">
        <v>40389</v>
      </c>
      <c r="AT268" s="10">
        <v>78.180000000000007</v>
      </c>
    </row>
    <row r="269" spans="1:46" x14ac:dyDescent="0.25">
      <c r="A269" s="16">
        <v>26389</v>
      </c>
      <c r="B269" s="1">
        <v>9462</v>
      </c>
      <c r="C269" s="13" t="str">
        <f t="shared" si="4"/>
        <v>102004</v>
      </c>
      <c r="D269" s="2">
        <v>38289</v>
      </c>
      <c r="E269" s="1">
        <v>6300</v>
      </c>
      <c r="F269" s="16">
        <v>42460</v>
      </c>
      <c r="G269" s="1">
        <v>10414</v>
      </c>
      <c r="H269" s="16">
        <v>42460</v>
      </c>
      <c r="I269" s="1">
        <v>4093</v>
      </c>
      <c r="J269" s="16">
        <v>42460</v>
      </c>
      <c r="K269" s="1">
        <v>4225</v>
      </c>
      <c r="L269" s="16">
        <v>42460</v>
      </c>
      <c r="M269" s="1">
        <v>380</v>
      </c>
      <c r="N269" s="16">
        <v>42460</v>
      </c>
      <c r="O269" s="1">
        <v>1993</v>
      </c>
      <c r="P269" s="16">
        <v>42460</v>
      </c>
      <c r="Q269" s="1">
        <v>10522</v>
      </c>
      <c r="R269" s="16">
        <v>42460</v>
      </c>
      <c r="S269" s="1">
        <v>2381</v>
      </c>
      <c r="T269" s="16">
        <v>42460</v>
      </c>
      <c r="U269" s="1">
        <v>4091</v>
      </c>
      <c r="V269" s="16">
        <v>42460</v>
      </c>
      <c r="W269" s="1">
        <v>2264.23</v>
      </c>
      <c r="X269" s="15">
        <v>39844</v>
      </c>
      <c r="Y269" s="8">
        <v>28545</v>
      </c>
      <c r="Z269" s="15">
        <v>39813</v>
      </c>
      <c r="AA269" s="8">
        <v>8400</v>
      </c>
      <c r="AB269" s="15">
        <v>39813</v>
      </c>
      <c r="AC269" s="8">
        <v>2350</v>
      </c>
      <c r="AD269" s="15">
        <v>39813</v>
      </c>
      <c r="AE269" s="8">
        <v>3850</v>
      </c>
      <c r="AF269" s="15">
        <v>39813</v>
      </c>
      <c r="AG269" s="8">
        <v>2345</v>
      </c>
      <c r="AH269" s="15">
        <v>39813</v>
      </c>
      <c r="AI269" s="8">
        <v>1660</v>
      </c>
      <c r="AJ269" s="15">
        <v>39813</v>
      </c>
      <c r="AK269" s="8">
        <v>1900</v>
      </c>
      <c r="AL269" s="15">
        <v>39813</v>
      </c>
      <c r="AM269" s="8">
        <v>2320</v>
      </c>
      <c r="AN269" s="15">
        <v>39813</v>
      </c>
      <c r="AO269" s="8">
        <v>2350</v>
      </c>
      <c r="AP269" s="5">
        <v>44712</v>
      </c>
      <c r="AQ269" s="4">
        <v>17.57</v>
      </c>
      <c r="AR269" s="11">
        <v>40421</v>
      </c>
      <c r="AS269" s="11">
        <v>40421</v>
      </c>
      <c r="AT269" s="10">
        <v>74.64</v>
      </c>
    </row>
    <row r="270" spans="1:46" x14ac:dyDescent="0.25">
      <c r="A270" s="16">
        <v>26419</v>
      </c>
      <c r="B270" s="1">
        <v>9513</v>
      </c>
      <c r="C270" s="13" t="str">
        <f t="shared" si="4"/>
        <v>112004</v>
      </c>
      <c r="D270" s="2">
        <v>38321</v>
      </c>
      <c r="E270" s="1">
        <v>900</v>
      </c>
      <c r="F270" s="16">
        <v>42490</v>
      </c>
      <c r="G270" s="1">
        <v>10414</v>
      </c>
      <c r="H270" s="16">
        <v>42490</v>
      </c>
      <c r="I270" s="1">
        <v>4173</v>
      </c>
      <c r="J270" s="16">
        <v>42490</v>
      </c>
      <c r="K270" s="1">
        <v>4475</v>
      </c>
      <c r="L270" s="16">
        <v>42490</v>
      </c>
      <c r="M270" s="1">
        <v>390</v>
      </c>
      <c r="N270" s="16">
        <v>42490</v>
      </c>
      <c r="O270" s="1">
        <v>2010</v>
      </c>
      <c r="P270" s="16">
        <v>42490</v>
      </c>
      <c r="Q270" s="1">
        <v>10450</v>
      </c>
      <c r="R270" s="16">
        <v>42490</v>
      </c>
      <c r="S270" s="1">
        <v>2380</v>
      </c>
      <c r="T270" s="16">
        <v>42490</v>
      </c>
      <c r="U270" s="1">
        <v>4039</v>
      </c>
      <c r="V270" s="16">
        <v>42490</v>
      </c>
      <c r="W270" s="1">
        <v>2290.143</v>
      </c>
      <c r="X270" s="15">
        <v>39872</v>
      </c>
      <c r="Y270" s="8">
        <v>27740</v>
      </c>
      <c r="Z270" s="15">
        <v>39844</v>
      </c>
      <c r="AA270" s="8">
        <v>8025</v>
      </c>
      <c r="AB270" s="15">
        <v>39844</v>
      </c>
      <c r="AC270" s="8">
        <v>2290</v>
      </c>
      <c r="AD270" s="15">
        <v>39844</v>
      </c>
      <c r="AE270" s="8">
        <v>3780</v>
      </c>
      <c r="AF270" s="15">
        <v>39844</v>
      </c>
      <c r="AG270" s="8">
        <v>2365</v>
      </c>
      <c r="AH270" s="15">
        <v>39844</v>
      </c>
      <c r="AI270" s="8">
        <v>1630</v>
      </c>
      <c r="AJ270" s="15">
        <v>39844</v>
      </c>
      <c r="AK270" s="8">
        <v>1810</v>
      </c>
      <c r="AL270" s="15">
        <v>39844</v>
      </c>
      <c r="AM270" s="8">
        <v>2150</v>
      </c>
      <c r="AN270" s="15">
        <v>39844</v>
      </c>
      <c r="AO270" s="8">
        <v>2280</v>
      </c>
      <c r="AP270" s="5">
        <v>44742</v>
      </c>
      <c r="AQ270" s="4">
        <v>17.190000000000001</v>
      </c>
      <c r="AR270" s="11">
        <v>40451</v>
      </c>
      <c r="AS270" s="11">
        <v>40451</v>
      </c>
      <c r="AT270" s="10">
        <v>82.31</v>
      </c>
    </row>
    <row r="271" spans="1:46" x14ac:dyDescent="0.25">
      <c r="A271" s="16">
        <v>26450</v>
      </c>
      <c r="B271" s="1">
        <v>9614</v>
      </c>
      <c r="C271" s="13" t="str">
        <f t="shared" si="4"/>
        <v>122004</v>
      </c>
      <c r="D271" s="2">
        <v>38352</v>
      </c>
      <c r="E271" s="1">
        <v>-3300</v>
      </c>
      <c r="F271" s="16">
        <v>42521</v>
      </c>
      <c r="G271" s="1">
        <v>10514</v>
      </c>
      <c r="H271" s="16">
        <v>42521</v>
      </c>
      <c r="I271" s="1">
        <v>4162</v>
      </c>
      <c r="J271" s="16">
        <v>42521</v>
      </c>
      <c r="K271" s="1">
        <v>4355</v>
      </c>
      <c r="L271" s="16">
        <v>42521</v>
      </c>
      <c r="M271" s="1">
        <v>345</v>
      </c>
      <c r="N271" s="16">
        <v>42521</v>
      </c>
      <c r="O271" s="1">
        <v>1673</v>
      </c>
      <c r="P271" s="16">
        <v>42521</v>
      </c>
      <c r="Q271" s="1">
        <v>10440</v>
      </c>
      <c r="R271" s="16">
        <v>42521</v>
      </c>
      <c r="S271" s="1">
        <v>2279</v>
      </c>
      <c r="T271" s="16">
        <v>42521</v>
      </c>
      <c r="U271" s="1">
        <v>3977</v>
      </c>
      <c r="V271" s="16">
        <v>42521</v>
      </c>
      <c r="W271" s="1">
        <v>2487.114</v>
      </c>
      <c r="X271" s="15">
        <v>39903</v>
      </c>
      <c r="Y271" s="8">
        <v>27665</v>
      </c>
      <c r="Z271" s="15">
        <v>39872</v>
      </c>
      <c r="AA271" s="8">
        <v>7860</v>
      </c>
      <c r="AB271" s="15">
        <v>39872</v>
      </c>
      <c r="AC271" s="8">
        <v>2210</v>
      </c>
      <c r="AD271" s="15">
        <v>39872</v>
      </c>
      <c r="AE271" s="8">
        <v>3690</v>
      </c>
      <c r="AF271" s="15">
        <v>39872</v>
      </c>
      <c r="AG271" s="8">
        <v>2385</v>
      </c>
      <c r="AH271" s="15">
        <v>39872</v>
      </c>
      <c r="AI271" s="8">
        <v>1550</v>
      </c>
      <c r="AJ271" s="15">
        <v>39872</v>
      </c>
      <c r="AK271" s="8">
        <v>1785</v>
      </c>
      <c r="AL271" s="15">
        <v>39872</v>
      </c>
      <c r="AM271" s="8">
        <v>2065</v>
      </c>
      <c r="AN271" s="15">
        <v>39872</v>
      </c>
      <c r="AO271" s="8">
        <v>2140</v>
      </c>
      <c r="AP271" s="5">
        <v>44773</v>
      </c>
      <c r="AQ271" s="4">
        <v>17.13</v>
      </c>
      <c r="AR271" s="11">
        <v>40480</v>
      </c>
      <c r="AS271" s="11">
        <v>40480</v>
      </c>
      <c r="AT271" s="10">
        <v>83.15</v>
      </c>
    </row>
    <row r="272" spans="1:46" x14ac:dyDescent="0.25">
      <c r="A272" s="16">
        <v>26480</v>
      </c>
      <c r="B272" s="1">
        <v>9522</v>
      </c>
      <c r="C272" s="13" t="str">
        <f t="shared" si="4"/>
        <v>12005</v>
      </c>
      <c r="D272" s="2">
        <v>38383</v>
      </c>
      <c r="E272" s="1">
        <v>-300</v>
      </c>
      <c r="F272" s="16">
        <v>42551</v>
      </c>
      <c r="G272" s="1">
        <v>10714</v>
      </c>
      <c r="H272" s="16">
        <v>42551</v>
      </c>
      <c r="I272" s="1">
        <v>4150</v>
      </c>
      <c r="J272" s="16">
        <v>42551</v>
      </c>
      <c r="K272" s="1">
        <v>4405</v>
      </c>
      <c r="L272" s="16">
        <v>42551</v>
      </c>
      <c r="M272" s="1">
        <v>390</v>
      </c>
      <c r="N272" s="16">
        <v>42551</v>
      </c>
      <c r="O272" s="1">
        <v>1811</v>
      </c>
      <c r="P272" s="16">
        <v>42551</v>
      </c>
      <c r="Q272" s="1">
        <v>10453</v>
      </c>
      <c r="R272" s="16">
        <v>42551</v>
      </c>
      <c r="S272" s="1">
        <v>2258</v>
      </c>
      <c r="T272" s="16">
        <v>42551</v>
      </c>
      <c r="U272" s="1">
        <v>4038</v>
      </c>
      <c r="V272" s="16">
        <v>42551</v>
      </c>
      <c r="W272" s="1">
        <v>2558.462</v>
      </c>
      <c r="X272" s="15">
        <v>39933</v>
      </c>
      <c r="Y272" s="8">
        <v>27745</v>
      </c>
      <c r="Z272" s="15">
        <v>39903</v>
      </c>
      <c r="AA272" s="8">
        <v>7950</v>
      </c>
      <c r="AB272" s="15">
        <v>39903</v>
      </c>
      <c r="AC272" s="8">
        <v>2200</v>
      </c>
      <c r="AD272" s="15">
        <v>39903</v>
      </c>
      <c r="AE272" s="8">
        <v>3620</v>
      </c>
      <c r="AF272" s="15">
        <v>39903</v>
      </c>
      <c r="AG272" s="8">
        <v>2335</v>
      </c>
      <c r="AH272" s="15">
        <v>39903</v>
      </c>
      <c r="AI272" s="8">
        <v>1515</v>
      </c>
      <c r="AJ272" s="15">
        <v>39903</v>
      </c>
      <c r="AK272" s="8">
        <v>1790</v>
      </c>
      <c r="AL272" s="15">
        <v>39903</v>
      </c>
      <c r="AM272" s="8">
        <v>2150</v>
      </c>
      <c r="AN272" s="15">
        <v>39903</v>
      </c>
      <c r="AO272" s="8">
        <v>2115</v>
      </c>
      <c r="AP272" s="5">
        <v>44804</v>
      </c>
      <c r="AQ272" s="4">
        <v>16.940000000000001</v>
      </c>
      <c r="AR272" s="11">
        <v>40512</v>
      </c>
      <c r="AS272" s="11">
        <v>40512</v>
      </c>
      <c r="AT272" s="10">
        <v>85.92</v>
      </c>
    </row>
    <row r="273" spans="1:46" x14ac:dyDescent="0.25">
      <c r="A273" s="16">
        <v>26511</v>
      </c>
      <c r="B273" s="1">
        <v>9496</v>
      </c>
      <c r="C273" s="13" t="str">
        <f t="shared" si="4"/>
        <v>22005</v>
      </c>
      <c r="D273" s="2">
        <v>38411</v>
      </c>
      <c r="E273" s="1">
        <v>2400</v>
      </c>
      <c r="F273" s="16">
        <v>42582</v>
      </c>
      <c r="G273" s="1">
        <v>10844</v>
      </c>
      <c r="H273" s="16">
        <v>42582</v>
      </c>
      <c r="I273" s="1">
        <v>4224</v>
      </c>
      <c r="J273" s="16">
        <v>42582</v>
      </c>
      <c r="K273" s="1">
        <v>4415</v>
      </c>
      <c r="L273" s="16">
        <v>42582</v>
      </c>
      <c r="M273" s="1">
        <v>370</v>
      </c>
      <c r="N273" s="16">
        <v>42582</v>
      </c>
      <c r="O273" s="1">
        <v>1764</v>
      </c>
      <c r="P273" s="16">
        <v>42582</v>
      </c>
      <c r="Q273" s="1">
        <v>10254</v>
      </c>
      <c r="R273" s="16">
        <v>42582</v>
      </c>
      <c r="S273" s="1">
        <v>2197</v>
      </c>
      <c r="T273" s="16">
        <v>42582</v>
      </c>
      <c r="U273" s="1">
        <v>3941</v>
      </c>
      <c r="V273" s="16">
        <v>42582</v>
      </c>
      <c r="W273" s="1">
        <v>2580.8719999999998</v>
      </c>
      <c r="X273" s="15">
        <v>39964</v>
      </c>
      <c r="Y273" s="8">
        <v>28175</v>
      </c>
      <c r="Z273" s="15">
        <v>39933</v>
      </c>
      <c r="AA273" s="8">
        <v>7925</v>
      </c>
      <c r="AB273" s="15">
        <v>39933</v>
      </c>
      <c r="AC273" s="8">
        <v>2160</v>
      </c>
      <c r="AD273" s="15">
        <v>39933</v>
      </c>
      <c r="AE273" s="8">
        <v>3700</v>
      </c>
      <c r="AF273" s="15">
        <v>39933</v>
      </c>
      <c r="AG273" s="8">
        <v>2325</v>
      </c>
      <c r="AH273" s="15">
        <v>39933</v>
      </c>
      <c r="AI273" s="8">
        <v>1505</v>
      </c>
      <c r="AJ273" s="15">
        <v>39933</v>
      </c>
      <c r="AK273" s="8">
        <v>1840</v>
      </c>
      <c r="AL273" s="15">
        <v>39933</v>
      </c>
      <c r="AM273" s="8">
        <v>2125</v>
      </c>
      <c r="AN273" s="15">
        <v>39933</v>
      </c>
      <c r="AO273" s="8">
        <v>2095</v>
      </c>
      <c r="AP273" s="5">
        <v>44834</v>
      </c>
      <c r="AQ273" s="4">
        <v>16.809999999999999</v>
      </c>
      <c r="AR273" s="11">
        <v>40543</v>
      </c>
      <c r="AS273" s="11">
        <v>40543</v>
      </c>
      <c r="AT273" s="10">
        <v>94.75</v>
      </c>
    </row>
    <row r="274" spans="1:46" x14ac:dyDescent="0.25">
      <c r="A274" s="16">
        <v>26542</v>
      </c>
      <c r="B274" s="1">
        <v>9483</v>
      </c>
      <c r="C274" s="13" t="str">
        <f t="shared" si="4"/>
        <v>32005</v>
      </c>
      <c r="D274" s="2">
        <v>38442</v>
      </c>
      <c r="E274" s="1">
        <v>5400</v>
      </c>
      <c r="F274" s="16">
        <v>42613</v>
      </c>
      <c r="G274" s="1">
        <v>10814</v>
      </c>
      <c r="H274" s="16">
        <v>42613</v>
      </c>
      <c r="I274" s="1">
        <v>4226</v>
      </c>
      <c r="J274" s="16">
        <v>42613</v>
      </c>
      <c r="K274" s="1">
        <v>4460</v>
      </c>
      <c r="L274" s="16">
        <v>42613</v>
      </c>
      <c r="M274" s="1">
        <v>310</v>
      </c>
      <c r="N274" s="16">
        <v>42613</v>
      </c>
      <c r="O274" s="1">
        <v>1694</v>
      </c>
      <c r="P274" s="16">
        <v>42613</v>
      </c>
      <c r="Q274" s="1">
        <v>10316</v>
      </c>
      <c r="R274" s="16">
        <v>42613</v>
      </c>
      <c r="S274" s="1">
        <v>2186</v>
      </c>
      <c r="T274" s="16">
        <v>42613</v>
      </c>
      <c r="U274" s="1">
        <v>3878</v>
      </c>
      <c r="V274" s="16">
        <v>42613</v>
      </c>
      <c r="W274" s="1">
        <v>2608.7469999999998</v>
      </c>
      <c r="X274" s="15">
        <v>39994</v>
      </c>
      <c r="Y274" s="8">
        <v>28345</v>
      </c>
      <c r="Z274" s="15">
        <v>39964</v>
      </c>
      <c r="AA274" s="8">
        <v>8000</v>
      </c>
      <c r="AB274" s="15">
        <v>39964</v>
      </c>
      <c r="AC274" s="8">
        <v>2200</v>
      </c>
      <c r="AD274" s="15">
        <v>39964</v>
      </c>
      <c r="AE274" s="8">
        <v>3780</v>
      </c>
      <c r="AF274" s="15">
        <v>39964</v>
      </c>
      <c r="AG274" s="8">
        <v>2390</v>
      </c>
      <c r="AH274" s="15">
        <v>39964</v>
      </c>
      <c r="AI274" s="8">
        <v>1520</v>
      </c>
      <c r="AJ274" s="15">
        <v>39964</v>
      </c>
      <c r="AK274" s="8">
        <v>1825</v>
      </c>
      <c r="AL274" s="15">
        <v>39964</v>
      </c>
      <c r="AM274" s="8">
        <v>2180</v>
      </c>
      <c r="AN274" s="15">
        <v>39964</v>
      </c>
      <c r="AO274" s="8">
        <v>2150</v>
      </c>
      <c r="AP274" s="5">
        <v>44865</v>
      </c>
      <c r="AQ274" s="4">
        <v>17.22</v>
      </c>
      <c r="AR274" s="11">
        <v>40574</v>
      </c>
      <c r="AS274" s="11">
        <v>40574</v>
      </c>
      <c r="AT274" s="10">
        <v>101.01</v>
      </c>
    </row>
    <row r="275" spans="1:46" x14ac:dyDescent="0.25">
      <c r="A275" s="16">
        <v>26572</v>
      </c>
      <c r="B275" s="1">
        <v>9508</v>
      </c>
      <c r="C275" s="13" t="str">
        <f t="shared" si="4"/>
        <v>42005</v>
      </c>
      <c r="D275" s="2">
        <v>38471</v>
      </c>
      <c r="E275" s="1">
        <v>2680</v>
      </c>
      <c r="F275" s="16">
        <v>42643</v>
      </c>
      <c r="G275" s="1">
        <v>10774</v>
      </c>
      <c r="H275" s="16">
        <v>42643</v>
      </c>
      <c r="I275" s="1">
        <v>4210</v>
      </c>
      <c r="J275" s="16">
        <v>42643</v>
      </c>
      <c r="K275" s="1">
        <v>4480</v>
      </c>
      <c r="L275" s="16">
        <v>42643</v>
      </c>
      <c r="M275" s="1">
        <v>370</v>
      </c>
      <c r="N275" s="16">
        <v>42643</v>
      </c>
      <c r="O275" s="1">
        <v>1726</v>
      </c>
      <c r="P275" s="16">
        <v>42643</v>
      </c>
      <c r="Q275" s="1">
        <v>10729</v>
      </c>
      <c r="R275" s="16">
        <v>42643</v>
      </c>
      <c r="S275" s="1">
        <v>2175</v>
      </c>
      <c r="T275" s="16">
        <v>42643</v>
      </c>
      <c r="U275" s="1">
        <v>3892</v>
      </c>
      <c r="V275" s="16">
        <v>42643</v>
      </c>
      <c r="W275" s="1">
        <v>2671.39</v>
      </c>
      <c r="X275" s="15">
        <v>40025</v>
      </c>
      <c r="Y275" s="8">
        <v>28485</v>
      </c>
      <c r="Z275" s="15">
        <v>39994</v>
      </c>
      <c r="AA275" s="8">
        <v>8020</v>
      </c>
      <c r="AB275" s="15">
        <v>39994</v>
      </c>
      <c r="AC275" s="8">
        <v>2230</v>
      </c>
      <c r="AD275" s="15">
        <v>39994</v>
      </c>
      <c r="AE275" s="8">
        <v>3800</v>
      </c>
      <c r="AF275" s="15">
        <v>39994</v>
      </c>
      <c r="AG275" s="8">
        <v>2370</v>
      </c>
      <c r="AH275" s="15">
        <v>39994</v>
      </c>
      <c r="AI275" s="8">
        <v>1520</v>
      </c>
      <c r="AJ275" s="15">
        <v>39994</v>
      </c>
      <c r="AK275" s="8">
        <v>1850</v>
      </c>
      <c r="AL275" s="15">
        <v>39994</v>
      </c>
      <c r="AM275" s="8">
        <v>2200</v>
      </c>
      <c r="AN275" s="15">
        <v>39994</v>
      </c>
      <c r="AO275" s="8">
        <v>2175</v>
      </c>
      <c r="AP275" s="5">
        <v>44895</v>
      </c>
      <c r="AQ275" s="4">
        <v>16.78</v>
      </c>
      <c r="AR275" s="11">
        <v>40602</v>
      </c>
      <c r="AS275" s="11">
        <v>40602</v>
      </c>
      <c r="AT275" s="10">
        <v>111.8</v>
      </c>
    </row>
    <row r="276" spans="1:46" x14ac:dyDescent="0.25">
      <c r="A276" s="16">
        <v>26603</v>
      </c>
      <c r="B276" s="1">
        <v>9482</v>
      </c>
      <c r="C276" s="13" t="str">
        <f t="shared" si="4"/>
        <v>52005</v>
      </c>
      <c r="D276" s="2">
        <v>38503</v>
      </c>
      <c r="E276" s="1">
        <v>1488</v>
      </c>
      <c r="F276" s="16">
        <v>42674</v>
      </c>
      <c r="G276" s="1">
        <v>10764</v>
      </c>
      <c r="H276" s="16">
        <v>42674</v>
      </c>
      <c r="I276" s="1">
        <v>4312</v>
      </c>
      <c r="J276" s="16">
        <v>42674</v>
      </c>
      <c r="K276" s="1">
        <v>4565</v>
      </c>
      <c r="L276" s="16">
        <v>42674</v>
      </c>
      <c r="M276" s="1">
        <v>610</v>
      </c>
      <c r="N276" s="16">
        <v>42674</v>
      </c>
      <c r="O276" s="1">
        <v>1854</v>
      </c>
      <c r="P276" s="16">
        <v>42674</v>
      </c>
      <c r="Q276" s="1">
        <v>10826</v>
      </c>
      <c r="R276" s="16">
        <v>42674</v>
      </c>
      <c r="S276" s="1">
        <v>2164</v>
      </c>
      <c r="T276" s="16">
        <v>42674</v>
      </c>
      <c r="U276" s="1">
        <v>3784</v>
      </c>
      <c r="V276" s="16">
        <v>42674</v>
      </c>
      <c r="W276" s="1">
        <v>2623.8829999999998</v>
      </c>
      <c r="X276" s="15">
        <v>40056</v>
      </c>
      <c r="Y276" s="8">
        <v>28445</v>
      </c>
      <c r="Z276" s="15">
        <v>40025</v>
      </c>
      <c r="AA276" s="8">
        <v>8020</v>
      </c>
      <c r="AB276" s="15">
        <v>40025</v>
      </c>
      <c r="AC276" s="8">
        <v>2270</v>
      </c>
      <c r="AD276" s="15">
        <v>40025</v>
      </c>
      <c r="AE276" s="8">
        <v>3790</v>
      </c>
      <c r="AF276" s="15">
        <v>40025</v>
      </c>
      <c r="AG276" s="8">
        <v>2450</v>
      </c>
      <c r="AH276" s="15">
        <v>40025</v>
      </c>
      <c r="AI276" s="8">
        <v>1535</v>
      </c>
      <c r="AJ276" s="15">
        <v>40025</v>
      </c>
      <c r="AK276" s="8">
        <v>1750</v>
      </c>
      <c r="AL276" s="15">
        <v>40025</v>
      </c>
      <c r="AM276" s="8">
        <v>2210</v>
      </c>
      <c r="AN276" s="15">
        <v>40025</v>
      </c>
      <c r="AO276" s="8">
        <v>2200</v>
      </c>
      <c r="AP276" s="5">
        <v>44926</v>
      </c>
      <c r="AQ276" s="4">
        <v>16.87</v>
      </c>
      <c r="AR276" s="11">
        <v>40633</v>
      </c>
      <c r="AS276" s="11">
        <v>40633</v>
      </c>
      <c r="AT276" s="10">
        <v>117.36</v>
      </c>
    </row>
    <row r="277" spans="1:46" x14ac:dyDescent="0.25">
      <c r="A277" s="16">
        <v>26633</v>
      </c>
      <c r="B277" s="1">
        <v>9426</v>
      </c>
      <c r="C277" s="13" t="str">
        <f t="shared" si="4"/>
        <v>62005</v>
      </c>
      <c r="D277" s="2">
        <v>38533</v>
      </c>
      <c r="E277" s="1">
        <v>1104</v>
      </c>
      <c r="F277" s="16">
        <v>42704</v>
      </c>
      <c r="G277" s="1">
        <v>10814</v>
      </c>
      <c r="H277" s="16">
        <v>42704</v>
      </c>
      <c r="I277" s="1">
        <v>4356</v>
      </c>
      <c r="J277" s="16">
        <v>42704</v>
      </c>
      <c r="K277" s="1">
        <v>4645</v>
      </c>
      <c r="L277" s="16">
        <v>42704</v>
      </c>
      <c r="M277" s="1">
        <v>640</v>
      </c>
      <c r="N277" s="16">
        <v>42704</v>
      </c>
      <c r="O277" s="1">
        <v>1984</v>
      </c>
      <c r="P277" s="16">
        <v>42704</v>
      </c>
      <c r="Q277" s="1">
        <v>10832</v>
      </c>
      <c r="R277" s="16">
        <v>42704</v>
      </c>
      <c r="S277" s="1">
        <v>2153</v>
      </c>
      <c r="T277" s="16">
        <v>42704</v>
      </c>
      <c r="U277" s="1">
        <v>3918</v>
      </c>
      <c r="V277" s="16">
        <v>42704</v>
      </c>
      <c r="W277" s="1">
        <v>2608.5300000000002</v>
      </c>
      <c r="X277" s="15">
        <v>40086</v>
      </c>
      <c r="Y277" s="8">
        <v>28680</v>
      </c>
      <c r="Z277" s="15">
        <v>40056</v>
      </c>
      <c r="AA277" s="8">
        <v>8040</v>
      </c>
      <c r="AB277" s="15">
        <v>40056</v>
      </c>
      <c r="AC277" s="8">
        <v>2250</v>
      </c>
      <c r="AD277" s="15">
        <v>40056</v>
      </c>
      <c r="AE277" s="8">
        <v>3760</v>
      </c>
      <c r="AF277" s="15">
        <v>40056</v>
      </c>
      <c r="AG277" s="8">
        <v>2390</v>
      </c>
      <c r="AH277" s="15">
        <v>40056</v>
      </c>
      <c r="AI277" s="8">
        <v>1530</v>
      </c>
      <c r="AJ277" s="15">
        <v>40056</v>
      </c>
      <c r="AK277" s="8">
        <v>1780</v>
      </c>
      <c r="AL277" s="15">
        <v>40056</v>
      </c>
      <c r="AM277" s="8">
        <v>2205</v>
      </c>
      <c r="AN277" s="15">
        <v>40056</v>
      </c>
      <c r="AO277" s="8">
        <v>2200</v>
      </c>
      <c r="AP277" s="5">
        <v>45016</v>
      </c>
      <c r="AQ277" s="4">
        <v>18.18</v>
      </c>
      <c r="AR277" s="11">
        <v>40662</v>
      </c>
      <c r="AS277" s="11">
        <v>40662</v>
      </c>
      <c r="AT277" s="10">
        <v>125.89</v>
      </c>
    </row>
    <row r="278" spans="1:46" x14ac:dyDescent="0.25">
      <c r="A278" s="16">
        <v>26664</v>
      </c>
      <c r="B278" s="1">
        <v>9335</v>
      </c>
      <c r="C278" s="13" t="str">
        <f t="shared" si="4"/>
        <v>72005</v>
      </c>
      <c r="D278" s="2">
        <v>38562</v>
      </c>
      <c r="E278" s="1">
        <v>196</v>
      </c>
      <c r="F278" s="16">
        <v>42735</v>
      </c>
      <c r="G278" s="1">
        <v>10714</v>
      </c>
      <c r="H278" s="16">
        <v>42735</v>
      </c>
      <c r="I278" s="1">
        <v>4450</v>
      </c>
      <c r="J278" s="16">
        <v>42735</v>
      </c>
      <c r="K278" s="1">
        <v>4685</v>
      </c>
      <c r="L278" s="16">
        <v>42735</v>
      </c>
      <c r="M278" s="1">
        <v>680</v>
      </c>
      <c r="N278" s="16">
        <v>42735</v>
      </c>
      <c r="O278" s="1">
        <v>1684</v>
      </c>
      <c r="P278" s="16">
        <v>42735</v>
      </c>
      <c r="Q278" s="1">
        <v>10830</v>
      </c>
      <c r="R278" s="16">
        <v>42735</v>
      </c>
      <c r="S278" s="1">
        <v>2122</v>
      </c>
      <c r="T278" s="16">
        <v>42735</v>
      </c>
      <c r="U278" s="1">
        <v>3937</v>
      </c>
      <c r="V278" s="16">
        <v>42735</v>
      </c>
      <c r="W278" s="1">
        <v>2729.8470000000002</v>
      </c>
      <c r="X278" s="15">
        <v>40117</v>
      </c>
      <c r="Y278" s="8">
        <v>28790</v>
      </c>
      <c r="Z278" s="15">
        <v>40086</v>
      </c>
      <c r="AA278" s="8">
        <v>8200</v>
      </c>
      <c r="AB278" s="15">
        <v>40086</v>
      </c>
      <c r="AC278" s="8">
        <v>2270</v>
      </c>
      <c r="AD278" s="15">
        <v>40086</v>
      </c>
      <c r="AE278" s="8">
        <v>3780</v>
      </c>
      <c r="AF278" s="15">
        <v>40086</v>
      </c>
      <c r="AG278" s="8">
        <v>2450</v>
      </c>
      <c r="AH278" s="15">
        <v>40086</v>
      </c>
      <c r="AI278" s="8">
        <v>1520</v>
      </c>
      <c r="AJ278" s="15">
        <v>40086</v>
      </c>
      <c r="AK278" s="8">
        <v>1805</v>
      </c>
      <c r="AL278" s="15">
        <v>40086</v>
      </c>
      <c r="AM278" s="8">
        <v>2230</v>
      </c>
      <c r="AN278" s="15">
        <v>40086</v>
      </c>
      <c r="AO278" s="8">
        <v>2185</v>
      </c>
      <c r="AP278" s="5">
        <v>45046</v>
      </c>
      <c r="AQ278" s="4">
        <v>17.28</v>
      </c>
      <c r="AR278" s="11">
        <v>40694</v>
      </c>
      <c r="AS278" s="11">
        <v>40694</v>
      </c>
      <c r="AT278" s="10">
        <v>116.73</v>
      </c>
    </row>
    <row r="279" spans="1:46" x14ac:dyDescent="0.25">
      <c r="A279" s="16">
        <v>26695</v>
      </c>
      <c r="B279" s="1">
        <v>9176</v>
      </c>
      <c r="C279" s="13" t="str">
        <f t="shared" si="4"/>
        <v>82005</v>
      </c>
      <c r="D279" s="2">
        <v>38595</v>
      </c>
      <c r="E279" s="1">
        <v>-1520</v>
      </c>
      <c r="F279" s="16">
        <v>42766</v>
      </c>
      <c r="G279" s="1">
        <v>10196</v>
      </c>
      <c r="H279" s="16">
        <v>42766</v>
      </c>
      <c r="I279" s="1">
        <v>4435</v>
      </c>
      <c r="J279" s="16">
        <v>42766</v>
      </c>
      <c r="K279" s="1">
        <v>4565</v>
      </c>
      <c r="L279" s="16">
        <v>42766</v>
      </c>
      <c r="M279" s="1">
        <v>740</v>
      </c>
      <c r="N279" s="16">
        <v>42766</v>
      </c>
      <c r="O279" s="1">
        <v>1849</v>
      </c>
      <c r="P279" s="16">
        <v>42766</v>
      </c>
      <c r="Q279" s="1">
        <v>10829.995000000001</v>
      </c>
      <c r="R279" s="16">
        <v>42766</v>
      </c>
      <c r="S279" s="1">
        <v>2076</v>
      </c>
      <c r="T279" s="16">
        <v>42766</v>
      </c>
      <c r="U279" s="1">
        <v>3759.2150000000001</v>
      </c>
      <c r="V279" s="16">
        <v>42766</v>
      </c>
      <c r="W279" s="1">
        <v>2686.5610000000001</v>
      </c>
      <c r="X279" s="15">
        <v>40147</v>
      </c>
      <c r="Y279" s="8">
        <v>28900</v>
      </c>
      <c r="Z279" s="15">
        <v>40117</v>
      </c>
      <c r="AA279" s="8">
        <v>8150</v>
      </c>
      <c r="AB279" s="15">
        <v>40117</v>
      </c>
      <c r="AC279" s="8">
        <v>2250</v>
      </c>
      <c r="AD279" s="15">
        <v>40117</v>
      </c>
      <c r="AE279" s="8">
        <v>3780</v>
      </c>
      <c r="AF279" s="15">
        <v>40117</v>
      </c>
      <c r="AG279" s="8">
        <v>2450</v>
      </c>
      <c r="AH279" s="15">
        <v>40117</v>
      </c>
      <c r="AI279" s="8">
        <v>1510</v>
      </c>
      <c r="AJ279" s="15">
        <v>40117</v>
      </c>
      <c r="AK279" s="8">
        <v>1875</v>
      </c>
      <c r="AL279" s="15">
        <v>40117</v>
      </c>
      <c r="AM279" s="8">
        <v>2220</v>
      </c>
      <c r="AN279" s="15">
        <v>40117</v>
      </c>
      <c r="AO279" s="8">
        <v>2200</v>
      </c>
      <c r="AP279" s="5">
        <v>45077</v>
      </c>
      <c r="AQ279" s="4">
        <v>18.07</v>
      </c>
      <c r="AR279" s="11">
        <v>40724</v>
      </c>
      <c r="AS279" s="11">
        <v>40724</v>
      </c>
      <c r="AT279" s="10">
        <v>112.48</v>
      </c>
    </row>
    <row r="280" spans="1:46" x14ac:dyDescent="0.25">
      <c r="A280" s="16">
        <v>26723</v>
      </c>
      <c r="B280" s="1">
        <v>9395</v>
      </c>
      <c r="C280" s="13" t="str">
        <f t="shared" si="4"/>
        <v>92005</v>
      </c>
      <c r="D280" s="2">
        <v>38625</v>
      </c>
      <c r="E280" s="1">
        <v>-246</v>
      </c>
      <c r="F280" s="16">
        <v>42794</v>
      </c>
      <c r="G280" s="1">
        <v>10216</v>
      </c>
      <c r="H280" s="16">
        <v>42794</v>
      </c>
      <c r="I280" s="1">
        <v>4435</v>
      </c>
      <c r="J280" s="16">
        <v>42794</v>
      </c>
      <c r="K280" s="1">
        <v>4445</v>
      </c>
      <c r="L280" s="16">
        <v>42794</v>
      </c>
      <c r="M280" s="1">
        <v>750</v>
      </c>
      <c r="N280" s="16">
        <v>42794</v>
      </c>
      <c r="O280" s="1">
        <v>1869</v>
      </c>
      <c r="P280" s="16">
        <v>42794</v>
      </c>
      <c r="Q280" s="1">
        <v>10551.472</v>
      </c>
      <c r="R280" s="16">
        <v>42794</v>
      </c>
      <c r="S280" s="1">
        <v>2065</v>
      </c>
      <c r="T280" s="16">
        <v>42794</v>
      </c>
      <c r="U280" s="1">
        <v>3798.4450000000002</v>
      </c>
      <c r="V280" s="16">
        <v>42794</v>
      </c>
      <c r="W280" s="1">
        <v>2675.5</v>
      </c>
      <c r="X280" s="15">
        <v>40178</v>
      </c>
      <c r="Y280" s="8">
        <v>29000</v>
      </c>
      <c r="Z280" s="15">
        <v>40147</v>
      </c>
      <c r="AA280" s="8">
        <v>8190</v>
      </c>
      <c r="AB280" s="15">
        <v>40147</v>
      </c>
      <c r="AC280" s="8">
        <v>2260</v>
      </c>
      <c r="AD280" s="15">
        <v>40147</v>
      </c>
      <c r="AE280" s="8">
        <v>3795</v>
      </c>
      <c r="AF280" s="15">
        <v>40147</v>
      </c>
      <c r="AG280" s="8">
        <v>2400</v>
      </c>
      <c r="AH280" s="15">
        <v>40147</v>
      </c>
      <c r="AI280" s="8">
        <v>1520</v>
      </c>
      <c r="AJ280" s="15">
        <v>40147</v>
      </c>
      <c r="AK280" s="8">
        <v>1905</v>
      </c>
      <c r="AL280" s="15">
        <v>40147</v>
      </c>
      <c r="AM280" s="8">
        <v>2220</v>
      </c>
      <c r="AN280" s="15">
        <v>40147</v>
      </c>
      <c r="AO280" s="8">
        <v>2215</v>
      </c>
      <c r="AP280" s="5">
        <v>45107</v>
      </c>
      <c r="AQ280" s="4">
        <v>17.52</v>
      </c>
      <c r="AR280" s="11">
        <v>40753</v>
      </c>
      <c r="AS280" s="11">
        <v>40753</v>
      </c>
      <c r="AT280" s="10">
        <v>116.74</v>
      </c>
    </row>
    <row r="281" spans="1:46" x14ac:dyDescent="0.25">
      <c r="A281" s="16">
        <v>26754</v>
      </c>
      <c r="B281" s="1">
        <v>9272</v>
      </c>
      <c r="C281" s="13" t="str">
        <f t="shared" si="4"/>
        <v>102005</v>
      </c>
      <c r="D281" s="2">
        <v>38656</v>
      </c>
      <c r="E281" s="1">
        <v>2734</v>
      </c>
      <c r="F281" s="16">
        <v>42825</v>
      </c>
      <c r="G281" s="1">
        <v>10166</v>
      </c>
      <c r="H281" s="16">
        <v>42825</v>
      </c>
      <c r="I281" s="1">
        <v>4445</v>
      </c>
      <c r="J281" s="16">
        <v>42825</v>
      </c>
      <c r="K281" s="1">
        <v>4430</v>
      </c>
      <c r="L281" s="16">
        <v>42825</v>
      </c>
      <c r="M281" s="1">
        <v>650</v>
      </c>
      <c r="N281" s="16">
        <v>42825</v>
      </c>
      <c r="O281" s="1">
        <v>1730</v>
      </c>
      <c r="P281" s="16">
        <v>42825</v>
      </c>
      <c r="Q281" s="1">
        <v>10733.393</v>
      </c>
      <c r="R281" s="16">
        <v>42825</v>
      </c>
      <c r="S281" s="1">
        <v>2064</v>
      </c>
      <c r="T281" s="16">
        <v>42825</v>
      </c>
      <c r="U281" s="1">
        <v>3817.672</v>
      </c>
      <c r="V281" s="16">
        <v>42825</v>
      </c>
      <c r="W281" s="1">
        <v>2549.9670000000001</v>
      </c>
      <c r="X281" s="15">
        <v>40209</v>
      </c>
      <c r="Y281" s="8">
        <v>29045</v>
      </c>
      <c r="Z281" s="15">
        <v>40178</v>
      </c>
      <c r="AA281" s="8">
        <v>8180</v>
      </c>
      <c r="AB281" s="15">
        <v>40178</v>
      </c>
      <c r="AC281" s="8">
        <v>2270</v>
      </c>
      <c r="AD281" s="15">
        <v>40178</v>
      </c>
      <c r="AE281" s="8">
        <v>3795</v>
      </c>
      <c r="AF281" s="15">
        <v>40178</v>
      </c>
      <c r="AG281" s="8">
        <v>2350</v>
      </c>
      <c r="AH281" s="15">
        <v>40178</v>
      </c>
      <c r="AI281" s="8">
        <v>1520</v>
      </c>
      <c r="AJ281" s="15">
        <v>40178</v>
      </c>
      <c r="AK281" s="8">
        <v>2005</v>
      </c>
      <c r="AL281" s="15">
        <v>40178</v>
      </c>
      <c r="AM281" s="8">
        <v>2220</v>
      </c>
      <c r="AN281" s="15">
        <v>40178</v>
      </c>
      <c r="AO281" s="8">
        <v>2250</v>
      </c>
      <c r="AP281" s="5">
        <v>45138</v>
      </c>
      <c r="AQ281" s="4">
        <v>17.309999999999999</v>
      </c>
      <c r="AR281" s="11">
        <v>40786</v>
      </c>
      <c r="AS281" s="11">
        <v>40786</v>
      </c>
      <c r="AT281" s="10">
        <v>114.85</v>
      </c>
    </row>
    <row r="282" spans="1:46" x14ac:dyDescent="0.25">
      <c r="A282" s="16">
        <v>26784</v>
      </c>
      <c r="B282" s="1">
        <v>9292</v>
      </c>
      <c r="C282" s="13" t="str">
        <f t="shared" si="4"/>
        <v>112005</v>
      </c>
      <c r="D282" s="2">
        <v>38686</v>
      </c>
      <c r="E282" s="1">
        <v>-4188</v>
      </c>
      <c r="F282" s="16">
        <v>42855</v>
      </c>
      <c r="G282" s="1">
        <v>10196</v>
      </c>
      <c r="H282" s="16">
        <v>42855</v>
      </c>
      <c r="I282" s="1">
        <v>4455</v>
      </c>
      <c r="J282" s="16">
        <v>42855</v>
      </c>
      <c r="K282" s="1">
        <v>4425</v>
      </c>
      <c r="L282" s="16">
        <v>42855</v>
      </c>
      <c r="M282" s="1">
        <v>595</v>
      </c>
      <c r="N282" s="16">
        <v>42855</v>
      </c>
      <c r="O282" s="1">
        <v>1780</v>
      </c>
      <c r="P282" s="16">
        <v>42855</v>
      </c>
      <c r="Q282" s="1">
        <v>10712.537</v>
      </c>
      <c r="R282" s="16">
        <v>42855</v>
      </c>
      <c r="S282" s="1">
        <v>2053</v>
      </c>
      <c r="T282" s="16">
        <v>42855</v>
      </c>
      <c r="U282" s="1">
        <v>3777.0830000000001</v>
      </c>
      <c r="V282" s="16">
        <v>42855</v>
      </c>
      <c r="W282" s="1">
        <v>2538.9720000000002</v>
      </c>
      <c r="X282" s="15">
        <v>40237</v>
      </c>
      <c r="Y282" s="8">
        <v>29235</v>
      </c>
      <c r="Z282" s="15">
        <v>40209</v>
      </c>
      <c r="AA282" s="8">
        <v>8150</v>
      </c>
      <c r="AB282" s="15">
        <v>40209</v>
      </c>
      <c r="AC282" s="8">
        <v>2280</v>
      </c>
      <c r="AD282" s="15">
        <v>40209</v>
      </c>
      <c r="AE282" s="8">
        <v>3805</v>
      </c>
      <c r="AF282" s="15">
        <v>40209</v>
      </c>
      <c r="AG282" s="8">
        <v>2405</v>
      </c>
      <c r="AH282" s="15">
        <v>40209</v>
      </c>
      <c r="AI282" s="8">
        <v>1525</v>
      </c>
      <c r="AJ282" s="15">
        <v>40209</v>
      </c>
      <c r="AK282" s="8">
        <v>2025</v>
      </c>
      <c r="AL282" s="15">
        <v>40209</v>
      </c>
      <c r="AM282" s="8">
        <v>2165</v>
      </c>
      <c r="AN282" s="15">
        <v>40209</v>
      </c>
      <c r="AO282" s="8">
        <v>2260</v>
      </c>
      <c r="AP282" s="5">
        <v>45169</v>
      </c>
      <c r="AQ282" s="4">
        <v>17.47</v>
      </c>
      <c r="AR282" s="11">
        <v>40816</v>
      </c>
      <c r="AS282" s="11">
        <v>40816</v>
      </c>
      <c r="AT282" s="10">
        <v>102.76</v>
      </c>
    </row>
    <row r="283" spans="1:46" x14ac:dyDescent="0.25">
      <c r="A283" s="16">
        <v>26815</v>
      </c>
      <c r="B283" s="1">
        <v>9262</v>
      </c>
      <c r="C283" s="13" t="str">
        <f t="shared" si="4"/>
        <v>122005</v>
      </c>
      <c r="D283" s="2">
        <v>38716</v>
      </c>
      <c r="E283" s="1">
        <v>-1013</v>
      </c>
      <c r="F283" s="16">
        <v>42886</v>
      </c>
      <c r="G283" s="1">
        <v>10266</v>
      </c>
      <c r="H283" s="16">
        <v>42886</v>
      </c>
      <c r="I283" s="1">
        <v>4455</v>
      </c>
      <c r="J283" s="16">
        <v>42886</v>
      </c>
      <c r="K283" s="1">
        <v>4475</v>
      </c>
      <c r="L283" s="16">
        <v>42886</v>
      </c>
      <c r="M283" s="1">
        <v>840</v>
      </c>
      <c r="N283" s="16">
        <v>42886</v>
      </c>
      <c r="O283" s="1">
        <v>1900</v>
      </c>
      <c r="P283" s="16">
        <v>42886</v>
      </c>
      <c r="Q283" s="1">
        <v>10654.093999999999</v>
      </c>
      <c r="R283" s="16">
        <v>42886</v>
      </c>
      <c r="S283" s="1">
        <v>2052</v>
      </c>
      <c r="T283" s="16">
        <v>42886</v>
      </c>
      <c r="U283" s="1">
        <v>3899.096</v>
      </c>
      <c r="V283" s="16">
        <v>42886</v>
      </c>
      <c r="W283" s="1">
        <v>2653.2739999999999</v>
      </c>
      <c r="X283" s="15">
        <v>40268</v>
      </c>
      <c r="Y283" s="8">
        <v>29165</v>
      </c>
      <c r="Z283" s="15">
        <v>40237</v>
      </c>
      <c r="AA283" s="8">
        <v>8250</v>
      </c>
      <c r="AB283" s="15">
        <v>40237</v>
      </c>
      <c r="AC283" s="8">
        <v>2280</v>
      </c>
      <c r="AD283" s="15">
        <v>40237</v>
      </c>
      <c r="AE283" s="8">
        <v>3795</v>
      </c>
      <c r="AF283" s="15">
        <v>40237</v>
      </c>
      <c r="AG283" s="8">
        <v>2450</v>
      </c>
      <c r="AH283" s="15">
        <v>40237</v>
      </c>
      <c r="AI283" s="8">
        <v>1525</v>
      </c>
      <c r="AJ283" s="15">
        <v>40237</v>
      </c>
      <c r="AK283" s="8">
        <v>1940</v>
      </c>
      <c r="AL283" s="15">
        <v>40237</v>
      </c>
      <c r="AM283" s="8">
        <v>2200</v>
      </c>
      <c r="AN283" s="15">
        <v>40237</v>
      </c>
      <c r="AO283" s="8">
        <v>2280</v>
      </c>
      <c r="AP283" s="5">
        <v>45199</v>
      </c>
      <c r="AQ283" s="4">
        <v>16.87</v>
      </c>
      <c r="AR283" s="11">
        <v>40847</v>
      </c>
      <c r="AS283" s="11">
        <v>40847</v>
      </c>
      <c r="AT283" s="10">
        <v>109.56</v>
      </c>
    </row>
    <row r="284" spans="1:46" x14ac:dyDescent="0.25">
      <c r="A284" s="16">
        <v>26845</v>
      </c>
      <c r="B284" s="1">
        <v>9214</v>
      </c>
      <c r="C284" s="13" t="str">
        <f t="shared" si="4"/>
        <v>12006</v>
      </c>
      <c r="D284" s="2">
        <v>38748</v>
      </c>
      <c r="E284" s="1">
        <v>1919</v>
      </c>
      <c r="F284" s="16">
        <v>42916</v>
      </c>
      <c r="G284" s="1">
        <v>10466</v>
      </c>
      <c r="H284" s="16">
        <v>42916</v>
      </c>
      <c r="I284" s="1">
        <v>4465</v>
      </c>
      <c r="J284" s="16">
        <v>42916</v>
      </c>
      <c r="K284" s="1">
        <v>4490</v>
      </c>
      <c r="L284" s="16">
        <v>42916</v>
      </c>
      <c r="M284" s="1">
        <v>910</v>
      </c>
      <c r="N284" s="16">
        <v>42916</v>
      </c>
      <c r="O284" s="1">
        <v>1945</v>
      </c>
      <c r="P284" s="16">
        <v>42916</v>
      </c>
      <c r="Q284" s="1">
        <v>10602.77</v>
      </c>
      <c r="R284" s="16">
        <v>42916</v>
      </c>
      <c r="S284" s="1">
        <v>2031</v>
      </c>
      <c r="T284" s="16">
        <v>42916</v>
      </c>
      <c r="U284" s="1">
        <v>3780.386</v>
      </c>
      <c r="V284" s="16">
        <v>42916</v>
      </c>
      <c r="W284" s="1">
        <v>2674.77</v>
      </c>
      <c r="X284" s="15">
        <v>40298</v>
      </c>
      <c r="Y284" s="8">
        <v>29185</v>
      </c>
      <c r="Z284" s="15">
        <v>40268</v>
      </c>
      <c r="AA284" s="8">
        <v>8200</v>
      </c>
      <c r="AB284" s="15">
        <v>40268</v>
      </c>
      <c r="AC284" s="8">
        <v>2300</v>
      </c>
      <c r="AD284" s="15">
        <v>40268</v>
      </c>
      <c r="AE284" s="8">
        <v>3825</v>
      </c>
      <c r="AF284" s="15">
        <v>40268</v>
      </c>
      <c r="AG284" s="8">
        <v>2365</v>
      </c>
      <c r="AH284" s="15">
        <v>40268</v>
      </c>
      <c r="AI284" s="8">
        <v>1525</v>
      </c>
      <c r="AJ284" s="15">
        <v>40268</v>
      </c>
      <c r="AK284" s="8">
        <v>2010</v>
      </c>
      <c r="AL284" s="15">
        <v>40268</v>
      </c>
      <c r="AM284" s="8">
        <v>2190</v>
      </c>
      <c r="AN284" s="15">
        <v>40268</v>
      </c>
      <c r="AO284" s="8">
        <v>2290</v>
      </c>
      <c r="AP284" s="5">
        <v>45230</v>
      </c>
      <c r="AQ284" s="4">
        <v>17.329999999999998</v>
      </c>
      <c r="AR284" s="11">
        <v>40877</v>
      </c>
      <c r="AS284" s="11">
        <v>40877</v>
      </c>
      <c r="AT284" s="10">
        <v>110.52</v>
      </c>
    </row>
    <row r="285" spans="1:46" x14ac:dyDescent="0.25">
      <c r="A285" s="16">
        <v>26876</v>
      </c>
      <c r="B285" s="1">
        <v>9217</v>
      </c>
      <c r="C285" s="13" t="str">
        <f t="shared" si="4"/>
        <v>22006</v>
      </c>
      <c r="D285" s="2">
        <v>38776</v>
      </c>
      <c r="E285" s="1">
        <v>1638</v>
      </c>
      <c r="F285" s="16">
        <v>42947</v>
      </c>
      <c r="G285" s="1">
        <v>10416</v>
      </c>
      <c r="H285" s="16">
        <v>42947</v>
      </c>
      <c r="I285" s="1">
        <v>4465</v>
      </c>
      <c r="J285" s="16">
        <v>42947</v>
      </c>
      <c r="K285" s="1">
        <v>4500</v>
      </c>
      <c r="L285" s="16">
        <v>42947</v>
      </c>
      <c r="M285" s="1">
        <v>1065</v>
      </c>
      <c r="N285" s="16">
        <v>42947</v>
      </c>
      <c r="O285" s="1">
        <v>2022</v>
      </c>
      <c r="P285" s="16">
        <v>42947</v>
      </c>
      <c r="Q285" s="1">
        <v>10543.358</v>
      </c>
      <c r="R285" s="16">
        <v>42947</v>
      </c>
      <c r="S285" s="1">
        <v>2030</v>
      </c>
      <c r="T285" s="16">
        <v>42947</v>
      </c>
      <c r="U285" s="1">
        <v>3714.904</v>
      </c>
      <c r="V285" s="16">
        <v>42947</v>
      </c>
      <c r="W285" s="1">
        <v>2622.8629999999998</v>
      </c>
      <c r="X285" s="15">
        <v>40329</v>
      </c>
      <c r="Y285" s="8">
        <v>29387</v>
      </c>
      <c r="Z285" s="15">
        <v>40298</v>
      </c>
      <c r="AA285" s="8">
        <v>8260</v>
      </c>
      <c r="AB285" s="15">
        <v>40298</v>
      </c>
      <c r="AC285" s="8">
        <v>2320</v>
      </c>
      <c r="AD285" s="15">
        <v>40298</v>
      </c>
      <c r="AE285" s="8">
        <v>3805</v>
      </c>
      <c r="AF285" s="15">
        <v>40298</v>
      </c>
      <c r="AG285" s="8">
        <v>2310</v>
      </c>
      <c r="AH285" s="15">
        <v>40298</v>
      </c>
      <c r="AI285" s="8">
        <v>1540</v>
      </c>
      <c r="AJ285" s="15">
        <v>40298</v>
      </c>
      <c r="AK285" s="8">
        <v>2025</v>
      </c>
      <c r="AL285" s="15">
        <v>40298</v>
      </c>
      <c r="AM285" s="8">
        <v>2175</v>
      </c>
      <c r="AN285" s="15">
        <v>40298</v>
      </c>
      <c r="AO285" s="8">
        <v>2305</v>
      </c>
      <c r="AP285" s="5">
        <v>45260</v>
      </c>
      <c r="AQ285" s="4">
        <v>17.2</v>
      </c>
      <c r="AR285" s="11">
        <v>40907</v>
      </c>
      <c r="AS285" s="11">
        <v>40907</v>
      </c>
      <c r="AT285" s="10">
        <v>107.38</v>
      </c>
    </row>
    <row r="286" spans="1:46" x14ac:dyDescent="0.25">
      <c r="A286" s="16">
        <v>26907</v>
      </c>
      <c r="B286" s="1">
        <v>9169</v>
      </c>
      <c r="C286" s="13" t="str">
        <f t="shared" si="4"/>
        <v>32006</v>
      </c>
      <c r="D286" s="2">
        <v>38807</v>
      </c>
      <c r="E286" s="1">
        <v>2110</v>
      </c>
      <c r="F286" s="16">
        <v>42978</v>
      </c>
      <c r="G286" s="1">
        <v>10356</v>
      </c>
      <c r="H286" s="16">
        <v>42978</v>
      </c>
      <c r="I286" s="1">
        <v>4465</v>
      </c>
      <c r="J286" s="16">
        <v>42978</v>
      </c>
      <c r="K286" s="1">
        <v>4525</v>
      </c>
      <c r="L286" s="16">
        <v>42978</v>
      </c>
      <c r="M286" s="1">
        <v>950</v>
      </c>
      <c r="N286" s="16">
        <v>42978</v>
      </c>
      <c r="O286" s="1">
        <v>2027.07</v>
      </c>
      <c r="P286" s="16">
        <v>42978</v>
      </c>
      <c r="Q286" s="1">
        <v>10542.628000000001</v>
      </c>
      <c r="R286" s="16">
        <v>42978</v>
      </c>
      <c r="S286" s="1">
        <v>2024</v>
      </c>
      <c r="T286" s="16">
        <v>42978</v>
      </c>
      <c r="U286" s="1">
        <v>3734.1309999999999</v>
      </c>
      <c r="V286" s="16">
        <v>42978</v>
      </c>
      <c r="W286" s="1">
        <v>2576.0639999999999</v>
      </c>
      <c r="X286" s="15">
        <v>40359</v>
      </c>
      <c r="Y286" s="8">
        <v>29160</v>
      </c>
      <c r="Z286" s="15">
        <v>40329</v>
      </c>
      <c r="AA286" s="8">
        <v>8290</v>
      </c>
      <c r="AB286" s="15">
        <v>40329</v>
      </c>
      <c r="AC286" s="8">
        <v>2320</v>
      </c>
      <c r="AD286" s="15">
        <v>40329</v>
      </c>
      <c r="AE286" s="8">
        <v>3750</v>
      </c>
      <c r="AF286" s="15">
        <v>40329</v>
      </c>
      <c r="AG286" s="8">
        <v>2400</v>
      </c>
      <c r="AH286" s="15">
        <v>40329</v>
      </c>
      <c r="AI286" s="8">
        <v>1550</v>
      </c>
      <c r="AJ286" s="15">
        <v>40329</v>
      </c>
      <c r="AK286" s="8">
        <v>2085</v>
      </c>
      <c r="AL286" s="15">
        <v>40329</v>
      </c>
      <c r="AM286" s="8">
        <v>2180</v>
      </c>
      <c r="AN286" s="15">
        <v>40329</v>
      </c>
      <c r="AO286" s="8">
        <v>2350</v>
      </c>
      <c r="AP286" s="5">
        <v>45291</v>
      </c>
      <c r="AQ286" s="4">
        <v>17.649999999999999</v>
      </c>
      <c r="AR286" s="11">
        <v>40939</v>
      </c>
      <c r="AS286" s="11">
        <v>40939</v>
      </c>
      <c r="AT286" s="10">
        <v>110.98</v>
      </c>
    </row>
    <row r="287" spans="1:46" x14ac:dyDescent="0.25">
      <c r="A287" s="16">
        <v>26937</v>
      </c>
      <c r="B287" s="1">
        <v>9065</v>
      </c>
      <c r="C287" s="13" t="str">
        <f t="shared" si="4"/>
        <v>42006</v>
      </c>
      <c r="D287" s="2">
        <v>38835</v>
      </c>
      <c r="E287" s="1">
        <v>1727</v>
      </c>
      <c r="F287" s="16">
        <v>43008</v>
      </c>
      <c r="G287" s="1">
        <v>10406</v>
      </c>
      <c r="H287" s="16">
        <v>43008</v>
      </c>
      <c r="I287" s="1">
        <v>4475</v>
      </c>
      <c r="J287" s="16">
        <v>43008</v>
      </c>
      <c r="K287" s="1">
        <v>4565</v>
      </c>
      <c r="L287" s="16">
        <v>43008</v>
      </c>
      <c r="M287" s="1">
        <v>985</v>
      </c>
      <c r="N287" s="16">
        <v>43008</v>
      </c>
      <c r="O287" s="1">
        <v>2038.07</v>
      </c>
      <c r="P287" s="16">
        <v>43008</v>
      </c>
      <c r="Q287" s="1">
        <v>10546.076999999999</v>
      </c>
      <c r="R287" s="16">
        <v>43008</v>
      </c>
      <c r="S287" s="1">
        <v>2008</v>
      </c>
      <c r="T287" s="16">
        <v>43008</v>
      </c>
      <c r="U287" s="1">
        <v>3733.6019999999999</v>
      </c>
      <c r="V287" s="16">
        <v>43008</v>
      </c>
      <c r="W287" s="1">
        <v>2652.5909999999999</v>
      </c>
      <c r="X287" s="15">
        <v>40390</v>
      </c>
      <c r="Y287" s="8">
        <v>29225</v>
      </c>
      <c r="Z287" s="15">
        <v>40359</v>
      </c>
      <c r="AA287" s="8">
        <v>8290</v>
      </c>
      <c r="AB287" s="15">
        <v>40359</v>
      </c>
      <c r="AC287" s="8">
        <v>2320</v>
      </c>
      <c r="AD287" s="15">
        <v>40359</v>
      </c>
      <c r="AE287" s="8">
        <v>3740</v>
      </c>
      <c r="AF287" s="15">
        <v>40359</v>
      </c>
      <c r="AG287" s="8">
        <v>2365</v>
      </c>
      <c r="AH287" s="15">
        <v>40359</v>
      </c>
      <c r="AI287" s="8">
        <v>1550</v>
      </c>
      <c r="AJ287" s="15">
        <v>40359</v>
      </c>
      <c r="AK287" s="8">
        <v>2010</v>
      </c>
      <c r="AL287" s="15">
        <v>40359</v>
      </c>
      <c r="AM287" s="8">
        <v>2180</v>
      </c>
      <c r="AN287" s="15">
        <v>40359</v>
      </c>
      <c r="AO287" s="8">
        <v>2300</v>
      </c>
      <c r="AP287" s="5">
        <v>45382</v>
      </c>
      <c r="AQ287" s="4">
        <v>18.37</v>
      </c>
      <c r="AR287" s="11">
        <v>40968</v>
      </c>
      <c r="AS287" s="11">
        <v>40968</v>
      </c>
      <c r="AT287" s="10">
        <v>122.66</v>
      </c>
    </row>
    <row r="288" spans="1:46" x14ac:dyDescent="0.25">
      <c r="A288" s="16">
        <v>26968</v>
      </c>
      <c r="B288" s="1">
        <v>9224</v>
      </c>
      <c r="C288" s="13" t="str">
        <f t="shared" si="4"/>
        <v>52006</v>
      </c>
      <c r="D288" s="2">
        <v>38868</v>
      </c>
      <c r="E288" s="1">
        <v>1599</v>
      </c>
      <c r="F288" s="16">
        <v>43039</v>
      </c>
      <c r="G288" s="1">
        <v>10376</v>
      </c>
      <c r="H288" s="16">
        <v>43039</v>
      </c>
      <c r="I288" s="1">
        <v>4455</v>
      </c>
      <c r="J288" s="16">
        <v>43039</v>
      </c>
      <c r="K288" s="1">
        <v>4415</v>
      </c>
      <c r="L288" s="16">
        <v>43039</v>
      </c>
      <c r="M288" s="1">
        <v>1020</v>
      </c>
      <c r="N288" s="16">
        <v>43039</v>
      </c>
      <c r="O288" s="1">
        <v>2021.2</v>
      </c>
      <c r="P288" s="16">
        <v>43039</v>
      </c>
      <c r="Q288" s="1">
        <v>10506.921</v>
      </c>
      <c r="R288" s="16">
        <v>43039</v>
      </c>
      <c r="S288" s="1">
        <v>1957</v>
      </c>
      <c r="T288" s="16">
        <v>43039</v>
      </c>
      <c r="U288" s="1">
        <v>3775.069</v>
      </c>
      <c r="V288" s="16">
        <v>43039</v>
      </c>
      <c r="W288" s="1">
        <v>2627.4270000000001</v>
      </c>
      <c r="X288" s="15">
        <v>40421</v>
      </c>
      <c r="Y288" s="8">
        <v>29200</v>
      </c>
      <c r="Z288" s="15">
        <v>40390</v>
      </c>
      <c r="AA288" s="8">
        <v>8300</v>
      </c>
      <c r="AB288" s="15">
        <v>40390</v>
      </c>
      <c r="AC288" s="8">
        <v>2310</v>
      </c>
      <c r="AD288" s="15">
        <v>40390</v>
      </c>
      <c r="AE288" s="8">
        <v>3730</v>
      </c>
      <c r="AF288" s="15">
        <v>40390</v>
      </c>
      <c r="AG288" s="8">
        <v>2415</v>
      </c>
      <c r="AH288" s="15">
        <v>40390</v>
      </c>
      <c r="AI288" s="8">
        <v>1550</v>
      </c>
      <c r="AJ288" s="15">
        <v>40390</v>
      </c>
      <c r="AK288" s="8">
        <v>2030</v>
      </c>
      <c r="AL288" s="15">
        <v>40390</v>
      </c>
      <c r="AM288" s="8">
        <v>2195</v>
      </c>
      <c r="AN288" s="15">
        <v>40390</v>
      </c>
      <c r="AO288" s="8">
        <v>2310</v>
      </c>
      <c r="AP288" s="5">
        <v>45412</v>
      </c>
      <c r="AQ288" s="4">
        <v>17.47</v>
      </c>
      <c r="AR288" s="11">
        <v>40998</v>
      </c>
      <c r="AS288" s="11">
        <v>40998</v>
      </c>
      <c r="AT288" s="10">
        <v>122.88</v>
      </c>
    </row>
    <row r="289" spans="1:46" x14ac:dyDescent="0.25">
      <c r="A289" s="16">
        <v>26998</v>
      </c>
      <c r="B289" s="1">
        <v>9161</v>
      </c>
      <c r="C289" s="13" t="str">
        <f t="shared" si="4"/>
        <v>62006</v>
      </c>
      <c r="D289" s="2">
        <v>38898</v>
      </c>
      <c r="E289" s="1">
        <v>-2421</v>
      </c>
      <c r="F289" s="16">
        <v>43069</v>
      </c>
      <c r="G289" s="1">
        <v>10326</v>
      </c>
      <c r="H289" s="16">
        <v>43069</v>
      </c>
      <c r="I289" s="1">
        <v>4445</v>
      </c>
      <c r="J289" s="16">
        <v>43069</v>
      </c>
      <c r="K289" s="1">
        <v>4345</v>
      </c>
      <c r="L289" s="16">
        <v>43069</v>
      </c>
      <c r="M289" s="1">
        <v>1050</v>
      </c>
      <c r="N289" s="16">
        <v>43069</v>
      </c>
      <c r="O289" s="1">
        <v>2064.9499999999998</v>
      </c>
      <c r="P289" s="16">
        <v>43069</v>
      </c>
      <c r="Q289" s="1">
        <v>10503.012000000001</v>
      </c>
      <c r="R289" s="16">
        <v>43069</v>
      </c>
      <c r="S289" s="1">
        <v>1916</v>
      </c>
      <c r="T289" s="16">
        <v>43069</v>
      </c>
      <c r="U289" s="1">
        <v>3719.36</v>
      </c>
      <c r="V289" s="16">
        <v>43069</v>
      </c>
      <c r="W289" s="1">
        <v>2594.643</v>
      </c>
      <c r="X289" s="15">
        <v>40451</v>
      </c>
      <c r="Y289" s="8">
        <v>28945</v>
      </c>
      <c r="Z289" s="15">
        <v>40421</v>
      </c>
      <c r="AA289" s="8">
        <v>8290</v>
      </c>
      <c r="AB289" s="15">
        <v>40421</v>
      </c>
      <c r="AC289" s="8">
        <v>2320</v>
      </c>
      <c r="AD289" s="15">
        <v>40421</v>
      </c>
      <c r="AE289" s="8">
        <v>3750</v>
      </c>
      <c r="AF289" s="15">
        <v>40421</v>
      </c>
      <c r="AG289" s="8">
        <v>2345</v>
      </c>
      <c r="AH289" s="15">
        <v>40421</v>
      </c>
      <c r="AI289" s="8">
        <v>1560</v>
      </c>
      <c r="AJ289" s="15">
        <v>40421</v>
      </c>
      <c r="AK289" s="8">
        <v>2000</v>
      </c>
      <c r="AL289" s="15">
        <v>40421</v>
      </c>
      <c r="AM289" s="8">
        <v>2200</v>
      </c>
      <c r="AN289" s="15">
        <v>40421</v>
      </c>
      <c r="AO289" s="8">
        <v>2300</v>
      </c>
      <c r="AP289" s="5">
        <v>45443</v>
      </c>
      <c r="AQ289" s="4">
        <v>18.149999999999999</v>
      </c>
      <c r="AR289" s="11">
        <v>41029</v>
      </c>
      <c r="AS289" s="11">
        <v>41029</v>
      </c>
      <c r="AT289" s="10">
        <v>119.47</v>
      </c>
    </row>
    <row r="290" spans="1:46" x14ac:dyDescent="0.25">
      <c r="A290" s="16">
        <v>27029</v>
      </c>
      <c r="B290" s="1">
        <v>9063</v>
      </c>
      <c r="C290" s="13" t="str">
        <f t="shared" si="4"/>
        <v>72006</v>
      </c>
      <c r="D290" s="2">
        <v>38929</v>
      </c>
      <c r="E290" s="1">
        <v>-1774</v>
      </c>
      <c r="F290" s="16">
        <v>43100</v>
      </c>
      <c r="G290" s="1">
        <v>10276</v>
      </c>
      <c r="H290" s="16">
        <v>43100</v>
      </c>
      <c r="I290" s="1">
        <v>4435</v>
      </c>
      <c r="J290" s="16">
        <v>43100</v>
      </c>
      <c r="K290" s="1">
        <v>4405</v>
      </c>
      <c r="L290" s="16">
        <v>43100</v>
      </c>
      <c r="M290" s="1">
        <v>980</v>
      </c>
      <c r="N290" s="16">
        <v>43100</v>
      </c>
      <c r="O290" s="1">
        <v>2098.5</v>
      </c>
      <c r="P290" s="16">
        <v>43100</v>
      </c>
      <c r="Q290" s="1">
        <v>10527.35</v>
      </c>
      <c r="R290" s="16">
        <v>43100</v>
      </c>
      <c r="S290" s="1">
        <v>1700</v>
      </c>
      <c r="T290" s="16">
        <v>43100</v>
      </c>
      <c r="U290" s="1">
        <v>3753.9960000000001</v>
      </c>
      <c r="V290" s="16">
        <v>43100</v>
      </c>
      <c r="W290" s="1">
        <v>2612.3719999999998</v>
      </c>
      <c r="X290" s="15">
        <v>40482</v>
      </c>
      <c r="Y290" s="8">
        <v>29130</v>
      </c>
      <c r="Z290" s="15">
        <v>40451</v>
      </c>
      <c r="AA290" s="8">
        <v>8250</v>
      </c>
      <c r="AB290" s="15">
        <v>40451</v>
      </c>
      <c r="AC290" s="8">
        <v>2305</v>
      </c>
      <c r="AD290" s="15">
        <v>40451</v>
      </c>
      <c r="AE290" s="8">
        <v>3725</v>
      </c>
      <c r="AF290" s="15">
        <v>40451</v>
      </c>
      <c r="AG290" s="8">
        <v>2395</v>
      </c>
      <c r="AH290" s="15">
        <v>40451</v>
      </c>
      <c r="AI290" s="8">
        <v>1550</v>
      </c>
      <c r="AJ290" s="15">
        <v>40451</v>
      </c>
      <c r="AK290" s="8">
        <v>2015</v>
      </c>
      <c r="AL290" s="15">
        <v>40451</v>
      </c>
      <c r="AM290" s="8">
        <v>2190</v>
      </c>
      <c r="AN290" s="15">
        <v>40451</v>
      </c>
      <c r="AO290" s="8">
        <v>2285</v>
      </c>
      <c r="AP290" s="5">
        <v>45473</v>
      </c>
      <c r="AQ290" s="4">
        <v>17.95</v>
      </c>
      <c r="AR290" s="11">
        <v>41060</v>
      </c>
      <c r="AS290" s="11">
        <v>41060</v>
      </c>
      <c r="AT290" s="10">
        <v>101.87</v>
      </c>
    </row>
    <row r="291" spans="1:46" x14ac:dyDescent="0.25">
      <c r="A291" s="16">
        <v>27060</v>
      </c>
      <c r="B291" s="1">
        <v>8934</v>
      </c>
      <c r="C291" s="13" t="str">
        <f t="shared" si="4"/>
        <v>82006</v>
      </c>
      <c r="D291" s="2">
        <v>38960</v>
      </c>
      <c r="E291" s="1">
        <v>2481</v>
      </c>
      <c r="F291" s="16">
        <v>43131</v>
      </c>
      <c r="G291" s="1">
        <v>10378</v>
      </c>
      <c r="H291" s="16">
        <v>43131</v>
      </c>
      <c r="I291" s="1">
        <v>4520</v>
      </c>
      <c r="J291" s="16">
        <v>43131</v>
      </c>
      <c r="K291" s="1">
        <v>4455</v>
      </c>
      <c r="L291" s="16">
        <v>43131</v>
      </c>
      <c r="M291" s="1">
        <v>1080</v>
      </c>
      <c r="N291" s="16">
        <v>43131</v>
      </c>
      <c r="O291" s="1">
        <v>2060.402</v>
      </c>
      <c r="P291" s="16">
        <v>43131</v>
      </c>
      <c r="Q291" s="1">
        <v>10549.529</v>
      </c>
      <c r="R291" s="16">
        <v>43131</v>
      </c>
      <c r="S291" s="1">
        <v>1695</v>
      </c>
      <c r="T291" s="16">
        <v>43131</v>
      </c>
      <c r="U291" s="1">
        <v>3707.45</v>
      </c>
      <c r="V291" s="16">
        <v>43131</v>
      </c>
      <c r="W291" s="1">
        <v>2615.1930000000002</v>
      </c>
      <c r="X291" s="15">
        <v>40512</v>
      </c>
      <c r="Y291" s="8">
        <v>29050</v>
      </c>
      <c r="Z291" s="15">
        <v>40482</v>
      </c>
      <c r="AA291" s="8">
        <v>8250</v>
      </c>
      <c r="AB291" s="15">
        <v>40482</v>
      </c>
      <c r="AC291" s="8">
        <v>2315</v>
      </c>
      <c r="AD291" s="15">
        <v>40482</v>
      </c>
      <c r="AE291" s="8">
        <v>3715</v>
      </c>
      <c r="AF291" s="15">
        <v>40482</v>
      </c>
      <c r="AG291" s="8">
        <v>2350</v>
      </c>
      <c r="AH291" s="15">
        <v>40482</v>
      </c>
      <c r="AI291" s="8">
        <v>1565</v>
      </c>
      <c r="AJ291" s="15">
        <v>40482</v>
      </c>
      <c r="AK291" s="8">
        <v>2150</v>
      </c>
      <c r="AL291" s="15">
        <v>40482</v>
      </c>
      <c r="AM291" s="8">
        <v>2200</v>
      </c>
      <c r="AN291" s="15">
        <v>40482</v>
      </c>
      <c r="AO291" s="8">
        <v>2305</v>
      </c>
      <c r="AP291" s="5">
        <v>45504</v>
      </c>
      <c r="AQ291" s="4">
        <v>17.899999999999999</v>
      </c>
      <c r="AR291" s="11">
        <v>41089</v>
      </c>
      <c r="AS291" s="11">
        <v>41089</v>
      </c>
      <c r="AT291" s="10">
        <v>97.8</v>
      </c>
    </row>
    <row r="292" spans="1:46" x14ac:dyDescent="0.25">
      <c r="A292" s="16">
        <v>27088</v>
      </c>
      <c r="B292" s="1">
        <v>9142</v>
      </c>
      <c r="C292" s="13" t="str">
        <f t="shared" si="4"/>
        <v>92006</v>
      </c>
      <c r="D292" s="2">
        <v>38989</v>
      </c>
      <c r="E292" s="1">
        <v>3355</v>
      </c>
      <c r="F292" s="16">
        <v>43159</v>
      </c>
      <c r="G292" s="1">
        <v>10318</v>
      </c>
      <c r="H292" s="16">
        <v>43159</v>
      </c>
      <c r="I292" s="1">
        <v>4515</v>
      </c>
      <c r="J292" s="16">
        <v>43159</v>
      </c>
      <c r="K292" s="1">
        <v>4495</v>
      </c>
      <c r="L292" s="16">
        <v>43159</v>
      </c>
      <c r="M292" s="1">
        <v>1055</v>
      </c>
      <c r="N292" s="16">
        <v>43159</v>
      </c>
      <c r="O292" s="1">
        <v>2030.402</v>
      </c>
      <c r="P292" s="16">
        <v>43159</v>
      </c>
      <c r="Q292" s="1">
        <v>10551.844999999999</v>
      </c>
      <c r="R292" s="16">
        <v>43159</v>
      </c>
      <c r="S292" s="1">
        <v>1655</v>
      </c>
      <c r="T292" s="16">
        <v>43159</v>
      </c>
      <c r="U292" s="1">
        <v>3767.3620000000001</v>
      </c>
      <c r="V292" s="16">
        <v>43159</v>
      </c>
      <c r="W292" s="1">
        <v>2617.3449999999998</v>
      </c>
      <c r="X292" s="15">
        <v>40543</v>
      </c>
      <c r="Y292" s="8">
        <v>29185</v>
      </c>
      <c r="Z292" s="15">
        <v>40512</v>
      </c>
      <c r="AA292" s="8">
        <v>8235</v>
      </c>
      <c r="AB292" s="15">
        <v>40512</v>
      </c>
      <c r="AC292" s="8">
        <v>2305</v>
      </c>
      <c r="AD292" s="15">
        <v>40512</v>
      </c>
      <c r="AE292" s="8">
        <v>3725</v>
      </c>
      <c r="AF292" s="15">
        <v>40512</v>
      </c>
      <c r="AG292" s="8">
        <v>2350</v>
      </c>
      <c r="AH292" s="15">
        <v>40512</v>
      </c>
      <c r="AI292" s="8">
        <v>1575</v>
      </c>
      <c r="AJ292" s="15">
        <v>40512</v>
      </c>
      <c r="AK292" s="8">
        <v>2120</v>
      </c>
      <c r="AL292" s="15">
        <v>40512</v>
      </c>
      <c r="AM292" s="8">
        <v>2180</v>
      </c>
      <c r="AN292" s="15">
        <v>40512</v>
      </c>
      <c r="AO292" s="8">
        <v>2300</v>
      </c>
      <c r="AP292" s="5">
        <v>45535</v>
      </c>
      <c r="AQ292" s="4">
        <v>17.829999999999998</v>
      </c>
      <c r="AR292" s="11">
        <v>41121</v>
      </c>
      <c r="AS292" s="11">
        <v>41121</v>
      </c>
      <c r="AT292" s="10">
        <v>104.92</v>
      </c>
    </row>
    <row r="293" spans="1:46" x14ac:dyDescent="0.25">
      <c r="A293" s="16">
        <v>27119</v>
      </c>
      <c r="B293" s="1">
        <v>8965</v>
      </c>
      <c r="C293" s="13" t="str">
        <f t="shared" si="4"/>
        <v>102006</v>
      </c>
      <c r="D293" s="2">
        <v>39021</v>
      </c>
      <c r="E293" s="1">
        <v>1910</v>
      </c>
      <c r="F293" s="16">
        <v>43190</v>
      </c>
      <c r="G293" s="1">
        <v>10268</v>
      </c>
      <c r="H293" s="16">
        <v>43190</v>
      </c>
      <c r="I293" s="1">
        <v>4495</v>
      </c>
      <c r="J293" s="16">
        <v>43190</v>
      </c>
      <c r="K293" s="1">
        <v>4505</v>
      </c>
      <c r="L293" s="16">
        <v>43190</v>
      </c>
      <c r="M293" s="1">
        <v>1050</v>
      </c>
      <c r="N293" s="16">
        <v>43190</v>
      </c>
      <c r="O293" s="1">
        <v>2000.402</v>
      </c>
      <c r="P293" s="16">
        <v>43190</v>
      </c>
      <c r="Q293" s="1">
        <v>10565.726000000001</v>
      </c>
      <c r="R293" s="16">
        <v>43190</v>
      </c>
      <c r="S293" s="1">
        <v>1615</v>
      </c>
      <c r="T293" s="16">
        <v>43190</v>
      </c>
      <c r="U293" s="1">
        <v>3752.39</v>
      </c>
      <c r="V293" s="16">
        <v>43190</v>
      </c>
      <c r="W293" s="1">
        <v>2557.3000000000002</v>
      </c>
      <c r="X293" s="15">
        <v>40574</v>
      </c>
      <c r="Y293" s="8">
        <v>29395</v>
      </c>
      <c r="Z293" s="15">
        <v>40543</v>
      </c>
      <c r="AA293" s="8">
        <v>8250</v>
      </c>
      <c r="AB293" s="15">
        <v>40543</v>
      </c>
      <c r="AC293" s="8">
        <v>2310</v>
      </c>
      <c r="AD293" s="15">
        <v>40543</v>
      </c>
      <c r="AE293" s="8">
        <v>3700</v>
      </c>
      <c r="AF293" s="15">
        <v>40543</v>
      </c>
      <c r="AG293" s="8">
        <v>2385</v>
      </c>
      <c r="AH293" s="15">
        <v>40543</v>
      </c>
      <c r="AI293" s="8">
        <v>1585</v>
      </c>
      <c r="AJ293" s="15">
        <v>40543</v>
      </c>
      <c r="AK293" s="8">
        <v>2220</v>
      </c>
      <c r="AL293" s="15">
        <v>40543</v>
      </c>
      <c r="AM293" s="8">
        <v>2190</v>
      </c>
      <c r="AN293" s="15">
        <v>40543</v>
      </c>
      <c r="AO293" s="8">
        <v>2300</v>
      </c>
      <c r="AP293" s="5">
        <v>45565</v>
      </c>
      <c r="AQ293" s="4">
        <v>17.07</v>
      </c>
      <c r="AR293" s="11">
        <v>41152</v>
      </c>
      <c r="AS293" s="11">
        <v>41152</v>
      </c>
      <c r="AT293" s="10">
        <v>114.57</v>
      </c>
    </row>
    <row r="294" spans="1:46" x14ac:dyDescent="0.25">
      <c r="A294" s="16">
        <v>27149</v>
      </c>
      <c r="B294" s="1">
        <v>8954</v>
      </c>
      <c r="C294" s="13" t="str">
        <f t="shared" si="4"/>
        <v>112006</v>
      </c>
      <c r="D294" s="2">
        <v>39051</v>
      </c>
      <c r="E294" s="1">
        <v>-360</v>
      </c>
      <c r="F294" s="16">
        <v>43220</v>
      </c>
      <c r="G294" s="1">
        <v>10278</v>
      </c>
      <c r="H294" s="16">
        <v>43220</v>
      </c>
      <c r="I294" s="1">
        <v>4525</v>
      </c>
      <c r="J294" s="16">
        <v>43220</v>
      </c>
      <c r="K294" s="1">
        <v>4465</v>
      </c>
      <c r="L294" s="16">
        <v>43220</v>
      </c>
      <c r="M294" s="1">
        <v>1070</v>
      </c>
      <c r="N294" s="16">
        <v>43220</v>
      </c>
      <c r="O294" s="1">
        <v>1980.402</v>
      </c>
      <c r="P294" s="16">
        <v>43220</v>
      </c>
      <c r="Q294" s="1">
        <v>10561.994000000001</v>
      </c>
      <c r="R294" s="16">
        <v>43220</v>
      </c>
      <c r="S294" s="1">
        <v>1585</v>
      </c>
      <c r="T294" s="16">
        <v>43220</v>
      </c>
      <c r="U294" s="1">
        <v>3736.6350000000002</v>
      </c>
      <c r="V294" s="16">
        <v>43220</v>
      </c>
      <c r="W294" s="1">
        <v>2596.7280000000001</v>
      </c>
      <c r="X294" s="15">
        <v>40602</v>
      </c>
      <c r="Y294" s="8">
        <v>29385</v>
      </c>
      <c r="Z294" s="15">
        <v>40574</v>
      </c>
      <c r="AA294" s="8">
        <v>8400</v>
      </c>
      <c r="AB294" s="15">
        <v>40574</v>
      </c>
      <c r="AC294" s="8">
        <v>2350</v>
      </c>
      <c r="AD294" s="15">
        <v>40574</v>
      </c>
      <c r="AE294" s="8">
        <v>3715</v>
      </c>
      <c r="AF294" s="15">
        <v>40574</v>
      </c>
      <c r="AG294" s="8">
        <v>2545</v>
      </c>
      <c r="AH294" s="15">
        <v>40574</v>
      </c>
      <c r="AI294" s="8">
        <v>1585</v>
      </c>
      <c r="AJ294" s="15">
        <v>40574</v>
      </c>
      <c r="AK294" s="8">
        <v>2100</v>
      </c>
      <c r="AL294" s="15">
        <v>40574</v>
      </c>
      <c r="AM294" s="8">
        <v>2210</v>
      </c>
      <c r="AN294" s="15">
        <v>40574</v>
      </c>
      <c r="AO294" s="8">
        <v>2315</v>
      </c>
      <c r="AP294" s="5">
        <v>45596</v>
      </c>
      <c r="AQ294" s="4">
        <v>17.77</v>
      </c>
      <c r="AR294" s="11">
        <v>41180</v>
      </c>
      <c r="AS294" s="11">
        <v>41180</v>
      </c>
      <c r="AT294" s="10">
        <v>112.39</v>
      </c>
    </row>
    <row r="295" spans="1:46" x14ac:dyDescent="0.25">
      <c r="A295" s="16">
        <v>27180</v>
      </c>
      <c r="B295" s="1">
        <v>8911</v>
      </c>
      <c r="C295" s="13" t="str">
        <f t="shared" si="4"/>
        <v>122006</v>
      </c>
      <c r="D295" s="2">
        <v>39080</v>
      </c>
      <c r="E295" s="1">
        <v>-1299</v>
      </c>
      <c r="F295" s="16">
        <v>43251</v>
      </c>
      <c r="G295" s="1">
        <v>10338</v>
      </c>
      <c r="H295" s="16">
        <v>43251</v>
      </c>
      <c r="I295" s="1">
        <v>4505</v>
      </c>
      <c r="J295" s="16">
        <v>43251</v>
      </c>
      <c r="K295" s="1">
        <v>4515</v>
      </c>
      <c r="L295" s="16">
        <v>43251</v>
      </c>
      <c r="M295" s="1">
        <v>1055</v>
      </c>
      <c r="N295" s="16">
        <v>43251</v>
      </c>
      <c r="O295" s="1">
        <v>1800.402</v>
      </c>
      <c r="P295" s="16">
        <v>43251</v>
      </c>
      <c r="Q295" s="1">
        <v>10569.249</v>
      </c>
      <c r="R295" s="16">
        <v>43251</v>
      </c>
      <c r="S295" s="1">
        <v>1555</v>
      </c>
      <c r="T295" s="16">
        <v>43251</v>
      </c>
      <c r="U295" s="1">
        <v>3829.328</v>
      </c>
      <c r="V295" s="16">
        <v>43251</v>
      </c>
      <c r="W295" s="1">
        <v>2607.4560000000001</v>
      </c>
      <c r="X295" s="15">
        <v>40633</v>
      </c>
      <c r="Y295" s="8">
        <v>28522</v>
      </c>
      <c r="Z295" s="15">
        <v>40602</v>
      </c>
      <c r="AA295" s="8">
        <v>8700</v>
      </c>
      <c r="AB295" s="15">
        <v>40602</v>
      </c>
      <c r="AC295" s="8">
        <v>2350</v>
      </c>
      <c r="AD295" s="15">
        <v>40602</v>
      </c>
      <c r="AE295" s="8">
        <v>3655</v>
      </c>
      <c r="AF295" s="15">
        <v>40602</v>
      </c>
      <c r="AG295" s="8">
        <v>2595</v>
      </c>
      <c r="AH295" s="15">
        <v>40602</v>
      </c>
      <c r="AI295" s="8">
        <v>1385</v>
      </c>
      <c r="AJ295" s="15">
        <v>40602</v>
      </c>
      <c r="AK295" s="8">
        <v>2000</v>
      </c>
      <c r="AL295" s="15">
        <v>40602</v>
      </c>
      <c r="AM295" s="8">
        <v>2210</v>
      </c>
      <c r="AN295" s="15">
        <v>40602</v>
      </c>
      <c r="AO295" s="8">
        <v>2305</v>
      </c>
      <c r="AP295" s="5">
        <v>45626</v>
      </c>
      <c r="AQ295" s="4">
        <v>17.25</v>
      </c>
      <c r="AR295" s="11">
        <v>41213</v>
      </c>
      <c r="AS295" s="11">
        <v>41213</v>
      </c>
      <c r="AT295" s="10">
        <v>108.7</v>
      </c>
    </row>
    <row r="296" spans="1:46" x14ac:dyDescent="0.25">
      <c r="A296" s="16">
        <v>27210</v>
      </c>
      <c r="B296" s="1">
        <v>8780</v>
      </c>
      <c r="C296" s="13" t="str">
        <f t="shared" si="4"/>
        <v>12007</v>
      </c>
      <c r="D296" s="2">
        <v>39113</v>
      </c>
      <c r="E296" s="1">
        <v>2684</v>
      </c>
      <c r="F296" s="16">
        <v>43281</v>
      </c>
      <c r="G296" s="1">
        <v>10638</v>
      </c>
      <c r="H296" s="16">
        <v>43281</v>
      </c>
      <c r="I296" s="1">
        <v>4480</v>
      </c>
      <c r="J296" s="16">
        <v>43281</v>
      </c>
      <c r="K296" s="1">
        <v>4599</v>
      </c>
      <c r="L296" s="16">
        <v>43281</v>
      </c>
      <c r="M296" s="1">
        <v>815</v>
      </c>
      <c r="N296" s="16">
        <v>43281</v>
      </c>
      <c r="O296" s="1">
        <v>1730.402</v>
      </c>
      <c r="P296" s="16">
        <v>43281</v>
      </c>
      <c r="Q296" s="1">
        <v>10662.61</v>
      </c>
      <c r="R296" s="16">
        <v>43281</v>
      </c>
      <c r="S296" s="1">
        <v>1495</v>
      </c>
      <c r="T296" s="16">
        <v>43281</v>
      </c>
      <c r="U296" s="1">
        <v>3686.83</v>
      </c>
      <c r="V296" s="16">
        <v>43281</v>
      </c>
      <c r="W296" s="1">
        <v>2589.61</v>
      </c>
      <c r="X296" s="15">
        <v>40663</v>
      </c>
      <c r="Y296" s="8">
        <v>28730</v>
      </c>
      <c r="Z296" s="15">
        <v>40633</v>
      </c>
      <c r="AA296" s="8">
        <v>8500</v>
      </c>
      <c r="AB296" s="15">
        <v>40633</v>
      </c>
      <c r="AC296" s="8">
        <v>2510</v>
      </c>
      <c r="AD296" s="15">
        <v>40633</v>
      </c>
      <c r="AE296" s="8">
        <v>3700</v>
      </c>
      <c r="AF296" s="15">
        <v>40633</v>
      </c>
      <c r="AG296" s="8">
        <v>2585</v>
      </c>
      <c r="AH296" s="15">
        <v>40633</v>
      </c>
      <c r="AI296" s="8">
        <v>390</v>
      </c>
      <c r="AJ296" s="15">
        <v>40633</v>
      </c>
      <c r="AK296" s="8">
        <v>1915</v>
      </c>
      <c r="AL296" s="15">
        <v>40633</v>
      </c>
      <c r="AM296" s="8">
        <v>2220</v>
      </c>
      <c r="AN296" s="15">
        <v>40633</v>
      </c>
      <c r="AO296" s="8">
        <v>2405</v>
      </c>
      <c r="AP296" s="5">
        <v>45657</v>
      </c>
      <c r="AQ296" s="4">
        <v>17.899999999999999</v>
      </c>
      <c r="AR296" s="11">
        <v>41243</v>
      </c>
      <c r="AS296" s="11">
        <v>41243</v>
      </c>
      <c r="AT296" s="10">
        <v>111.23</v>
      </c>
    </row>
    <row r="297" spans="1:46" x14ac:dyDescent="0.25">
      <c r="A297" s="16">
        <v>27241</v>
      </c>
      <c r="B297" s="1">
        <v>8780</v>
      </c>
      <c r="C297" s="13" t="str">
        <f t="shared" si="4"/>
        <v>22007</v>
      </c>
      <c r="D297" s="2">
        <v>39141</v>
      </c>
      <c r="E297" s="1">
        <v>1421</v>
      </c>
      <c r="F297" s="16">
        <v>43312</v>
      </c>
      <c r="G297" s="1">
        <v>10698</v>
      </c>
      <c r="H297" s="16">
        <v>43312</v>
      </c>
      <c r="I297" s="1">
        <v>4422</v>
      </c>
      <c r="J297" s="16">
        <v>43312</v>
      </c>
      <c r="K297" s="1">
        <v>4629</v>
      </c>
      <c r="L297" s="16">
        <v>43312</v>
      </c>
      <c r="M297" s="1">
        <v>720</v>
      </c>
      <c r="N297" s="16">
        <v>43312</v>
      </c>
      <c r="O297" s="1">
        <v>1780.402</v>
      </c>
      <c r="P297" s="16">
        <v>43312</v>
      </c>
      <c r="Q297" s="1">
        <v>10814.142</v>
      </c>
      <c r="R297" s="16">
        <v>43312</v>
      </c>
      <c r="S297" s="1">
        <v>1460</v>
      </c>
      <c r="T297" s="16">
        <v>43312</v>
      </c>
      <c r="U297" s="1">
        <v>3719.681</v>
      </c>
      <c r="V297" s="16">
        <v>43312</v>
      </c>
      <c r="W297" s="1">
        <v>2575.1289999999999</v>
      </c>
      <c r="X297" s="15">
        <v>40694</v>
      </c>
      <c r="Y297" s="8">
        <v>28895</v>
      </c>
      <c r="Z297" s="15">
        <v>40663</v>
      </c>
      <c r="AA297" s="8">
        <v>8850</v>
      </c>
      <c r="AB297" s="15">
        <v>40663</v>
      </c>
      <c r="AC297" s="8">
        <v>2530</v>
      </c>
      <c r="AD297" s="15">
        <v>40663</v>
      </c>
      <c r="AE297" s="8">
        <v>3690</v>
      </c>
      <c r="AF297" s="15">
        <v>40663</v>
      </c>
      <c r="AG297" s="8">
        <v>2610</v>
      </c>
      <c r="AH297" s="15">
        <v>40663</v>
      </c>
      <c r="AI297" s="8">
        <v>285</v>
      </c>
      <c r="AJ297" s="15">
        <v>40663</v>
      </c>
      <c r="AK297" s="8">
        <v>1985</v>
      </c>
      <c r="AL297" s="15">
        <v>40663</v>
      </c>
      <c r="AM297" s="8">
        <v>2230</v>
      </c>
      <c r="AN297" s="15">
        <v>40663</v>
      </c>
      <c r="AO297" s="8">
        <v>2385</v>
      </c>
      <c r="AP297" s="5">
        <v>45747</v>
      </c>
      <c r="AQ297" s="4">
        <v>19.03</v>
      </c>
      <c r="AR297" s="11">
        <v>41274</v>
      </c>
      <c r="AS297" s="11">
        <v>41274</v>
      </c>
      <c r="AT297" s="10">
        <v>111.11</v>
      </c>
    </row>
    <row r="298" spans="1:46" x14ac:dyDescent="0.25">
      <c r="A298" s="16">
        <v>27272</v>
      </c>
      <c r="B298" s="1">
        <v>8699</v>
      </c>
      <c r="C298" s="13" t="str">
        <f t="shared" si="4"/>
        <v>32007</v>
      </c>
      <c r="D298" s="2">
        <v>39171</v>
      </c>
      <c r="E298" s="1">
        <v>4307</v>
      </c>
      <c r="F298" s="16">
        <v>43343</v>
      </c>
      <c r="G298" s="1">
        <v>10638</v>
      </c>
      <c r="H298" s="16">
        <v>43343</v>
      </c>
      <c r="I298" s="1">
        <v>4220</v>
      </c>
      <c r="J298" s="16">
        <v>43343</v>
      </c>
      <c r="K298" s="1">
        <v>4700</v>
      </c>
      <c r="L298" s="16">
        <v>43343</v>
      </c>
      <c r="M298" s="1">
        <v>1055</v>
      </c>
      <c r="N298" s="16">
        <v>43343</v>
      </c>
      <c r="O298" s="1">
        <v>1850.402</v>
      </c>
      <c r="P298" s="16">
        <v>43343</v>
      </c>
      <c r="Q298" s="1">
        <v>10810.855</v>
      </c>
      <c r="R298" s="16">
        <v>43343</v>
      </c>
      <c r="S298" s="1">
        <v>1415</v>
      </c>
      <c r="T298" s="16">
        <v>43343</v>
      </c>
      <c r="U298" s="1">
        <v>3648.7620000000002</v>
      </c>
      <c r="V298" s="16">
        <v>43343</v>
      </c>
      <c r="W298" s="1">
        <v>2521.7460000000001</v>
      </c>
      <c r="X298" s="15">
        <v>40724</v>
      </c>
      <c r="Y298" s="8">
        <v>29320</v>
      </c>
      <c r="Z298" s="15">
        <v>40694</v>
      </c>
      <c r="AA298" s="8">
        <v>8925</v>
      </c>
      <c r="AB298" s="15">
        <v>40694</v>
      </c>
      <c r="AC298" s="8">
        <v>2545</v>
      </c>
      <c r="AD298" s="15">
        <v>40694</v>
      </c>
      <c r="AE298" s="8">
        <v>3675</v>
      </c>
      <c r="AF298" s="15">
        <v>40694</v>
      </c>
      <c r="AG298" s="8">
        <v>2675</v>
      </c>
      <c r="AH298" s="15">
        <v>40694</v>
      </c>
      <c r="AI298" s="8">
        <v>200</v>
      </c>
      <c r="AJ298" s="15">
        <v>40694</v>
      </c>
      <c r="AK298" s="8">
        <v>2060</v>
      </c>
      <c r="AL298" s="15">
        <v>40694</v>
      </c>
      <c r="AM298" s="8">
        <v>2240</v>
      </c>
      <c r="AN298" s="15">
        <v>40694</v>
      </c>
      <c r="AO298" s="8">
        <v>2425</v>
      </c>
      <c r="AP298" s="5">
        <v>45777</v>
      </c>
      <c r="AQ298" s="4">
        <v>17.72</v>
      </c>
      <c r="AR298" s="11">
        <v>41305</v>
      </c>
      <c r="AS298" s="11">
        <v>41305</v>
      </c>
      <c r="AT298" s="10">
        <v>115.55</v>
      </c>
    </row>
    <row r="299" spans="1:46" x14ac:dyDescent="0.25">
      <c r="A299" s="16">
        <v>27302</v>
      </c>
      <c r="B299" s="1">
        <v>8443</v>
      </c>
      <c r="C299" s="13" t="str">
        <f t="shared" si="4"/>
        <v>42007</v>
      </c>
      <c r="D299" s="2">
        <v>39202</v>
      </c>
      <c r="E299" s="1">
        <v>1169</v>
      </c>
      <c r="F299" s="16">
        <v>43373</v>
      </c>
      <c r="G299" s="1">
        <v>10738</v>
      </c>
      <c r="H299" s="16">
        <v>43373</v>
      </c>
      <c r="I299" s="1">
        <v>4100</v>
      </c>
      <c r="J299" s="16">
        <v>43373</v>
      </c>
      <c r="K299" s="1">
        <v>4725</v>
      </c>
      <c r="L299" s="16">
        <v>43373</v>
      </c>
      <c r="M299" s="1">
        <v>1145</v>
      </c>
      <c r="N299" s="16">
        <v>43373</v>
      </c>
      <c r="O299" s="1">
        <v>1950.402</v>
      </c>
      <c r="P299" s="16">
        <v>43373</v>
      </c>
      <c r="Q299" s="1">
        <v>10964.361999999999</v>
      </c>
      <c r="R299" s="16">
        <v>43373</v>
      </c>
      <c r="S299" s="1">
        <v>1381</v>
      </c>
      <c r="T299" s="16">
        <v>43373</v>
      </c>
      <c r="U299" s="1">
        <v>3742.5650000000001</v>
      </c>
      <c r="V299" s="16">
        <v>43373</v>
      </c>
      <c r="W299" s="1">
        <v>2485.7240000000002</v>
      </c>
      <c r="X299" s="15">
        <v>40755</v>
      </c>
      <c r="Y299" s="8">
        <v>29940</v>
      </c>
      <c r="Z299" s="15">
        <v>40724</v>
      </c>
      <c r="AA299" s="8">
        <v>9300</v>
      </c>
      <c r="AB299" s="15">
        <v>40724</v>
      </c>
      <c r="AC299" s="8">
        <v>2495</v>
      </c>
      <c r="AD299" s="15">
        <v>40724</v>
      </c>
      <c r="AE299" s="8">
        <v>3645</v>
      </c>
      <c r="AF299" s="15">
        <v>40724</v>
      </c>
      <c r="AG299" s="8">
        <v>2705</v>
      </c>
      <c r="AH299" s="15">
        <v>40724</v>
      </c>
      <c r="AI299" s="8">
        <v>150</v>
      </c>
      <c r="AJ299" s="15">
        <v>40724</v>
      </c>
      <c r="AK299" s="8">
        <v>2180</v>
      </c>
      <c r="AL299" s="15">
        <v>40724</v>
      </c>
      <c r="AM299" s="8">
        <v>2300</v>
      </c>
      <c r="AN299" s="15">
        <v>40724</v>
      </c>
      <c r="AO299" s="8">
        <v>2485</v>
      </c>
      <c r="AP299" s="5">
        <v>45808</v>
      </c>
      <c r="AQ299" s="4">
        <v>18.47</v>
      </c>
      <c r="AR299" s="11">
        <v>41333</v>
      </c>
      <c r="AS299" s="11">
        <v>41333</v>
      </c>
      <c r="AT299" s="10">
        <v>111.38</v>
      </c>
    </row>
    <row r="300" spans="1:46" x14ac:dyDescent="0.25">
      <c r="A300" s="16">
        <v>27333</v>
      </c>
      <c r="B300" s="1">
        <v>8611</v>
      </c>
      <c r="C300" s="13" t="str">
        <f t="shared" si="4"/>
        <v>52007</v>
      </c>
      <c r="D300" s="2">
        <v>39233</v>
      </c>
      <c r="E300" s="1">
        <v>-1956</v>
      </c>
      <c r="F300" s="16">
        <v>43404</v>
      </c>
      <c r="G300" s="1">
        <v>10938</v>
      </c>
      <c r="H300" s="16">
        <v>43404</v>
      </c>
      <c r="I300" s="1">
        <v>4095</v>
      </c>
      <c r="J300" s="16">
        <v>43404</v>
      </c>
      <c r="K300" s="1">
        <v>4755</v>
      </c>
      <c r="L300" s="16">
        <v>43404</v>
      </c>
      <c r="M300" s="1">
        <v>1145</v>
      </c>
      <c r="N300" s="16">
        <v>43404</v>
      </c>
      <c r="O300" s="1">
        <v>1910.402</v>
      </c>
      <c r="P300" s="16">
        <v>43404</v>
      </c>
      <c r="Q300" s="1">
        <v>11013.707</v>
      </c>
      <c r="R300" s="16">
        <v>43404</v>
      </c>
      <c r="S300" s="1">
        <v>1351</v>
      </c>
      <c r="T300" s="16">
        <v>43404</v>
      </c>
      <c r="U300" s="1">
        <v>3732.7829999999999</v>
      </c>
      <c r="V300" s="16">
        <v>43404</v>
      </c>
      <c r="W300" s="1">
        <v>2614.1320000000001</v>
      </c>
      <c r="X300" s="15">
        <v>40786</v>
      </c>
      <c r="Y300" s="8">
        <v>29978</v>
      </c>
      <c r="Z300" s="15">
        <v>40755</v>
      </c>
      <c r="AA300" s="8">
        <v>9775</v>
      </c>
      <c r="AB300" s="15">
        <v>40755</v>
      </c>
      <c r="AC300" s="8">
        <v>2515</v>
      </c>
      <c r="AD300" s="15">
        <v>40755</v>
      </c>
      <c r="AE300" s="8">
        <v>3590</v>
      </c>
      <c r="AF300" s="15">
        <v>40755</v>
      </c>
      <c r="AG300" s="8">
        <v>2720</v>
      </c>
      <c r="AH300" s="15">
        <v>40755</v>
      </c>
      <c r="AI300" s="8">
        <v>100</v>
      </c>
      <c r="AJ300" s="15">
        <v>40755</v>
      </c>
      <c r="AK300" s="8">
        <v>2180</v>
      </c>
      <c r="AL300" s="15">
        <v>40755</v>
      </c>
      <c r="AM300" s="8">
        <v>2300</v>
      </c>
      <c r="AN300" s="15">
        <v>40755</v>
      </c>
      <c r="AO300" s="8">
        <v>2515</v>
      </c>
      <c r="AP300" s="5">
        <v>45838</v>
      </c>
      <c r="AQ300" s="4">
        <v>18.2</v>
      </c>
      <c r="AR300" s="11">
        <v>41362</v>
      </c>
      <c r="AS300" s="11">
        <v>41362</v>
      </c>
      <c r="AT300" s="10">
        <v>110.02</v>
      </c>
    </row>
    <row r="301" spans="1:46" x14ac:dyDescent="0.25">
      <c r="A301" s="16">
        <v>27363</v>
      </c>
      <c r="B301" s="1">
        <v>8569</v>
      </c>
      <c r="C301" s="13" t="str">
        <f t="shared" si="4"/>
        <v>62007</v>
      </c>
      <c r="D301" s="2">
        <v>39262</v>
      </c>
      <c r="E301" s="1">
        <v>3151</v>
      </c>
      <c r="F301" s="16">
        <v>43434</v>
      </c>
      <c r="G301" s="1">
        <v>11218</v>
      </c>
      <c r="H301" s="16">
        <v>43434</v>
      </c>
      <c r="I301" s="1">
        <v>3395</v>
      </c>
      <c r="J301" s="16">
        <v>43434</v>
      </c>
      <c r="K301" s="1">
        <v>4795</v>
      </c>
      <c r="L301" s="16">
        <v>43434</v>
      </c>
      <c r="M301" s="1">
        <v>1195</v>
      </c>
      <c r="N301" s="16">
        <v>43434</v>
      </c>
      <c r="O301" s="1">
        <v>1900.402</v>
      </c>
      <c r="P301" s="16">
        <v>43434</v>
      </c>
      <c r="Q301" s="1">
        <v>10971.888000000001</v>
      </c>
      <c r="R301" s="16">
        <v>43434</v>
      </c>
      <c r="S301" s="1">
        <v>1331</v>
      </c>
      <c r="T301" s="16">
        <v>43434</v>
      </c>
      <c r="U301" s="1">
        <v>3797.2779999999998</v>
      </c>
      <c r="V301" s="16">
        <v>43434</v>
      </c>
      <c r="W301" s="1">
        <v>2567.3910000000001</v>
      </c>
      <c r="X301" s="15">
        <v>40816</v>
      </c>
      <c r="Y301" s="8">
        <v>30015</v>
      </c>
      <c r="Z301" s="15">
        <v>40786</v>
      </c>
      <c r="AA301" s="8">
        <v>9850</v>
      </c>
      <c r="AB301" s="15">
        <v>40786</v>
      </c>
      <c r="AC301" s="8">
        <v>2555</v>
      </c>
      <c r="AD301" s="15">
        <v>40786</v>
      </c>
      <c r="AE301" s="8">
        <v>3573</v>
      </c>
      <c r="AF301" s="15">
        <v>40786</v>
      </c>
      <c r="AG301" s="8">
        <v>2680</v>
      </c>
      <c r="AH301" s="15">
        <v>40786</v>
      </c>
      <c r="AI301" s="8">
        <v>45</v>
      </c>
      <c r="AJ301" s="15">
        <v>40786</v>
      </c>
      <c r="AK301" s="8">
        <v>2230</v>
      </c>
      <c r="AL301" s="15">
        <v>40786</v>
      </c>
      <c r="AM301" s="8">
        <v>2270</v>
      </c>
      <c r="AN301" s="15">
        <v>40786</v>
      </c>
      <c r="AO301" s="8">
        <v>2545</v>
      </c>
      <c r="AP301" s="5">
        <v>45869</v>
      </c>
      <c r="AQ301" s="4">
        <v>18.12</v>
      </c>
      <c r="AR301" s="11">
        <v>41394</v>
      </c>
      <c r="AS301" s="11">
        <v>41394</v>
      </c>
      <c r="AT301" s="10">
        <v>102.37</v>
      </c>
    </row>
    <row r="302" spans="1:46" x14ac:dyDescent="0.25">
      <c r="A302" s="16">
        <v>27394</v>
      </c>
      <c r="B302" s="1">
        <v>8527</v>
      </c>
      <c r="C302" s="13" t="str">
        <f t="shared" si="4"/>
        <v>72007</v>
      </c>
      <c r="D302" s="2">
        <v>39294</v>
      </c>
      <c r="E302" s="1">
        <v>-6497</v>
      </c>
      <c r="F302" s="16">
        <v>43465</v>
      </c>
      <c r="G302" s="1">
        <v>10718</v>
      </c>
      <c r="H302" s="16">
        <v>43465</v>
      </c>
      <c r="I302" s="1">
        <v>3295</v>
      </c>
      <c r="J302" s="16">
        <v>43465</v>
      </c>
      <c r="K302" s="1">
        <v>4825</v>
      </c>
      <c r="L302" s="16">
        <v>43465</v>
      </c>
      <c r="M302" s="1">
        <v>945</v>
      </c>
      <c r="N302" s="16">
        <v>43465</v>
      </c>
      <c r="O302" s="1">
        <v>1930.402</v>
      </c>
      <c r="P302" s="16">
        <v>43465</v>
      </c>
      <c r="Q302" s="1">
        <v>11050.83</v>
      </c>
      <c r="R302" s="16">
        <v>43465</v>
      </c>
      <c r="S302" s="1">
        <v>1301</v>
      </c>
      <c r="T302" s="16">
        <v>43465</v>
      </c>
      <c r="U302" s="1">
        <v>3764.777</v>
      </c>
      <c r="V302" s="16">
        <v>43465</v>
      </c>
      <c r="W302" s="1">
        <v>2691.0140000000001</v>
      </c>
      <c r="X302" s="15">
        <v>40847</v>
      </c>
      <c r="Y302" s="8">
        <v>29965</v>
      </c>
      <c r="Z302" s="15">
        <v>40816</v>
      </c>
      <c r="AA302" s="8">
        <v>9760</v>
      </c>
      <c r="AB302" s="15">
        <v>40816</v>
      </c>
      <c r="AC302" s="8">
        <v>2570</v>
      </c>
      <c r="AD302" s="15">
        <v>40816</v>
      </c>
      <c r="AE302" s="8">
        <v>3585</v>
      </c>
      <c r="AF302" s="15">
        <v>40816</v>
      </c>
      <c r="AG302" s="8">
        <v>2730</v>
      </c>
      <c r="AH302" s="15">
        <v>40816</v>
      </c>
      <c r="AI302" s="8">
        <v>100</v>
      </c>
      <c r="AJ302" s="15">
        <v>40816</v>
      </c>
      <c r="AK302" s="8">
        <v>2150</v>
      </c>
      <c r="AL302" s="15">
        <v>40816</v>
      </c>
      <c r="AM302" s="8">
        <v>2280</v>
      </c>
      <c r="AN302" s="15">
        <v>40816</v>
      </c>
      <c r="AO302" s="8">
        <v>2560</v>
      </c>
      <c r="AP302" s="5">
        <v>45900</v>
      </c>
      <c r="AQ302" s="4">
        <v>18.260000000000002</v>
      </c>
      <c r="AR302" s="11">
        <v>41425</v>
      </c>
      <c r="AS302" s="11">
        <v>41425</v>
      </c>
      <c r="AT302" s="10">
        <v>100.39</v>
      </c>
    </row>
    <row r="303" spans="1:46" x14ac:dyDescent="0.25">
      <c r="A303" s="16">
        <v>27425</v>
      </c>
      <c r="B303" s="1">
        <v>8455</v>
      </c>
      <c r="C303" s="13" t="str">
        <f t="shared" si="4"/>
        <v>82007</v>
      </c>
      <c r="D303" s="2">
        <v>39325</v>
      </c>
      <c r="E303" s="1">
        <v>-3972</v>
      </c>
      <c r="F303" s="16">
        <v>43496</v>
      </c>
      <c r="G303" s="1">
        <v>10252</v>
      </c>
      <c r="H303" s="16">
        <v>43496</v>
      </c>
      <c r="I303" s="1">
        <v>3285</v>
      </c>
      <c r="J303" s="16">
        <v>43496</v>
      </c>
      <c r="K303" s="1">
        <v>4825</v>
      </c>
      <c r="L303" s="16">
        <v>43496</v>
      </c>
      <c r="M303" s="1">
        <v>905</v>
      </c>
      <c r="N303" s="16">
        <v>43496</v>
      </c>
      <c r="O303" s="1">
        <v>1843.78</v>
      </c>
      <c r="P303" s="16">
        <v>43496</v>
      </c>
      <c r="Q303" s="1">
        <v>10972.775</v>
      </c>
      <c r="R303" s="16">
        <v>43496</v>
      </c>
      <c r="S303" s="1">
        <v>1271</v>
      </c>
      <c r="T303" s="16">
        <v>43496</v>
      </c>
      <c r="U303" s="1">
        <v>3732.8539999999998</v>
      </c>
      <c r="V303" s="16">
        <v>43496</v>
      </c>
      <c r="W303" s="1">
        <v>2630.9259999999999</v>
      </c>
      <c r="X303" s="15">
        <v>40877</v>
      </c>
      <c r="Y303" s="8">
        <v>30490</v>
      </c>
      <c r="Z303" s="15">
        <v>40847</v>
      </c>
      <c r="AA303" s="8">
        <v>9485</v>
      </c>
      <c r="AB303" s="15">
        <v>40847</v>
      </c>
      <c r="AC303" s="8">
        <v>2555</v>
      </c>
      <c r="AD303" s="15">
        <v>40847</v>
      </c>
      <c r="AE303" s="8">
        <v>3575</v>
      </c>
      <c r="AF303" s="15">
        <v>40847</v>
      </c>
      <c r="AG303" s="8">
        <v>2655</v>
      </c>
      <c r="AH303" s="15">
        <v>40847</v>
      </c>
      <c r="AI303" s="8">
        <v>345</v>
      </c>
      <c r="AJ303" s="15">
        <v>40847</v>
      </c>
      <c r="AK303" s="8">
        <v>2130</v>
      </c>
      <c r="AL303" s="15">
        <v>40847</v>
      </c>
      <c r="AM303" s="8">
        <v>2290</v>
      </c>
      <c r="AN303" s="15">
        <v>40847</v>
      </c>
      <c r="AO303" s="8">
        <v>2545</v>
      </c>
      <c r="AP303" s="5">
        <v>45930</v>
      </c>
      <c r="AQ303" s="4">
        <v>17.77</v>
      </c>
      <c r="AR303" s="11">
        <v>41453</v>
      </c>
      <c r="AS303" s="11">
        <v>41453</v>
      </c>
      <c r="AT303" s="10">
        <v>102.16</v>
      </c>
    </row>
    <row r="304" spans="1:46" x14ac:dyDescent="0.25">
      <c r="A304" s="16">
        <v>27453</v>
      </c>
      <c r="B304" s="1">
        <v>8591</v>
      </c>
      <c r="C304" s="13" t="str">
        <f t="shared" si="4"/>
        <v>92007</v>
      </c>
      <c r="D304" s="2">
        <v>39353</v>
      </c>
      <c r="E304" s="1">
        <v>1138</v>
      </c>
      <c r="F304" s="16">
        <v>43524</v>
      </c>
      <c r="G304" s="1">
        <v>10302</v>
      </c>
      <c r="H304" s="16">
        <v>43524</v>
      </c>
      <c r="I304" s="1">
        <v>3285</v>
      </c>
      <c r="J304" s="16">
        <v>43524</v>
      </c>
      <c r="K304" s="1">
        <v>4805</v>
      </c>
      <c r="L304" s="16">
        <v>43524</v>
      </c>
      <c r="M304" s="1">
        <v>935</v>
      </c>
      <c r="N304" s="16">
        <v>43524</v>
      </c>
      <c r="O304" s="1">
        <v>1873.78</v>
      </c>
      <c r="P304" s="16">
        <v>43524</v>
      </c>
      <c r="Q304" s="1">
        <v>10930.571</v>
      </c>
      <c r="R304" s="16">
        <v>43524</v>
      </c>
      <c r="S304" s="1">
        <v>1141</v>
      </c>
      <c r="T304" s="16">
        <v>43524</v>
      </c>
      <c r="U304" s="1">
        <v>3847.8429999999998</v>
      </c>
      <c r="V304" s="16">
        <v>43524</v>
      </c>
      <c r="W304" s="1">
        <v>2489.424</v>
      </c>
      <c r="X304" s="15">
        <v>40908</v>
      </c>
      <c r="Y304" s="8">
        <v>30712</v>
      </c>
      <c r="Z304" s="15">
        <v>40877</v>
      </c>
      <c r="AA304" s="8">
        <v>9600</v>
      </c>
      <c r="AB304" s="15">
        <v>40877</v>
      </c>
      <c r="AC304" s="8">
        <v>2595</v>
      </c>
      <c r="AD304" s="15">
        <v>40877</v>
      </c>
      <c r="AE304" s="8">
        <v>3560</v>
      </c>
      <c r="AF304" s="15">
        <v>40877</v>
      </c>
      <c r="AG304" s="8">
        <v>2705</v>
      </c>
      <c r="AH304" s="15">
        <v>40877</v>
      </c>
      <c r="AI304" s="8">
        <v>600</v>
      </c>
      <c r="AJ304" s="15">
        <v>40877</v>
      </c>
      <c r="AK304" s="8">
        <v>2150</v>
      </c>
      <c r="AL304" s="15">
        <v>40877</v>
      </c>
      <c r="AM304" s="8">
        <v>2290</v>
      </c>
      <c r="AN304" s="15">
        <v>40877</v>
      </c>
      <c r="AO304" s="8">
        <v>2595</v>
      </c>
      <c r="AP304" s="5">
        <v>45961</v>
      </c>
      <c r="AQ304" s="4">
        <v>18</v>
      </c>
      <c r="AR304" s="11">
        <v>41486</v>
      </c>
      <c r="AS304" s="11">
        <v>41486</v>
      </c>
      <c r="AT304" s="10">
        <v>107.7</v>
      </c>
    </row>
    <row r="305" spans="1:46" x14ac:dyDescent="0.25">
      <c r="A305" s="16">
        <v>27484</v>
      </c>
      <c r="B305" s="1">
        <v>8493</v>
      </c>
      <c r="C305" s="13" t="str">
        <f t="shared" si="4"/>
        <v>102007</v>
      </c>
      <c r="D305" s="2">
        <v>39386</v>
      </c>
      <c r="E305" s="1">
        <v>-3894</v>
      </c>
      <c r="F305" s="16">
        <v>43555</v>
      </c>
      <c r="G305" s="1">
        <v>10052</v>
      </c>
      <c r="H305" s="16">
        <v>43555</v>
      </c>
      <c r="I305" s="1">
        <v>3260</v>
      </c>
      <c r="J305" s="16">
        <v>43555</v>
      </c>
      <c r="K305" s="1">
        <v>4645</v>
      </c>
      <c r="L305" s="16">
        <v>43555</v>
      </c>
      <c r="M305" s="1">
        <v>1165</v>
      </c>
      <c r="N305" s="16">
        <v>43555</v>
      </c>
      <c r="O305" s="1">
        <v>1903.78</v>
      </c>
      <c r="P305" s="16">
        <v>43555</v>
      </c>
      <c r="Q305" s="1">
        <v>10899.123</v>
      </c>
      <c r="R305" s="16">
        <v>43555</v>
      </c>
      <c r="S305" s="1">
        <v>905</v>
      </c>
      <c r="T305" s="16">
        <v>43555</v>
      </c>
      <c r="U305" s="1">
        <v>3775.7959999999998</v>
      </c>
      <c r="V305" s="16">
        <v>43555</v>
      </c>
      <c r="W305" s="1">
        <v>2560.096</v>
      </c>
      <c r="X305" s="15">
        <v>40939</v>
      </c>
      <c r="Y305" s="8">
        <v>30790</v>
      </c>
      <c r="Z305" s="15">
        <v>40908</v>
      </c>
      <c r="AA305" s="8">
        <v>9700</v>
      </c>
      <c r="AB305" s="15">
        <v>40908</v>
      </c>
      <c r="AC305" s="8">
        <v>2550</v>
      </c>
      <c r="AD305" s="15">
        <v>40908</v>
      </c>
      <c r="AE305" s="8">
        <v>3575</v>
      </c>
      <c r="AF305" s="15">
        <v>40908</v>
      </c>
      <c r="AG305" s="8">
        <v>2700</v>
      </c>
      <c r="AH305" s="15">
        <v>40908</v>
      </c>
      <c r="AI305" s="8">
        <v>700</v>
      </c>
      <c r="AJ305" s="15">
        <v>40908</v>
      </c>
      <c r="AK305" s="8">
        <v>2220</v>
      </c>
      <c r="AL305" s="15">
        <v>40908</v>
      </c>
      <c r="AM305" s="8">
        <v>2290</v>
      </c>
      <c r="AN305" s="15">
        <v>40908</v>
      </c>
      <c r="AO305" s="8">
        <v>2620</v>
      </c>
      <c r="AP305" s="5">
        <v>45991</v>
      </c>
      <c r="AQ305" s="4">
        <v>17.63</v>
      </c>
      <c r="AR305" s="11">
        <v>41516</v>
      </c>
      <c r="AS305" s="11">
        <v>41516</v>
      </c>
      <c r="AT305" s="10">
        <v>114.01</v>
      </c>
    </row>
    <row r="306" spans="1:46" x14ac:dyDescent="0.25">
      <c r="A306" s="16">
        <v>27514</v>
      </c>
      <c r="B306" s="1">
        <v>8457</v>
      </c>
      <c r="C306" s="13" t="str">
        <f t="shared" si="4"/>
        <v>112007</v>
      </c>
      <c r="D306" s="2">
        <v>39416</v>
      </c>
      <c r="E306" s="1">
        <v>-7913</v>
      </c>
      <c r="F306" s="16">
        <v>43585</v>
      </c>
      <c r="G306" s="1">
        <v>10052</v>
      </c>
      <c r="H306" s="16">
        <v>43585</v>
      </c>
      <c r="I306" s="1">
        <v>3160</v>
      </c>
      <c r="J306" s="16">
        <v>43585</v>
      </c>
      <c r="K306" s="1">
        <v>4725</v>
      </c>
      <c r="L306" s="16">
        <v>43585</v>
      </c>
      <c r="M306" s="1">
        <v>1245</v>
      </c>
      <c r="N306" s="16">
        <v>43585</v>
      </c>
      <c r="O306" s="1">
        <v>1973.78</v>
      </c>
      <c r="P306" s="16">
        <v>43585</v>
      </c>
      <c r="Q306" s="1">
        <v>10835.476000000001</v>
      </c>
      <c r="R306" s="16">
        <v>43585</v>
      </c>
      <c r="S306" s="1">
        <v>885</v>
      </c>
      <c r="T306" s="16">
        <v>43585</v>
      </c>
      <c r="U306" s="1">
        <v>3774.83</v>
      </c>
      <c r="V306" s="16">
        <v>43585</v>
      </c>
      <c r="W306" s="1">
        <v>2603.902</v>
      </c>
      <c r="X306" s="15">
        <v>40968</v>
      </c>
      <c r="Y306" s="8">
        <v>31110</v>
      </c>
      <c r="Z306" s="15">
        <v>40939</v>
      </c>
      <c r="AA306" s="8">
        <v>9650</v>
      </c>
      <c r="AB306" s="15">
        <v>40939</v>
      </c>
      <c r="AC306" s="8">
        <v>2585</v>
      </c>
      <c r="AD306" s="15">
        <v>40939</v>
      </c>
      <c r="AE306" s="8">
        <v>3495</v>
      </c>
      <c r="AF306" s="15">
        <v>40939</v>
      </c>
      <c r="AG306" s="8">
        <v>2750</v>
      </c>
      <c r="AH306" s="15">
        <v>40939</v>
      </c>
      <c r="AI306" s="8">
        <v>925</v>
      </c>
      <c r="AJ306" s="15">
        <v>40939</v>
      </c>
      <c r="AK306" s="8">
        <v>2140</v>
      </c>
      <c r="AL306" s="15">
        <v>40939</v>
      </c>
      <c r="AM306" s="8">
        <v>2300</v>
      </c>
      <c r="AN306" s="15">
        <v>40939</v>
      </c>
      <c r="AO306" s="8">
        <v>2650</v>
      </c>
      <c r="AP306" s="5">
        <v>46022</v>
      </c>
      <c r="AQ306" s="4">
        <v>17.8</v>
      </c>
      <c r="AR306" s="11">
        <v>41547</v>
      </c>
      <c r="AS306" s="11">
        <v>41547</v>
      </c>
      <c r="AT306" s="10">
        <v>108.37</v>
      </c>
    </row>
    <row r="307" spans="1:46" x14ac:dyDescent="0.25">
      <c r="A307" s="16">
        <v>27545</v>
      </c>
      <c r="B307" s="1">
        <v>8379</v>
      </c>
      <c r="C307" s="13" t="str">
        <f t="shared" si="4"/>
        <v>122007</v>
      </c>
      <c r="D307" s="2">
        <v>39447</v>
      </c>
      <c r="E307" s="1">
        <v>-4056</v>
      </c>
      <c r="F307" s="16">
        <v>43616</v>
      </c>
      <c r="G307" s="1">
        <v>10102</v>
      </c>
      <c r="H307" s="16">
        <v>43616</v>
      </c>
      <c r="I307" s="1">
        <v>2960</v>
      </c>
      <c r="J307" s="16">
        <v>43616</v>
      </c>
      <c r="K307" s="1">
        <v>4725</v>
      </c>
      <c r="L307" s="16">
        <v>43616</v>
      </c>
      <c r="M307" s="1">
        <v>1235</v>
      </c>
      <c r="N307" s="16">
        <v>43616</v>
      </c>
      <c r="O307" s="1">
        <v>1873.78</v>
      </c>
      <c r="P307" s="16">
        <v>43616</v>
      </c>
      <c r="Q307" s="1">
        <v>10708.992</v>
      </c>
      <c r="R307" s="16">
        <v>43616</v>
      </c>
      <c r="S307" s="1">
        <v>805</v>
      </c>
      <c r="T307" s="16">
        <v>43616</v>
      </c>
      <c r="U307" s="1">
        <v>3870.864</v>
      </c>
      <c r="V307" s="16">
        <v>43616</v>
      </c>
      <c r="W307" s="1">
        <v>2730.9690000000001</v>
      </c>
      <c r="X307" s="15">
        <v>40999</v>
      </c>
      <c r="Y307" s="8">
        <v>31095</v>
      </c>
      <c r="Z307" s="15">
        <v>40968</v>
      </c>
      <c r="AA307" s="8">
        <v>9685</v>
      </c>
      <c r="AB307" s="15">
        <v>40968</v>
      </c>
      <c r="AC307" s="8">
        <v>2595</v>
      </c>
      <c r="AD307" s="15">
        <v>40968</v>
      </c>
      <c r="AE307" s="8">
        <v>3450</v>
      </c>
      <c r="AF307" s="15">
        <v>40968</v>
      </c>
      <c r="AG307" s="8">
        <v>2760</v>
      </c>
      <c r="AH307" s="15">
        <v>40968</v>
      </c>
      <c r="AI307" s="8">
        <v>1125</v>
      </c>
      <c r="AJ307" s="15">
        <v>40968</v>
      </c>
      <c r="AK307" s="8">
        <v>2155</v>
      </c>
      <c r="AL307" s="15">
        <v>40968</v>
      </c>
      <c r="AM307" s="8">
        <v>2310</v>
      </c>
      <c r="AN307" s="15">
        <v>40968</v>
      </c>
      <c r="AO307" s="8">
        <v>2665</v>
      </c>
      <c r="AP307" s="5">
        <v>46112</v>
      </c>
      <c r="AQ307" s="4">
        <v>19.07</v>
      </c>
      <c r="AR307" s="11">
        <v>41578</v>
      </c>
      <c r="AS307" s="11">
        <v>41578</v>
      </c>
      <c r="AT307" s="10">
        <v>108.84</v>
      </c>
    </row>
    <row r="308" spans="1:46" x14ac:dyDescent="0.25">
      <c r="A308" s="16">
        <v>27575</v>
      </c>
      <c r="B308" s="1">
        <v>8421</v>
      </c>
      <c r="C308" s="13" t="str">
        <f t="shared" si="4"/>
        <v>12008</v>
      </c>
      <c r="D308" s="2">
        <v>39478</v>
      </c>
      <c r="E308" s="1">
        <v>3555</v>
      </c>
      <c r="F308" s="16">
        <v>43646</v>
      </c>
      <c r="G308" s="1">
        <v>10202</v>
      </c>
      <c r="H308" s="16">
        <v>43646</v>
      </c>
      <c r="I308" s="1">
        <v>2870</v>
      </c>
      <c r="J308" s="16">
        <v>43646</v>
      </c>
      <c r="K308" s="1">
        <v>4725</v>
      </c>
      <c r="L308" s="16">
        <v>43646</v>
      </c>
      <c r="M308" s="1">
        <v>1175</v>
      </c>
      <c r="N308" s="16">
        <v>43646</v>
      </c>
      <c r="O308" s="1">
        <v>1993.78</v>
      </c>
      <c r="P308" s="16">
        <v>43646</v>
      </c>
      <c r="Q308" s="1">
        <v>10755.848</v>
      </c>
      <c r="R308" s="16">
        <v>43646</v>
      </c>
      <c r="S308" s="1">
        <v>855</v>
      </c>
      <c r="T308" s="16">
        <v>43646</v>
      </c>
      <c r="U308" s="1">
        <v>3787.8809999999999</v>
      </c>
      <c r="V308" s="16">
        <v>43646</v>
      </c>
      <c r="W308" s="1">
        <v>2557.4319999999998</v>
      </c>
      <c r="X308" s="15">
        <v>41029</v>
      </c>
      <c r="Y308" s="8">
        <v>31565</v>
      </c>
      <c r="Z308" s="15">
        <v>40999</v>
      </c>
      <c r="AA308" s="8">
        <v>9705</v>
      </c>
      <c r="AB308" s="15">
        <v>40999</v>
      </c>
      <c r="AC308" s="8">
        <v>2610</v>
      </c>
      <c r="AD308" s="15">
        <v>40999</v>
      </c>
      <c r="AE308" s="8">
        <v>3385</v>
      </c>
      <c r="AF308" s="15">
        <v>40999</v>
      </c>
      <c r="AG308" s="8">
        <v>2805</v>
      </c>
      <c r="AH308" s="15">
        <v>40999</v>
      </c>
      <c r="AI308" s="8">
        <v>1250</v>
      </c>
      <c r="AJ308" s="15">
        <v>40999</v>
      </c>
      <c r="AK308" s="8">
        <v>2095</v>
      </c>
      <c r="AL308" s="15">
        <v>40999</v>
      </c>
      <c r="AM308" s="8">
        <v>2315</v>
      </c>
      <c r="AN308" s="15">
        <v>40999</v>
      </c>
      <c r="AO308" s="8">
        <v>2680</v>
      </c>
      <c r="AP308" s="5"/>
      <c r="AR308" s="11">
        <v>41607</v>
      </c>
      <c r="AS308" s="11">
        <v>41607</v>
      </c>
      <c r="AT308" s="10">
        <v>109.69</v>
      </c>
    </row>
    <row r="309" spans="1:46" x14ac:dyDescent="0.25">
      <c r="A309" s="16">
        <v>27606</v>
      </c>
      <c r="B309" s="1">
        <v>8336</v>
      </c>
      <c r="C309" s="13" t="str">
        <f t="shared" si="4"/>
        <v>22008</v>
      </c>
      <c r="D309" s="2">
        <v>39507</v>
      </c>
      <c r="E309" s="1">
        <v>-3056</v>
      </c>
      <c r="F309" s="16">
        <v>43677</v>
      </c>
      <c r="G309" s="1">
        <v>9952</v>
      </c>
      <c r="H309" s="16">
        <v>43677</v>
      </c>
      <c r="I309" s="1">
        <v>2770</v>
      </c>
      <c r="J309" s="16">
        <v>43677</v>
      </c>
      <c r="K309" s="1">
        <v>4725</v>
      </c>
      <c r="L309" s="16">
        <v>43677</v>
      </c>
      <c r="M309" s="1">
        <v>1200</v>
      </c>
      <c r="N309" s="16">
        <v>43677</v>
      </c>
      <c r="O309" s="1">
        <v>1963.78</v>
      </c>
      <c r="P309" s="16">
        <v>43677</v>
      </c>
      <c r="Q309" s="1">
        <v>10750.56</v>
      </c>
      <c r="R309" s="16">
        <v>43677</v>
      </c>
      <c r="S309" s="1">
        <v>855</v>
      </c>
      <c r="T309" s="16">
        <v>43677</v>
      </c>
      <c r="U309" s="1">
        <v>3764.0770000000002</v>
      </c>
      <c r="V309" s="16">
        <v>43677</v>
      </c>
      <c r="W309" s="1">
        <v>2774.7020000000002</v>
      </c>
      <c r="X309" s="15">
        <v>41060</v>
      </c>
      <c r="Y309" s="8">
        <v>31610</v>
      </c>
      <c r="Z309" s="15">
        <v>41029</v>
      </c>
      <c r="AA309" s="8">
        <v>9820</v>
      </c>
      <c r="AB309" s="15">
        <v>41029</v>
      </c>
      <c r="AC309" s="8">
        <v>2650</v>
      </c>
      <c r="AD309" s="15">
        <v>41029</v>
      </c>
      <c r="AE309" s="8">
        <v>3275</v>
      </c>
      <c r="AF309" s="15">
        <v>41029</v>
      </c>
      <c r="AG309" s="8">
        <v>2980</v>
      </c>
      <c r="AH309" s="15">
        <v>41029</v>
      </c>
      <c r="AI309" s="8">
        <v>1350</v>
      </c>
      <c r="AJ309" s="15">
        <v>41029</v>
      </c>
      <c r="AK309" s="8">
        <v>2135</v>
      </c>
      <c r="AL309" s="15">
        <v>41029</v>
      </c>
      <c r="AM309" s="8">
        <v>2325</v>
      </c>
      <c r="AN309" s="15">
        <v>41029</v>
      </c>
      <c r="AO309" s="8">
        <v>2720</v>
      </c>
      <c r="AP309" s="5"/>
      <c r="AR309" s="11">
        <v>41639</v>
      </c>
      <c r="AS309" s="11">
        <v>41639</v>
      </c>
      <c r="AT309" s="10">
        <v>110.8</v>
      </c>
    </row>
    <row r="310" spans="1:46" x14ac:dyDescent="0.25">
      <c r="A310" s="16">
        <v>27637</v>
      </c>
      <c r="B310" s="1">
        <v>8249</v>
      </c>
      <c r="C310" s="13" t="str">
        <f t="shared" si="4"/>
        <v>32008</v>
      </c>
      <c r="D310" s="2">
        <v>39538</v>
      </c>
      <c r="E310" s="1">
        <v>7317</v>
      </c>
      <c r="F310" s="16">
        <v>43708</v>
      </c>
      <c r="G310" s="1">
        <v>10052</v>
      </c>
      <c r="H310" s="16">
        <v>43708</v>
      </c>
      <c r="I310" s="1">
        <v>2770</v>
      </c>
      <c r="J310" s="16">
        <v>43708</v>
      </c>
      <c r="K310" s="1">
        <v>4775</v>
      </c>
      <c r="L310" s="16">
        <v>43708</v>
      </c>
      <c r="M310" s="1">
        <v>1160</v>
      </c>
      <c r="N310" s="16">
        <v>43708</v>
      </c>
      <c r="O310" s="1">
        <v>2043.78</v>
      </c>
      <c r="P310" s="16">
        <v>43708</v>
      </c>
      <c r="Q310" s="1">
        <v>10900.069</v>
      </c>
      <c r="R310" s="16">
        <v>43708</v>
      </c>
      <c r="S310" s="1">
        <v>805</v>
      </c>
      <c r="T310" s="16">
        <v>43708</v>
      </c>
      <c r="U310" s="1">
        <v>3759.0970000000002</v>
      </c>
      <c r="V310" s="16">
        <v>43708</v>
      </c>
      <c r="W310" s="1">
        <v>2989.43</v>
      </c>
      <c r="X310" s="15">
        <v>41090</v>
      </c>
      <c r="Y310" s="8">
        <v>31538</v>
      </c>
      <c r="Z310" s="15">
        <v>41060</v>
      </c>
      <c r="AA310" s="8">
        <v>9900</v>
      </c>
      <c r="AB310" s="15">
        <v>41060</v>
      </c>
      <c r="AC310" s="8">
        <v>2630</v>
      </c>
      <c r="AD310" s="15">
        <v>41060</v>
      </c>
      <c r="AE310" s="8">
        <v>3225</v>
      </c>
      <c r="AF310" s="15">
        <v>41060</v>
      </c>
      <c r="AG310" s="8">
        <v>2935</v>
      </c>
      <c r="AH310" s="15">
        <v>41060</v>
      </c>
      <c r="AI310" s="8">
        <v>1400</v>
      </c>
      <c r="AJ310" s="15">
        <v>41060</v>
      </c>
      <c r="AK310" s="8">
        <v>2175</v>
      </c>
      <c r="AL310" s="15">
        <v>41060</v>
      </c>
      <c r="AM310" s="8">
        <v>2335</v>
      </c>
      <c r="AN310" s="15">
        <v>41060</v>
      </c>
      <c r="AO310" s="8">
        <v>2725</v>
      </c>
      <c r="AP310" s="5"/>
      <c r="AR310" s="11">
        <v>41670</v>
      </c>
      <c r="AS310" s="11">
        <v>41670</v>
      </c>
      <c r="AT310" s="10">
        <v>106.4</v>
      </c>
    </row>
    <row r="311" spans="1:46" x14ac:dyDescent="0.25">
      <c r="A311" s="16">
        <v>27667</v>
      </c>
      <c r="B311" s="1">
        <v>8280</v>
      </c>
      <c r="C311" s="13" t="str">
        <f t="shared" si="4"/>
        <v>42008</v>
      </c>
      <c r="D311" s="2">
        <v>39568</v>
      </c>
      <c r="E311" s="1">
        <v>3848</v>
      </c>
      <c r="F311" s="16">
        <v>43738</v>
      </c>
      <c r="G311" s="1">
        <v>8702</v>
      </c>
      <c r="H311" s="16">
        <v>43738</v>
      </c>
      <c r="I311" s="1">
        <v>2770</v>
      </c>
      <c r="J311" s="16">
        <v>43738</v>
      </c>
      <c r="K311" s="1">
        <v>4675</v>
      </c>
      <c r="L311" s="16">
        <v>43738</v>
      </c>
      <c r="M311" s="1">
        <v>1255</v>
      </c>
      <c r="N311" s="16">
        <v>43738</v>
      </c>
      <c r="O311" s="1">
        <v>1993.78</v>
      </c>
      <c r="P311" s="16">
        <v>43738</v>
      </c>
      <c r="Q311" s="1">
        <v>10860.031999999999</v>
      </c>
      <c r="R311" s="16">
        <v>43738</v>
      </c>
      <c r="S311" s="1">
        <v>705</v>
      </c>
      <c r="T311" s="16">
        <v>43738</v>
      </c>
      <c r="U311" s="1">
        <v>3747.1280000000002</v>
      </c>
      <c r="V311" s="16">
        <v>43738</v>
      </c>
      <c r="W311" s="1">
        <v>2927.2750000000001</v>
      </c>
      <c r="X311" s="15">
        <v>41121</v>
      </c>
      <c r="Y311" s="8">
        <v>31603</v>
      </c>
      <c r="Z311" s="15">
        <v>41090</v>
      </c>
      <c r="AA311" s="8">
        <v>9830</v>
      </c>
      <c r="AB311" s="15">
        <v>41090</v>
      </c>
      <c r="AC311" s="8">
        <v>2605</v>
      </c>
      <c r="AD311" s="15">
        <v>41090</v>
      </c>
      <c r="AE311" s="8">
        <v>3160</v>
      </c>
      <c r="AF311" s="15">
        <v>41090</v>
      </c>
      <c r="AG311" s="8">
        <v>2960</v>
      </c>
      <c r="AH311" s="15">
        <v>41090</v>
      </c>
      <c r="AI311" s="8">
        <v>1425</v>
      </c>
      <c r="AJ311" s="15">
        <v>41090</v>
      </c>
      <c r="AK311" s="8">
        <v>2180</v>
      </c>
      <c r="AL311" s="15">
        <v>41090</v>
      </c>
      <c r="AM311" s="8">
        <v>2335</v>
      </c>
      <c r="AN311" s="15">
        <v>41090</v>
      </c>
      <c r="AO311" s="8">
        <v>2760</v>
      </c>
      <c r="AP311" s="5"/>
      <c r="AR311" s="11">
        <v>41698</v>
      </c>
      <c r="AS311" s="11">
        <v>41698</v>
      </c>
      <c r="AT311" s="10">
        <v>109.07</v>
      </c>
    </row>
    <row r="312" spans="1:46" x14ac:dyDescent="0.25">
      <c r="A312" s="16">
        <v>27698</v>
      </c>
      <c r="B312" s="1">
        <v>8324</v>
      </c>
      <c r="C312" s="13" t="str">
        <f t="shared" si="4"/>
        <v>52008</v>
      </c>
      <c r="D312" s="2">
        <v>39598</v>
      </c>
      <c r="E312" s="1">
        <v>-4802</v>
      </c>
      <c r="F312" s="16">
        <v>43769</v>
      </c>
      <c r="G312" s="1">
        <v>10052</v>
      </c>
      <c r="H312" s="16">
        <v>43769</v>
      </c>
      <c r="I312" s="1">
        <v>2765</v>
      </c>
      <c r="J312" s="16">
        <v>43769</v>
      </c>
      <c r="K312" s="1">
        <v>4775</v>
      </c>
      <c r="L312" s="16">
        <v>43769</v>
      </c>
      <c r="M312" s="1">
        <v>1245</v>
      </c>
      <c r="N312" s="16">
        <v>43769</v>
      </c>
      <c r="O312" s="1">
        <v>1973.78</v>
      </c>
      <c r="P312" s="16">
        <v>43769</v>
      </c>
      <c r="Q312" s="1">
        <v>10835.825000000001</v>
      </c>
      <c r="R312" s="16">
        <v>43769</v>
      </c>
      <c r="S312" s="1">
        <v>690</v>
      </c>
      <c r="T312" s="16">
        <v>43769</v>
      </c>
      <c r="U312" s="1">
        <v>3773.0030000000002</v>
      </c>
      <c r="V312" s="16">
        <v>43769</v>
      </c>
      <c r="W312" s="1">
        <v>2963.895</v>
      </c>
      <c r="X312" s="15">
        <v>41152</v>
      </c>
      <c r="Y312" s="8">
        <v>31983</v>
      </c>
      <c r="Z312" s="15">
        <v>41121</v>
      </c>
      <c r="AA312" s="8">
        <v>9900</v>
      </c>
      <c r="AB312" s="15">
        <v>41121</v>
      </c>
      <c r="AC312" s="8">
        <v>2650</v>
      </c>
      <c r="AD312" s="15">
        <v>41121</v>
      </c>
      <c r="AE312" s="8">
        <v>3100</v>
      </c>
      <c r="AF312" s="15">
        <v>41121</v>
      </c>
      <c r="AG312" s="8">
        <v>2965</v>
      </c>
      <c r="AH312" s="15">
        <v>41121</v>
      </c>
      <c r="AI312" s="8">
        <v>1600</v>
      </c>
      <c r="AJ312" s="15">
        <v>41121</v>
      </c>
      <c r="AK312" s="8">
        <v>2120</v>
      </c>
      <c r="AL312" s="15">
        <v>41121</v>
      </c>
      <c r="AM312" s="8">
        <v>2340</v>
      </c>
      <c r="AN312" s="15">
        <v>41121</v>
      </c>
      <c r="AO312" s="8">
        <v>2850</v>
      </c>
      <c r="AP312" s="5"/>
      <c r="AR312" s="11">
        <v>41729</v>
      </c>
      <c r="AS312" s="11">
        <v>41729</v>
      </c>
      <c r="AT312" s="10">
        <v>107.76</v>
      </c>
    </row>
    <row r="313" spans="1:46" x14ac:dyDescent="0.25">
      <c r="A313" s="16">
        <v>27728</v>
      </c>
      <c r="B313" s="1">
        <v>8278</v>
      </c>
      <c r="C313" s="13" t="str">
        <f t="shared" si="4"/>
        <v>62008</v>
      </c>
      <c r="D313" s="2">
        <v>39629</v>
      </c>
      <c r="E313" s="1">
        <v>-1982</v>
      </c>
      <c r="F313" s="16">
        <v>43799</v>
      </c>
      <c r="G313" s="1">
        <v>10102</v>
      </c>
      <c r="H313" s="16">
        <v>43799</v>
      </c>
      <c r="I313" s="1">
        <v>2665</v>
      </c>
      <c r="J313" s="16">
        <v>43799</v>
      </c>
      <c r="K313" s="1">
        <v>4675</v>
      </c>
      <c r="L313" s="16">
        <v>43799</v>
      </c>
      <c r="M313" s="1">
        <v>1265</v>
      </c>
      <c r="N313" s="16">
        <v>43799</v>
      </c>
      <c r="O313" s="1">
        <v>1963.78</v>
      </c>
      <c r="P313" s="16">
        <v>43799</v>
      </c>
      <c r="Q313" s="1">
        <v>10853.361999999999</v>
      </c>
      <c r="R313" s="16">
        <v>43799</v>
      </c>
      <c r="S313" s="1">
        <v>740</v>
      </c>
      <c r="T313" s="16">
        <v>43799</v>
      </c>
      <c r="U313" s="1">
        <v>3734.96</v>
      </c>
      <c r="V313" s="16">
        <v>43799</v>
      </c>
      <c r="W313" s="1">
        <v>3090.4679999999998</v>
      </c>
      <c r="X313" s="15">
        <v>41182</v>
      </c>
      <c r="Y313" s="8">
        <v>31719</v>
      </c>
      <c r="Z313" s="15">
        <v>41152</v>
      </c>
      <c r="AA313" s="8">
        <v>9900</v>
      </c>
      <c r="AB313" s="15">
        <v>41152</v>
      </c>
      <c r="AC313" s="8">
        <v>2650</v>
      </c>
      <c r="AD313" s="15">
        <v>41152</v>
      </c>
      <c r="AE313" s="8">
        <v>2750</v>
      </c>
      <c r="AF313" s="15">
        <v>41152</v>
      </c>
      <c r="AG313" s="8">
        <v>3273</v>
      </c>
      <c r="AH313" s="15">
        <v>41152</v>
      </c>
      <c r="AI313" s="8">
        <v>1560</v>
      </c>
      <c r="AJ313" s="15">
        <v>41152</v>
      </c>
      <c r="AK313" s="8">
        <v>2150</v>
      </c>
      <c r="AL313" s="15">
        <v>41152</v>
      </c>
      <c r="AM313" s="8">
        <v>2350</v>
      </c>
      <c r="AN313" s="15">
        <v>41152</v>
      </c>
      <c r="AO313" s="8">
        <v>3000</v>
      </c>
      <c r="AP313" s="5"/>
      <c r="AR313" s="11">
        <v>41759</v>
      </c>
      <c r="AS313" s="11">
        <v>41759</v>
      </c>
      <c r="AT313" s="10">
        <v>108.07</v>
      </c>
    </row>
    <row r="314" spans="1:46" x14ac:dyDescent="0.25">
      <c r="A314" s="16">
        <v>27759</v>
      </c>
      <c r="B314" s="1">
        <v>8254</v>
      </c>
      <c r="C314" s="13" t="str">
        <f t="shared" si="4"/>
        <v>72008</v>
      </c>
      <c r="D314" s="2">
        <v>39660</v>
      </c>
      <c r="E314" s="1">
        <v>-81</v>
      </c>
      <c r="F314" s="16">
        <v>43830</v>
      </c>
      <c r="G314" s="1">
        <v>9952</v>
      </c>
      <c r="H314" s="16">
        <v>43830</v>
      </c>
      <c r="I314" s="1">
        <v>2665</v>
      </c>
      <c r="J314" s="16">
        <v>43830</v>
      </c>
      <c r="K314" s="1">
        <v>4575</v>
      </c>
      <c r="L314" s="16">
        <v>43830</v>
      </c>
      <c r="M314" s="1">
        <v>1225</v>
      </c>
      <c r="N314" s="16">
        <v>43830</v>
      </c>
      <c r="O314" s="1">
        <v>1943.78</v>
      </c>
      <c r="P314" s="16">
        <v>43830</v>
      </c>
      <c r="Q314" s="1">
        <v>10871.174000000001</v>
      </c>
      <c r="R314" s="16">
        <v>43830</v>
      </c>
      <c r="S314" s="1">
        <v>890</v>
      </c>
      <c r="T314" s="16">
        <v>43830</v>
      </c>
      <c r="U314" s="1">
        <v>3879.93</v>
      </c>
      <c r="V314" s="16">
        <v>43830</v>
      </c>
      <c r="W314" s="1">
        <v>3106.6039999999998</v>
      </c>
      <c r="X314" s="15">
        <v>41213</v>
      </c>
      <c r="Y314" s="8">
        <v>31372</v>
      </c>
      <c r="Z314" s="15">
        <v>41182</v>
      </c>
      <c r="AA314" s="8">
        <v>9800</v>
      </c>
      <c r="AB314" s="15">
        <v>41182</v>
      </c>
      <c r="AC314" s="8">
        <v>2820</v>
      </c>
      <c r="AD314" s="15">
        <v>41182</v>
      </c>
      <c r="AE314" s="8">
        <v>2850</v>
      </c>
      <c r="AF314" s="15">
        <v>41182</v>
      </c>
      <c r="AG314" s="8">
        <v>3350</v>
      </c>
      <c r="AH314" s="15">
        <v>41182</v>
      </c>
      <c r="AI314" s="8">
        <v>1475</v>
      </c>
      <c r="AJ314" s="15">
        <v>41182</v>
      </c>
      <c r="AK314" s="8">
        <v>1960</v>
      </c>
      <c r="AL314" s="15">
        <v>41182</v>
      </c>
      <c r="AM314" s="8">
        <v>2360</v>
      </c>
      <c r="AN314" s="15">
        <v>41182</v>
      </c>
      <c r="AO314" s="8">
        <v>3000</v>
      </c>
      <c r="AP314" s="5"/>
      <c r="AR314" s="11">
        <v>41789</v>
      </c>
      <c r="AS314" s="11">
        <v>41789</v>
      </c>
      <c r="AT314" s="10">
        <v>109.41</v>
      </c>
    </row>
    <row r="315" spans="1:46" x14ac:dyDescent="0.25">
      <c r="A315" s="16">
        <v>27790</v>
      </c>
      <c r="B315" s="1">
        <v>8232</v>
      </c>
      <c r="C315" s="13" t="str">
        <f t="shared" si="4"/>
        <v>82008</v>
      </c>
      <c r="D315" s="2">
        <v>39689</v>
      </c>
      <c r="E315" s="1">
        <v>-1898</v>
      </c>
      <c r="F315" s="16">
        <v>43861</v>
      </c>
      <c r="G315" s="1">
        <v>10044</v>
      </c>
      <c r="H315" s="16">
        <v>43861</v>
      </c>
      <c r="I315" s="1">
        <v>2555</v>
      </c>
      <c r="J315" s="16">
        <v>43861</v>
      </c>
      <c r="K315" s="1">
        <v>4575</v>
      </c>
      <c r="L315" s="16">
        <v>43861</v>
      </c>
      <c r="M315" s="1">
        <v>830</v>
      </c>
      <c r="N315" s="16">
        <v>43861</v>
      </c>
      <c r="O315" s="1">
        <v>1989.338</v>
      </c>
      <c r="P315" s="16">
        <v>43861</v>
      </c>
      <c r="Q315" s="1">
        <v>10916.242</v>
      </c>
      <c r="R315" s="16">
        <v>43861</v>
      </c>
      <c r="S315" s="1">
        <v>890</v>
      </c>
      <c r="T315" s="16">
        <v>43861</v>
      </c>
      <c r="U315" s="1">
        <v>3818.3670000000002</v>
      </c>
      <c r="V315" s="16">
        <v>43861</v>
      </c>
      <c r="W315" s="1">
        <v>3168.4079999999999</v>
      </c>
      <c r="X315" s="15">
        <v>41243</v>
      </c>
      <c r="Y315" s="8">
        <v>31034</v>
      </c>
      <c r="Z315" s="15">
        <v>41213</v>
      </c>
      <c r="AA315" s="8">
        <v>9800</v>
      </c>
      <c r="AB315" s="15">
        <v>41213</v>
      </c>
      <c r="AC315" s="8">
        <v>2630</v>
      </c>
      <c r="AD315" s="15">
        <v>41213</v>
      </c>
      <c r="AE315" s="8">
        <v>2650</v>
      </c>
      <c r="AF315" s="15">
        <v>41213</v>
      </c>
      <c r="AG315" s="8">
        <v>3350</v>
      </c>
      <c r="AH315" s="15">
        <v>41213</v>
      </c>
      <c r="AI315" s="8">
        <v>1450</v>
      </c>
      <c r="AJ315" s="15">
        <v>41213</v>
      </c>
      <c r="AK315" s="8">
        <v>2090</v>
      </c>
      <c r="AL315" s="15">
        <v>41213</v>
      </c>
      <c r="AM315" s="8">
        <v>2390</v>
      </c>
      <c r="AN315" s="15">
        <v>41213</v>
      </c>
      <c r="AO315" s="8">
        <v>2800</v>
      </c>
      <c r="AP315" s="5"/>
      <c r="AR315" s="11">
        <v>41820</v>
      </c>
      <c r="AS315" s="11">
        <v>41820</v>
      </c>
      <c r="AT315" s="10">
        <v>112.36</v>
      </c>
    </row>
    <row r="316" spans="1:46" x14ac:dyDescent="0.25">
      <c r="A316" s="16">
        <v>27819</v>
      </c>
      <c r="B316" s="1">
        <v>8231</v>
      </c>
      <c r="C316" s="13" t="str">
        <f t="shared" si="4"/>
        <v>92008</v>
      </c>
      <c r="D316" s="2">
        <v>39721</v>
      </c>
      <c r="E316" s="1">
        <v>4278</v>
      </c>
      <c r="F316" s="16">
        <v>43890</v>
      </c>
      <c r="G316" s="1">
        <v>9944</v>
      </c>
      <c r="H316" s="16">
        <v>43890</v>
      </c>
      <c r="I316" s="1">
        <v>2605</v>
      </c>
      <c r="J316" s="16">
        <v>43890</v>
      </c>
      <c r="K316" s="1">
        <v>4675</v>
      </c>
      <c r="L316" s="16">
        <v>43890</v>
      </c>
      <c r="M316" s="1">
        <v>190</v>
      </c>
      <c r="N316" s="16">
        <v>43890</v>
      </c>
      <c r="O316" s="1">
        <v>1959.338</v>
      </c>
      <c r="P316" s="16">
        <v>43890</v>
      </c>
      <c r="Q316" s="1">
        <v>10897.308000000001</v>
      </c>
      <c r="R316" s="16">
        <v>43890</v>
      </c>
      <c r="S316" s="1">
        <v>840</v>
      </c>
      <c r="T316" s="16">
        <v>43890</v>
      </c>
      <c r="U316" s="1">
        <v>3857.71</v>
      </c>
      <c r="V316" s="16">
        <v>43890</v>
      </c>
      <c r="W316" s="1">
        <v>2971.6770000000001</v>
      </c>
      <c r="X316" s="15">
        <v>41274</v>
      </c>
      <c r="Y316" s="8">
        <v>30482</v>
      </c>
      <c r="Z316" s="15">
        <v>41243</v>
      </c>
      <c r="AA316" s="8">
        <v>9700</v>
      </c>
      <c r="AB316" s="15">
        <v>41243</v>
      </c>
      <c r="AC316" s="8">
        <v>2600</v>
      </c>
      <c r="AD316" s="15">
        <v>41243</v>
      </c>
      <c r="AE316" s="8">
        <v>2700</v>
      </c>
      <c r="AF316" s="15">
        <v>41243</v>
      </c>
      <c r="AG316" s="8">
        <v>3350</v>
      </c>
      <c r="AH316" s="15">
        <v>41243</v>
      </c>
      <c r="AI316" s="8">
        <v>1430</v>
      </c>
      <c r="AJ316" s="15">
        <v>41243</v>
      </c>
      <c r="AK316" s="8">
        <v>1910</v>
      </c>
      <c r="AL316" s="15">
        <v>41243</v>
      </c>
      <c r="AM316" s="8">
        <v>2400</v>
      </c>
      <c r="AN316" s="15">
        <v>41243</v>
      </c>
      <c r="AO316" s="8">
        <v>2800</v>
      </c>
      <c r="AP316" s="5"/>
      <c r="AR316" s="11">
        <v>41851</v>
      </c>
      <c r="AS316" s="11">
        <v>41851</v>
      </c>
      <c r="AT316" s="10">
        <v>106.02</v>
      </c>
    </row>
    <row r="317" spans="1:46" x14ac:dyDescent="0.25">
      <c r="A317" s="16">
        <v>27850</v>
      </c>
      <c r="B317" s="1">
        <v>8232</v>
      </c>
      <c r="C317" s="13" t="str">
        <f t="shared" si="4"/>
        <v>102008</v>
      </c>
      <c r="D317" s="2">
        <v>39752</v>
      </c>
      <c r="E317" s="1">
        <v>54</v>
      </c>
      <c r="F317" s="16">
        <v>43921</v>
      </c>
      <c r="G317" s="1">
        <v>9994</v>
      </c>
      <c r="H317" s="16">
        <v>43921</v>
      </c>
      <c r="I317" s="1">
        <v>2555</v>
      </c>
      <c r="J317" s="16">
        <v>43921</v>
      </c>
      <c r="K317" s="1">
        <v>4525</v>
      </c>
      <c r="L317" s="16">
        <v>43921</v>
      </c>
      <c r="M317" s="1">
        <v>140</v>
      </c>
      <c r="N317" s="16">
        <v>43921</v>
      </c>
      <c r="O317" s="1">
        <v>1939.338</v>
      </c>
      <c r="P317" s="16">
        <v>43921</v>
      </c>
      <c r="Q317" s="1">
        <v>10893.825999999999</v>
      </c>
      <c r="R317" s="16">
        <v>43921</v>
      </c>
      <c r="S317" s="1">
        <v>670</v>
      </c>
      <c r="T317" s="16">
        <v>43921</v>
      </c>
      <c r="U317" s="1">
        <v>3820.08</v>
      </c>
      <c r="V317" s="16">
        <v>43921</v>
      </c>
      <c r="W317" s="1">
        <v>2973.386</v>
      </c>
      <c r="X317" s="15">
        <v>41305</v>
      </c>
      <c r="Y317" s="8">
        <v>30142</v>
      </c>
      <c r="Z317" s="15">
        <v>41274</v>
      </c>
      <c r="AA317" s="8">
        <v>9200</v>
      </c>
      <c r="AB317" s="15">
        <v>41274</v>
      </c>
      <c r="AC317" s="8">
        <v>2650</v>
      </c>
      <c r="AD317" s="15">
        <v>41274</v>
      </c>
      <c r="AE317" s="8">
        <v>2660</v>
      </c>
      <c r="AF317" s="15">
        <v>41274</v>
      </c>
      <c r="AG317" s="8">
        <v>3300</v>
      </c>
      <c r="AH317" s="15">
        <v>41274</v>
      </c>
      <c r="AI317" s="8">
        <v>1430</v>
      </c>
      <c r="AJ317" s="15">
        <v>41274</v>
      </c>
      <c r="AK317" s="8">
        <v>1890</v>
      </c>
      <c r="AL317" s="15">
        <v>41274</v>
      </c>
      <c r="AM317" s="8">
        <v>2410</v>
      </c>
      <c r="AN317" s="15">
        <v>41274</v>
      </c>
      <c r="AO317" s="8">
        <v>2800</v>
      </c>
      <c r="AP317" s="5"/>
      <c r="AR317" s="11">
        <v>41880</v>
      </c>
      <c r="AS317" s="11">
        <v>41880</v>
      </c>
      <c r="AT317" s="10">
        <v>103.19</v>
      </c>
    </row>
    <row r="318" spans="1:46" x14ac:dyDescent="0.25">
      <c r="A318" s="16">
        <v>27880</v>
      </c>
      <c r="B318" s="1">
        <v>8077</v>
      </c>
      <c r="C318" s="13" t="str">
        <f t="shared" si="4"/>
        <v>112008</v>
      </c>
      <c r="D318" s="2">
        <v>39780</v>
      </c>
      <c r="E318" s="1">
        <v>-456</v>
      </c>
      <c r="F318" s="16">
        <v>43951</v>
      </c>
      <c r="G318" s="1">
        <v>11794</v>
      </c>
      <c r="H318" s="16">
        <v>43951</v>
      </c>
      <c r="I318" s="1">
        <v>2530</v>
      </c>
      <c r="J318" s="16">
        <v>43951</v>
      </c>
      <c r="K318" s="1">
        <v>4525</v>
      </c>
      <c r="L318" s="16">
        <v>43951</v>
      </c>
      <c r="M318" s="1">
        <v>125</v>
      </c>
      <c r="N318" s="16">
        <v>43951</v>
      </c>
      <c r="O318" s="1">
        <v>1889.338</v>
      </c>
      <c r="P318" s="16">
        <v>43951</v>
      </c>
      <c r="Q318" s="1">
        <v>10934.822</v>
      </c>
      <c r="R318" s="16">
        <v>43951</v>
      </c>
      <c r="S318" s="1">
        <v>620</v>
      </c>
      <c r="T318" s="16">
        <v>43951</v>
      </c>
      <c r="U318" s="1">
        <v>3834.482</v>
      </c>
      <c r="V318" s="16">
        <v>43951</v>
      </c>
      <c r="W318" s="1">
        <v>2958.364</v>
      </c>
      <c r="X318" s="15">
        <v>41333</v>
      </c>
      <c r="Y318" s="8">
        <v>30164</v>
      </c>
      <c r="Z318" s="15">
        <v>41305</v>
      </c>
      <c r="AA318" s="8">
        <v>9100</v>
      </c>
      <c r="AB318" s="15">
        <v>41305</v>
      </c>
      <c r="AC318" s="8">
        <v>2600</v>
      </c>
      <c r="AD318" s="15">
        <v>41305</v>
      </c>
      <c r="AE318" s="8">
        <v>2600</v>
      </c>
      <c r="AF318" s="15">
        <v>41305</v>
      </c>
      <c r="AG318" s="8">
        <v>3200</v>
      </c>
      <c r="AH318" s="15">
        <v>41305</v>
      </c>
      <c r="AI318" s="8">
        <v>1110</v>
      </c>
      <c r="AJ318" s="15">
        <v>41305</v>
      </c>
      <c r="AK318" s="8">
        <v>1990</v>
      </c>
      <c r="AL318" s="15">
        <v>41305</v>
      </c>
      <c r="AM318" s="8">
        <v>2405</v>
      </c>
      <c r="AN318" s="15">
        <v>41305</v>
      </c>
      <c r="AO318" s="8">
        <v>2900</v>
      </c>
      <c r="AP318" s="5"/>
      <c r="AR318" s="11">
        <v>41912</v>
      </c>
      <c r="AS318" s="11">
        <v>41912</v>
      </c>
      <c r="AT318" s="10">
        <v>94.67</v>
      </c>
    </row>
    <row r="319" spans="1:46" x14ac:dyDescent="0.25">
      <c r="A319" s="16">
        <v>27911</v>
      </c>
      <c r="B319" s="1">
        <v>8125</v>
      </c>
      <c r="C319" s="13" t="str">
        <f t="shared" si="4"/>
        <v>122008</v>
      </c>
      <c r="D319" s="2">
        <v>39813</v>
      </c>
      <c r="E319" s="1">
        <v>549</v>
      </c>
      <c r="F319" s="16">
        <v>43982</v>
      </c>
      <c r="G319" s="1">
        <v>8744</v>
      </c>
      <c r="H319" s="16">
        <v>43982</v>
      </c>
      <c r="I319" s="1">
        <v>2530</v>
      </c>
      <c r="J319" s="16">
        <v>43982</v>
      </c>
      <c r="K319" s="1">
        <v>4242</v>
      </c>
      <c r="L319" s="16">
        <v>43982</v>
      </c>
      <c r="M319" s="1">
        <v>120</v>
      </c>
      <c r="N319" s="16">
        <v>43982</v>
      </c>
      <c r="O319" s="1">
        <v>1809.338</v>
      </c>
      <c r="P319" s="16">
        <v>43982</v>
      </c>
      <c r="Q319" s="1">
        <v>8992.7080000000005</v>
      </c>
      <c r="R319" s="16">
        <v>43982</v>
      </c>
      <c r="S319" s="1">
        <v>545</v>
      </c>
      <c r="T319" s="16">
        <v>43982</v>
      </c>
      <c r="U319" s="1">
        <v>3910.9119999999998</v>
      </c>
      <c r="V319" s="16">
        <v>43982</v>
      </c>
      <c r="W319" s="1">
        <v>2765.4349999999999</v>
      </c>
      <c r="X319" s="15">
        <v>41364</v>
      </c>
      <c r="Y319" s="8">
        <v>30294</v>
      </c>
      <c r="Z319" s="15">
        <v>41333</v>
      </c>
      <c r="AA319" s="8">
        <v>9000</v>
      </c>
      <c r="AB319" s="15">
        <v>41333</v>
      </c>
      <c r="AC319" s="8">
        <v>2650</v>
      </c>
      <c r="AD319" s="15">
        <v>41333</v>
      </c>
      <c r="AE319" s="8">
        <v>2630</v>
      </c>
      <c r="AF319" s="15">
        <v>41333</v>
      </c>
      <c r="AG319" s="8">
        <v>3100</v>
      </c>
      <c r="AH319" s="15">
        <v>41333</v>
      </c>
      <c r="AI319" s="8">
        <v>1300</v>
      </c>
      <c r="AJ319" s="15">
        <v>41333</v>
      </c>
      <c r="AK319" s="8">
        <v>2080</v>
      </c>
      <c r="AL319" s="15">
        <v>41333</v>
      </c>
      <c r="AM319" s="8">
        <v>2400</v>
      </c>
      <c r="AN319" s="15">
        <v>41333</v>
      </c>
      <c r="AO319" s="8">
        <v>2850</v>
      </c>
      <c r="AP319" s="5"/>
      <c r="AR319" s="11">
        <v>41943</v>
      </c>
      <c r="AS319" s="11">
        <v>41943</v>
      </c>
      <c r="AT319" s="10">
        <v>85.86</v>
      </c>
    </row>
    <row r="320" spans="1:46" x14ac:dyDescent="0.25">
      <c r="A320" s="16">
        <v>27941</v>
      </c>
      <c r="B320" s="1">
        <v>8094</v>
      </c>
      <c r="C320" s="13" t="str">
        <f t="shared" si="4"/>
        <v>12009</v>
      </c>
      <c r="D320" s="2">
        <v>39843</v>
      </c>
      <c r="E320" s="1">
        <v>7170</v>
      </c>
      <c r="F320" s="16">
        <v>44012</v>
      </c>
      <c r="G320" s="1">
        <v>7894</v>
      </c>
      <c r="H320" s="16">
        <v>44012</v>
      </c>
      <c r="I320" s="1">
        <v>2505</v>
      </c>
      <c r="J320" s="16">
        <v>44012</v>
      </c>
      <c r="K320" s="1">
        <v>3772</v>
      </c>
      <c r="L320" s="16">
        <v>44012</v>
      </c>
      <c r="M320" s="1">
        <v>120</v>
      </c>
      <c r="N320" s="16">
        <v>44012</v>
      </c>
      <c r="O320" s="1">
        <v>1659.338</v>
      </c>
      <c r="P320" s="16">
        <v>44012</v>
      </c>
      <c r="Q320" s="1">
        <v>8925.4490000000005</v>
      </c>
      <c r="R320" s="16">
        <v>44012</v>
      </c>
      <c r="S320" s="1">
        <v>400</v>
      </c>
      <c r="T320" s="16">
        <v>44012</v>
      </c>
      <c r="U320" s="1">
        <v>3835.3710000000001</v>
      </c>
      <c r="V320" s="16">
        <v>44012</v>
      </c>
      <c r="W320" s="1">
        <v>3013.1460000000002</v>
      </c>
      <c r="X320" s="15">
        <v>41394</v>
      </c>
      <c r="Y320" s="8">
        <v>30476</v>
      </c>
      <c r="Z320" s="15">
        <v>41364</v>
      </c>
      <c r="AA320" s="8">
        <v>9100</v>
      </c>
      <c r="AB320" s="15">
        <v>41364</v>
      </c>
      <c r="AC320" s="8">
        <v>2670</v>
      </c>
      <c r="AD320" s="15">
        <v>41364</v>
      </c>
      <c r="AE320" s="8">
        <v>2700</v>
      </c>
      <c r="AF320" s="15">
        <v>41364</v>
      </c>
      <c r="AG320" s="8">
        <v>3200</v>
      </c>
      <c r="AH320" s="15">
        <v>41364</v>
      </c>
      <c r="AI320" s="8">
        <v>1400</v>
      </c>
      <c r="AJ320" s="15">
        <v>41364</v>
      </c>
      <c r="AK320" s="8">
        <v>1810</v>
      </c>
      <c r="AL320" s="15">
        <v>41364</v>
      </c>
      <c r="AM320" s="8">
        <v>2390</v>
      </c>
      <c r="AN320" s="15">
        <v>41364</v>
      </c>
      <c r="AO320" s="8">
        <v>2820</v>
      </c>
      <c r="AP320" s="5"/>
      <c r="AR320" s="11">
        <v>41971</v>
      </c>
      <c r="AS320" s="11">
        <v>41971</v>
      </c>
      <c r="AT320" s="10">
        <v>70.150000000000006</v>
      </c>
    </row>
    <row r="321" spans="1:46" x14ac:dyDescent="0.25">
      <c r="A321" s="16">
        <v>27972</v>
      </c>
      <c r="B321" s="1">
        <v>8127</v>
      </c>
      <c r="C321" s="13" t="str">
        <f t="shared" si="4"/>
        <v>22009</v>
      </c>
      <c r="D321" s="2">
        <v>39871</v>
      </c>
      <c r="E321" s="1">
        <v>-757</v>
      </c>
      <c r="F321" s="16">
        <v>44043</v>
      </c>
      <c r="G321" s="1">
        <v>8594</v>
      </c>
      <c r="H321" s="16">
        <v>44043</v>
      </c>
      <c r="I321" s="1">
        <v>2455</v>
      </c>
      <c r="J321" s="16">
        <v>44043</v>
      </c>
      <c r="K321" s="1">
        <v>3722</v>
      </c>
      <c r="L321" s="16">
        <v>44043</v>
      </c>
      <c r="M321" s="1">
        <v>145</v>
      </c>
      <c r="N321" s="16">
        <v>44043</v>
      </c>
      <c r="O321" s="1">
        <v>1646.1790000000001</v>
      </c>
      <c r="P321" s="16">
        <v>44043</v>
      </c>
      <c r="Q321" s="1">
        <v>8977.9060000000009</v>
      </c>
      <c r="R321" s="16">
        <v>44043</v>
      </c>
      <c r="S321" s="1">
        <v>380</v>
      </c>
      <c r="T321" s="16">
        <v>44043</v>
      </c>
      <c r="U321" s="1">
        <v>3880.8649999999998</v>
      </c>
      <c r="V321" s="16">
        <v>44043</v>
      </c>
      <c r="W321" s="1">
        <v>3078.3049999999998</v>
      </c>
      <c r="X321" s="15">
        <v>41425</v>
      </c>
      <c r="Y321" s="8">
        <v>30594</v>
      </c>
      <c r="Z321" s="15">
        <v>41394</v>
      </c>
      <c r="AA321" s="8">
        <v>9180</v>
      </c>
      <c r="AB321" s="15">
        <v>41394</v>
      </c>
      <c r="AC321" s="8">
        <v>2750</v>
      </c>
      <c r="AD321" s="15">
        <v>41394</v>
      </c>
      <c r="AE321" s="8">
        <v>2550</v>
      </c>
      <c r="AF321" s="15">
        <v>41394</v>
      </c>
      <c r="AG321" s="8">
        <v>3200</v>
      </c>
      <c r="AH321" s="15">
        <v>41394</v>
      </c>
      <c r="AI321" s="8">
        <v>1380</v>
      </c>
      <c r="AJ321" s="15">
        <v>41394</v>
      </c>
      <c r="AK321" s="8">
        <v>1880</v>
      </c>
      <c r="AL321" s="15">
        <v>41394</v>
      </c>
      <c r="AM321" s="8">
        <v>2400</v>
      </c>
      <c r="AN321" s="15">
        <v>41394</v>
      </c>
      <c r="AO321" s="8">
        <v>2930</v>
      </c>
      <c r="AP321" s="5"/>
      <c r="AR321" s="11">
        <v>42004</v>
      </c>
      <c r="AS321" s="11">
        <v>42004</v>
      </c>
      <c r="AT321" s="10">
        <v>57.33</v>
      </c>
    </row>
    <row r="322" spans="1:46" x14ac:dyDescent="0.25">
      <c r="A322" s="16">
        <v>28003</v>
      </c>
      <c r="B322" s="1">
        <v>8111</v>
      </c>
      <c r="C322" s="13" t="str">
        <f t="shared" si="4"/>
        <v>32009</v>
      </c>
      <c r="D322" s="2">
        <v>39903</v>
      </c>
      <c r="E322" s="1">
        <v>2844</v>
      </c>
      <c r="F322" s="16">
        <v>44074</v>
      </c>
      <c r="G322" s="1">
        <v>9094</v>
      </c>
      <c r="H322" s="16">
        <v>44074</v>
      </c>
      <c r="I322" s="1">
        <v>2455</v>
      </c>
      <c r="J322" s="16">
        <v>44074</v>
      </c>
      <c r="K322" s="1">
        <v>3713</v>
      </c>
      <c r="L322" s="16">
        <v>44074</v>
      </c>
      <c r="M322" s="1">
        <v>130</v>
      </c>
      <c r="N322" s="16">
        <v>44074</v>
      </c>
      <c r="O322" s="1">
        <v>1695.7149999999999</v>
      </c>
      <c r="P322" s="16">
        <v>44074</v>
      </c>
      <c r="Q322" s="1">
        <v>9467.5740000000005</v>
      </c>
      <c r="R322" s="16">
        <v>44074</v>
      </c>
      <c r="S322" s="1">
        <v>380</v>
      </c>
      <c r="T322" s="16">
        <v>44074</v>
      </c>
      <c r="U322" s="1">
        <v>3878.3809999999999</v>
      </c>
      <c r="V322" s="16">
        <v>44074</v>
      </c>
      <c r="W322" s="1">
        <v>3086.998</v>
      </c>
      <c r="X322" s="15">
        <v>41455</v>
      </c>
      <c r="Y322" s="8">
        <v>30577</v>
      </c>
      <c r="Z322" s="15">
        <v>41425</v>
      </c>
      <c r="AA322" s="8">
        <v>9350</v>
      </c>
      <c r="AB322" s="15">
        <v>41425</v>
      </c>
      <c r="AC322" s="8">
        <v>2770</v>
      </c>
      <c r="AD322" s="15">
        <v>41425</v>
      </c>
      <c r="AE322" s="8">
        <v>2500</v>
      </c>
      <c r="AF322" s="15">
        <v>41425</v>
      </c>
      <c r="AG322" s="8">
        <v>3150</v>
      </c>
      <c r="AH322" s="15">
        <v>41425</v>
      </c>
      <c r="AI322" s="8">
        <v>1350</v>
      </c>
      <c r="AJ322" s="15">
        <v>41425</v>
      </c>
      <c r="AK322" s="8">
        <v>1870</v>
      </c>
      <c r="AL322" s="15">
        <v>41425</v>
      </c>
      <c r="AM322" s="8">
        <v>2380</v>
      </c>
      <c r="AN322" s="15">
        <v>41425</v>
      </c>
      <c r="AO322" s="8">
        <v>2970</v>
      </c>
      <c r="AP322" s="5"/>
      <c r="AR322" s="11">
        <v>42034</v>
      </c>
      <c r="AS322" s="11">
        <v>42034</v>
      </c>
      <c r="AT322" s="10">
        <v>52.99</v>
      </c>
    </row>
    <row r="323" spans="1:46" x14ac:dyDescent="0.25">
      <c r="A323" s="16">
        <v>28033</v>
      </c>
      <c r="B323" s="1">
        <v>8150</v>
      </c>
      <c r="C323" s="13" t="str">
        <f t="shared" si="4"/>
        <v>42009</v>
      </c>
      <c r="D323" s="2">
        <v>39933</v>
      </c>
      <c r="E323" s="1">
        <v>4053</v>
      </c>
      <c r="F323" s="16">
        <v>44104</v>
      </c>
      <c r="G323" s="1">
        <v>9204</v>
      </c>
      <c r="H323" s="16">
        <v>44104</v>
      </c>
      <c r="I323" s="1">
        <v>2455</v>
      </c>
      <c r="J323" s="16">
        <v>44104</v>
      </c>
      <c r="K323" s="1">
        <v>3733</v>
      </c>
      <c r="L323" s="16">
        <v>44104</v>
      </c>
      <c r="M323" s="1">
        <v>170</v>
      </c>
      <c r="N323" s="16">
        <v>44104</v>
      </c>
      <c r="O323" s="1">
        <v>1701.51</v>
      </c>
      <c r="P323" s="16">
        <v>44104</v>
      </c>
      <c r="Q323" s="1">
        <v>9562.1090000000004</v>
      </c>
      <c r="R323" s="16">
        <v>44104</v>
      </c>
      <c r="S323" s="1">
        <v>360</v>
      </c>
      <c r="T323" s="16">
        <v>44104</v>
      </c>
      <c r="U323" s="1">
        <v>3824.9349999999999</v>
      </c>
      <c r="V323" s="16">
        <v>44104</v>
      </c>
      <c r="W323" s="1">
        <v>2907.1219999999998</v>
      </c>
      <c r="X323" s="15">
        <v>41486</v>
      </c>
      <c r="Y323" s="8">
        <v>30594</v>
      </c>
      <c r="Z323" s="15">
        <v>41455</v>
      </c>
      <c r="AA323" s="8">
        <v>9470</v>
      </c>
      <c r="AB323" s="15">
        <v>41455</v>
      </c>
      <c r="AC323" s="8">
        <v>2790</v>
      </c>
      <c r="AD323" s="15">
        <v>41455</v>
      </c>
      <c r="AE323" s="8">
        <v>2560</v>
      </c>
      <c r="AF323" s="15">
        <v>41455</v>
      </c>
      <c r="AG323" s="8">
        <v>3200</v>
      </c>
      <c r="AH323" s="15">
        <v>41455</v>
      </c>
      <c r="AI323" s="8">
        <v>1130</v>
      </c>
      <c r="AJ323" s="15">
        <v>41455</v>
      </c>
      <c r="AK323" s="8">
        <v>2030</v>
      </c>
      <c r="AL323" s="15">
        <v>41455</v>
      </c>
      <c r="AM323" s="8">
        <v>2371</v>
      </c>
      <c r="AN323" s="15">
        <v>41455</v>
      </c>
      <c r="AO323" s="8">
        <v>2970</v>
      </c>
      <c r="AP323" s="5"/>
      <c r="AR323" s="11">
        <v>42062</v>
      </c>
      <c r="AS323" s="11">
        <v>42062</v>
      </c>
      <c r="AT323" s="10">
        <v>62.58</v>
      </c>
    </row>
    <row r="324" spans="1:46" x14ac:dyDescent="0.25">
      <c r="A324" s="16">
        <v>28064</v>
      </c>
      <c r="B324" s="1">
        <v>8063</v>
      </c>
      <c r="C324" s="13" t="str">
        <f t="shared" si="4"/>
        <v>52009</v>
      </c>
      <c r="D324" s="2">
        <v>39962</v>
      </c>
      <c r="E324" s="1">
        <v>2866</v>
      </c>
      <c r="F324" s="16">
        <v>44135</v>
      </c>
      <c r="G324" s="1">
        <v>9204</v>
      </c>
      <c r="H324" s="16">
        <v>44135</v>
      </c>
      <c r="I324" s="1">
        <v>2455</v>
      </c>
      <c r="J324" s="16">
        <v>44135</v>
      </c>
      <c r="K324" s="1">
        <v>3873</v>
      </c>
      <c r="L324" s="16">
        <v>44135</v>
      </c>
      <c r="M324" s="1">
        <v>490</v>
      </c>
      <c r="N324" s="16">
        <v>44135</v>
      </c>
      <c r="O324" s="1">
        <v>1744.229</v>
      </c>
      <c r="P324" s="16">
        <v>44135</v>
      </c>
      <c r="Q324" s="1">
        <v>9593.5319999999992</v>
      </c>
      <c r="R324" s="16">
        <v>44135</v>
      </c>
      <c r="S324" s="1">
        <v>400</v>
      </c>
      <c r="T324" s="16">
        <v>44135</v>
      </c>
      <c r="U324" s="1">
        <v>3845.5279999999998</v>
      </c>
      <c r="V324" s="16">
        <v>44135</v>
      </c>
      <c r="W324" s="1">
        <v>2873.5859999999998</v>
      </c>
      <c r="X324" s="15">
        <v>41517</v>
      </c>
      <c r="Y324" s="8">
        <v>30709</v>
      </c>
      <c r="Z324" s="15">
        <v>41486</v>
      </c>
      <c r="AA324" s="8">
        <v>9800</v>
      </c>
      <c r="AB324" s="15">
        <v>41486</v>
      </c>
      <c r="AC324" s="8">
        <v>2800</v>
      </c>
      <c r="AD324" s="15">
        <v>41486</v>
      </c>
      <c r="AE324" s="8">
        <v>2560</v>
      </c>
      <c r="AF324" s="15">
        <v>41486</v>
      </c>
      <c r="AG324" s="8">
        <v>3200</v>
      </c>
      <c r="AH324" s="15">
        <v>41486</v>
      </c>
      <c r="AI324" s="8">
        <v>800</v>
      </c>
      <c r="AJ324" s="15">
        <v>41486</v>
      </c>
      <c r="AK324" s="8">
        <v>1920</v>
      </c>
      <c r="AL324" s="15">
        <v>41486</v>
      </c>
      <c r="AM324" s="8">
        <v>2365</v>
      </c>
      <c r="AN324" s="15">
        <v>41486</v>
      </c>
      <c r="AO324" s="8">
        <v>3000</v>
      </c>
      <c r="AP324" s="5"/>
      <c r="AR324" s="11">
        <v>42094</v>
      </c>
      <c r="AS324" s="11">
        <v>42094</v>
      </c>
      <c r="AT324" s="10">
        <v>55.11</v>
      </c>
    </row>
    <row r="325" spans="1:46" x14ac:dyDescent="0.25">
      <c r="A325" s="16">
        <v>28094</v>
      </c>
      <c r="B325" s="1">
        <v>8080</v>
      </c>
      <c r="C325" s="13" t="str">
        <f t="shared" ref="C325:C388" si="5">MONTH(D325)&amp;YEAR(D325)</f>
        <v>62009</v>
      </c>
      <c r="D325" s="2">
        <v>39994</v>
      </c>
      <c r="E325" s="1">
        <v>-3660</v>
      </c>
      <c r="F325" s="16">
        <v>44165</v>
      </c>
      <c r="G325" s="1">
        <v>9204</v>
      </c>
      <c r="H325" s="16">
        <v>44165</v>
      </c>
      <c r="I325" s="1">
        <v>2505</v>
      </c>
      <c r="J325" s="16">
        <v>44165</v>
      </c>
      <c r="K325" s="1">
        <v>3843</v>
      </c>
      <c r="L325" s="16">
        <v>44165</v>
      </c>
      <c r="M325" s="1">
        <v>1130</v>
      </c>
      <c r="N325" s="16">
        <v>44165</v>
      </c>
      <c r="O325" s="1">
        <v>1677.8</v>
      </c>
      <c r="P325" s="16">
        <v>44165</v>
      </c>
      <c r="Q325" s="1">
        <v>9621.9699999999993</v>
      </c>
      <c r="R325" s="16">
        <v>44165</v>
      </c>
      <c r="S325" s="1">
        <v>420</v>
      </c>
      <c r="T325" s="16">
        <v>44165</v>
      </c>
      <c r="U325" s="1">
        <v>3793.1759999999999</v>
      </c>
      <c r="V325" s="16">
        <v>44165</v>
      </c>
      <c r="W325" s="1">
        <v>2754.5819999999999</v>
      </c>
      <c r="X325" s="15">
        <v>41547</v>
      </c>
      <c r="Y325" s="8">
        <v>30253</v>
      </c>
      <c r="Z325" s="15">
        <v>41517</v>
      </c>
      <c r="AA325" s="8">
        <v>9950</v>
      </c>
      <c r="AB325" s="15">
        <v>41517</v>
      </c>
      <c r="AC325" s="8">
        <v>2920</v>
      </c>
      <c r="AD325" s="15">
        <v>41517</v>
      </c>
      <c r="AE325" s="8">
        <v>2570</v>
      </c>
      <c r="AF325" s="15">
        <v>41517</v>
      </c>
      <c r="AG325" s="8">
        <v>3200</v>
      </c>
      <c r="AH325" s="15">
        <v>41517</v>
      </c>
      <c r="AI325" s="8">
        <v>575</v>
      </c>
      <c r="AJ325" s="15">
        <v>41517</v>
      </c>
      <c r="AK325" s="8">
        <v>2020</v>
      </c>
      <c r="AL325" s="15">
        <v>41517</v>
      </c>
      <c r="AM325" s="8">
        <v>2360</v>
      </c>
      <c r="AN325" s="15">
        <v>41517</v>
      </c>
      <c r="AO325" s="8">
        <v>3000</v>
      </c>
      <c r="AP325" s="5"/>
      <c r="AR325" s="11">
        <v>42124</v>
      </c>
      <c r="AS325" s="11">
        <v>42124</v>
      </c>
      <c r="AT325" s="10">
        <v>66.78</v>
      </c>
    </row>
    <row r="326" spans="1:46" x14ac:dyDescent="0.25">
      <c r="A326" s="16">
        <v>28125</v>
      </c>
      <c r="B326" s="1">
        <v>8061</v>
      </c>
      <c r="C326" s="13" t="str">
        <f t="shared" si="5"/>
        <v>72009</v>
      </c>
      <c r="D326" s="2">
        <v>40025</v>
      </c>
      <c r="E326" s="1">
        <v>1670</v>
      </c>
      <c r="F326" s="16">
        <v>44196</v>
      </c>
      <c r="G326" s="1">
        <v>9204</v>
      </c>
      <c r="H326" s="16">
        <v>44196</v>
      </c>
      <c r="I326" s="1">
        <v>2555</v>
      </c>
      <c r="J326" s="16">
        <v>44196</v>
      </c>
      <c r="K326" s="1">
        <v>3883</v>
      </c>
      <c r="L326" s="16">
        <v>44196</v>
      </c>
      <c r="M326" s="1">
        <v>1290</v>
      </c>
      <c r="N326" s="16">
        <v>44196</v>
      </c>
      <c r="O326" s="1">
        <v>1590.5119999999999</v>
      </c>
      <c r="P326" s="16">
        <v>44196</v>
      </c>
      <c r="Q326" s="1">
        <v>9654.7250000000004</v>
      </c>
      <c r="R326" s="16">
        <v>44196</v>
      </c>
      <c r="S326" s="1">
        <v>430</v>
      </c>
      <c r="T326" s="16">
        <v>44196</v>
      </c>
      <c r="U326" s="1">
        <v>3951.9659999999999</v>
      </c>
      <c r="V326" s="16">
        <v>44196</v>
      </c>
      <c r="W326" s="1">
        <v>2726.3560000000002</v>
      </c>
      <c r="X326" s="15">
        <v>41578</v>
      </c>
      <c r="Y326" s="8">
        <v>29922</v>
      </c>
      <c r="Z326" s="15">
        <v>41547</v>
      </c>
      <c r="AA326" s="8">
        <v>10000</v>
      </c>
      <c r="AB326" s="15">
        <v>41547</v>
      </c>
      <c r="AC326" s="8">
        <v>2900</v>
      </c>
      <c r="AD326" s="15">
        <v>41547</v>
      </c>
      <c r="AE326" s="8">
        <v>2600</v>
      </c>
      <c r="AF326" s="15">
        <v>41547</v>
      </c>
      <c r="AG326" s="8">
        <v>2800</v>
      </c>
      <c r="AH326" s="15">
        <v>41547</v>
      </c>
      <c r="AI326" s="8">
        <v>300</v>
      </c>
      <c r="AJ326" s="15">
        <v>41547</v>
      </c>
      <c r="AK326" s="8">
        <v>2150</v>
      </c>
      <c r="AL326" s="15">
        <v>41547</v>
      </c>
      <c r="AM326" s="8">
        <v>2360</v>
      </c>
      <c r="AN326" s="15">
        <v>41547</v>
      </c>
      <c r="AO326" s="8">
        <v>3000</v>
      </c>
      <c r="AP326" s="5"/>
      <c r="AR326" s="11">
        <v>42153</v>
      </c>
      <c r="AS326" s="11">
        <v>42153</v>
      </c>
      <c r="AT326" s="10">
        <v>65.56</v>
      </c>
    </row>
    <row r="327" spans="1:46" x14ac:dyDescent="0.25">
      <c r="A327" s="16">
        <v>28156</v>
      </c>
      <c r="B327" s="1">
        <v>7854</v>
      </c>
      <c r="C327" s="13" t="str">
        <f t="shared" si="5"/>
        <v>82009</v>
      </c>
      <c r="D327" s="2">
        <v>40056</v>
      </c>
      <c r="E327" s="1">
        <v>-372</v>
      </c>
      <c r="F327" s="16">
        <v>44227</v>
      </c>
      <c r="G327" s="1">
        <v>9294</v>
      </c>
      <c r="H327" s="16">
        <v>44227</v>
      </c>
      <c r="I327" s="1">
        <v>2610</v>
      </c>
      <c r="J327" s="16">
        <v>44227</v>
      </c>
      <c r="K327" s="1">
        <v>3885</v>
      </c>
      <c r="L327" s="16">
        <v>44227</v>
      </c>
      <c r="M327" s="1">
        <v>1228</v>
      </c>
      <c r="N327" s="16">
        <v>44227</v>
      </c>
      <c r="O327" s="1">
        <v>1462.643</v>
      </c>
      <c r="P327" s="16">
        <v>44227</v>
      </c>
      <c r="Q327" s="1">
        <v>9765.8809999999994</v>
      </c>
      <c r="R327" s="16">
        <v>44227</v>
      </c>
      <c r="S327" s="1">
        <v>530</v>
      </c>
      <c r="T327" s="16">
        <v>44227</v>
      </c>
      <c r="U327" s="1">
        <v>3896.8620000000001</v>
      </c>
      <c r="V327" s="16">
        <v>44227</v>
      </c>
      <c r="W327" s="1">
        <v>2873.0140000000001</v>
      </c>
      <c r="X327" s="15">
        <v>41608</v>
      </c>
      <c r="Y327" s="8">
        <v>29658</v>
      </c>
      <c r="Z327" s="15">
        <v>41578</v>
      </c>
      <c r="AA327" s="8">
        <v>9800</v>
      </c>
      <c r="AB327" s="15">
        <v>41578</v>
      </c>
      <c r="AC327" s="8">
        <v>2800</v>
      </c>
      <c r="AD327" s="15">
        <v>41578</v>
      </c>
      <c r="AE327" s="8">
        <v>2595</v>
      </c>
      <c r="AF327" s="15">
        <v>41578</v>
      </c>
      <c r="AG327" s="8">
        <v>3080</v>
      </c>
      <c r="AH327" s="15">
        <v>41578</v>
      </c>
      <c r="AI327" s="8">
        <v>250</v>
      </c>
      <c r="AJ327" s="15">
        <v>41578</v>
      </c>
      <c r="AK327" s="8">
        <v>1990</v>
      </c>
      <c r="AL327" s="15">
        <v>41578</v>
      </c>
      <c r="AM327" s="8">
        <v>2355</v>
      </c>
      <c r="AN327" s="15">
        <v>41578</v>
      </c>
      <c r="AO327" s="8">
        <v>2940</v>
      </c>
      <c r="AP327" s="5"/>
      <c r="AR327" s="11">
        <v>42185</v>
      </c>
      <c r="AS327" s="11">
        <v>42185</v>
      </c>
      <c r="AT327" s="10">
        <v>63.59</v>
      </c>
    </row>
    <row r="328" spans="1:46" x14ac:dyDescent="0.25">
      <c r="A328" s="16">
        <v>28184</v>
      </c>
      <c r="B328" s="1">
        <v>8139</v>
      </c>
      <c r="C328" s="13" t="str">
        <f t="shared" si="5"/>
        <v>92009</v>
      </c>
      <c r="D328" s="2">
        <v>40086</v>
      </c>
      <c r="E328" s="1">
        <v>2796</v>
      </c>
      <c r="F328" s="16">
        <v>44255</v>
      </c>
      <c r="G328" s="1">
        <v>8394</v>
      </c>
      <c r="H328" s="16">
        <v>44255</v>
      </c>
      <c r="I328" s="1">
        <v>2760</v>
      </c>
      <c r="J328" s="16">
        <v>44255</v>
      </c>
      <c r="K328" s="1">
        <v>3975</v>
      </c>
      <c r="L328" s="16">
        <v>44255</v>
      </c>
      <c r="M328" s="1">
        <v>1268</v>
      </c>
      <c r="N328" s="16">
        <v>44255</v>
      </c>
      <c r="O328" s="1">
        <v>1594.5229999999999</v>
      </c>
      <c r="P328" s="16">
        <v>44255</v>
      </c>
      <c r="Q328" s="1">
        <v>9708.9740000000002</v>
      </c>
      <c r="R328" s="16">
        <v>44255</v>
      </c>
      <c r="S328" s="1">
        <v>570</v>
      </c>
      <c r="T328" s="16">
        <v>44255</v>
      </c>
      <c r="U328" s="1">
        <v>3980.8180000000002</v>
      </c>
      <c r="V328" s="16">
        <v>44255</v>
      </c>
      <c r="W328" s="1">
        <v>2818.9229999999998</v>
      </c>
      <c r="X328" s="15">
        <v>41639</v>
      </c>
      <c r="Y328" s="8">
        <v>29919</v>
      </c>
      <c r="Z328" s="15">
        <v>41608</v>
      </c>
      <c r="AA328" s="8">
        <v>9650</v>
      </c>
      <c r="AB328" s="15">
        <v>41608</v>
      </c>
      <c r="AC328" s="8">
        <v>2760</v>
      </c>
      <c r="AD328" s="15">
        <v>41608</v>
      </c>
      <c r="AE328" s="8">
        <v>2645</v>
      </c>
      <c r="AF328" s="15">
        <v>41608</v>
      </c>
      <c r="AG328" s="8">
        <v>3100</v>
      </c>
      <c r="AH328" s="15">
        <v>41608</v>
      </c>
      <c r="AI328" s="8">
        <v>210</v>
      </c>
      <c r="AJ328" s="15">
        <v>41608</v>
      </c>
      <c r="AK328" s="8">
        <v>1890</v>
      </c>
      <c r="AL328" s="15">
        <v>41608</v>
      </c>
      <c r="AM328" s="8">
        <v>2355</v>
      </c>
      <c r="AN328" s="15">
        <v>41608</v>
      </c>
      <c r="AO328" s="8">
        <v>2950</v>
      </c>
      <c r="AP328" s="5"/>
      <c r="AR328" s="11">
        <v>42216</v>
      </c>
      <c r="AS328" s="11">
        <v>42216</v>
      </c>
      <c r="AT328" s="10">
        <v>52.21</v>
      </c>
    </row>
    <row r="329" spans="1:46" x14ac:dyDescent="0.25">
      <c r="A329" s="16">
        <v>28215</v>
      </c>
      <c r="B329" s="1">
        <v>8090</v>
      </c>
      <c r="C329" s="13" t="str">
        <f t="shared" si="5"/>
        <v>102009</v>
      </c>
      <c r="D329" s="2">
        <v>40116</v>
      </c>
      <c r="E329" s="1">
        <v>-3936</v>
      </c>
      <c r="F329" s="16">
        <v>44286</v>
      </c>
      <c r="G329" s="1">
        <v>8344</v>
      </c>
      <c r="H329" s="16">
        <v>44286</v>
      </c>
      <c r="I329" s="1">
        <v>2860</v>
      </c>
      <c r="J329" s="16">
        <v>44286</v>
      </c>
      <c r="K329" s="1">
        <v>4025</v>
      </c>
      <c r="L329" s="16">
        <v>44286</v>
      </c>
      <c r="M329" s="1">
        <v>1288</v>
      </c>
      <c r="N329" s="16">
        <v>44286</v>
      </c>
      <c r="O329" s="1">
        <v>1579.873</v>
      </c>
      <c r="P329" s="16">
        <v>44286</v>
      </c>
      <c r="Q329" s="1">
        <v>9858.9009999999998</v>
      </c>
      <c r="R329" s="16">
        <v>44286</v>
      </c>
      <c r="S329" s="1">
        <v>560</v>
      </c>
      <c r="T329" s="16">
        <v>44286</v>
      </c>
      <c r="U329" s="1">
        <v>3948.739</v>
      </c>
      <c r="V329" s="16">
        <v>44286</v>
      </c>
      <c r="W329" s="1">
        <v>2844.32</v>
      </c>
      <c r="X329" s="15">
        <v>41670</v>
      </c>
      <c r="Y329" s="8">
        <v>29768</v>
      </c>
      <c r="Z329" s="15">
        <v>41639</v>
      </c>
      <c r="AA329" s="8">
        <v>9800</v>
      </c>
      <c r="AB329" s="15">
        <v>41639</v>
      </c>
      <c r="AC329" s="8">
        <v>2760</v>
      </c>
      <c r="AD329" s="15">
        <v>41639</v>
      </c>
      <c r="AE329" s="8">
        <v>2680</v>
      </c>
      <c r="AF329" s="15">
        <v>41639</v>
      </c>
      <c r="AG329" s="8">
        <v>3100</v>
      </c>
      <c r="AH329" s="15">
        <v>41639</v>
      </c>
      <c r="AI329" s="8">
        <v>210</v>
      </c>
      <c r="AJ329" s="15">
        <v>41639</v>
      </c>
      <c r="AK329" s="8">
        <v>1931</v>
      </c>
      <c r="AL329" s="15">
        <v>41639</v>
      </c>
      <c r="AM329" s="8">
        <v>2330</v>
      </c>
      <c r="AN329" s="15">
        <v>41639</v>
      </c>
      <c r="AO329" s="8">
        <v>2964</v>
      </c>
      <c r="AP329" s="5"/>
      <c r="AR329" s="11">
        <v>42247</v>
      </c>
      <c r="AS329" s="11">
        <v>42247</v>
      </c>
      <c r="AT329" s="10">
        <v>54.15</v>
      </c>
    </row>
    <row r="330" spans="1:46" x14ac:dyDescent="0.25">
      <c r="A330" s="16">
        <v>28245</v>
      </c>
      <c r="B330" s="1">
        <v>8145</v>
      </c>
      <c r="C330" s="13" t="str">
        <f t="shared" si="5"/>
        <v>112009</v>
      </c>
      <c r="D330" s="2">
        <v>40147</v>
      </c>
      <c r="E330" s="1">
        <v>2091</v>
      </c>
      <c r="F330" s="16">
        <v>44316</v>
      </c>
      <c r="G330" s="1">
        <v>8344</v>
      </c>
      <c r="H330" s="16">
        <v>44316</v>
      </c>
      <c r="I330" s="1">
        <v>3010</v>
      </c>
      <c r="J330" s="16">
        <v>44316</v>
      </c>
      <c r="K330" s="1">
        <v>4025</v>
      </c>
      <c r="L330" s="16">
        <v>44316</v>
      </c>
      <c r="M330" s="1">
        <v>1218</v>
      </c>
      <c r="N330" s="16">
        <v>44316</v>
      </c>
      <c r="O330" s="1">
        <v>1530.4110000000001</v>
      </c>
      <c r="P330" s="16">
        <v>44316</v>
      </c>
      <c r="Q330" s="1">
        <v>10072.496999999999</v>
      </c>
      <c r="R330" s="16">
        <v>44316</v>
      </c>
      <c r="S330" s="1">
        <v>520</v>
      </c>
      <c r="T330" s="16">
        <v>44316</v>
      </c>
      <c r="U330" s="1">
        <v>3966.62</v>
      </c>
      <c r="V330" s="16">
        <v>44316</v>
      </c>
      <c r="W330" s="1">
        <v>2974.123</v>
      </c>
      <c r="X330" s="15">
        <v>41698</v>
      </c>
      <c r="Y330" s="8">
        <v>30290</v>
      </c>
      <c r="Z330" s="15">
        <v>41670</v>
      </c>
      <c r="AA330" s="8">
        <v>9700</v>
      </c>
      <c r="AB330" s="15">
        <v>41670</v>
      </c>
      <c r="AC330" s="8">
        <v>2770</v>
      </c>
      <c r="AD330" s="15">
        <v>41670</v>
      </c>
      <c r="AE330" s="8">
        <v>2700</v>
      </c>
      <c r="AF330" s="15">
        <v>41670</v>
      </c>
      <c r="AG330" s="8">
        <v>3050</v>
      </c>
      <c r="AH330" s="15">
        <v>41670</v>
      </c>
      <c r="AI330" s="8">
        <v>470</v>
      </c>
      <c r="AJ330" s="15">
        <v>41670</v>
      </c>
      <c r="AK330" s="8">
        <v>1925</v>
      </c>
      <c r="AL330" s="15">
        <v>41670</v>
      </c>
      <c r="AM330" s="8">
        <v>2330</v>
      </c>
      <c r="AN330" s="15">
        <v>41670</v>
      </c>
      <c r="AO330" s="8">
        <v>2930</v>
      </c>
      <c r="AP330" s="5"/>
      <c r="AR330" s="11">
        <v>42277</v>
      </c>
      <c r="AS330" s="11">
        <v>42277</v>
      </c>
      <c r="AT330" s="10">
        <v>48.37</v>
      </c>
    </row>
    <row r="331" spans="1:46" x14ac:dyDescent="0.25">
      <c r="A331" s="16">
        <v>28276</v>
      </c>
      <c r="B331" s="1">
        <v>8075</v>
      </c>
      <c r="C331" s="13" t="str">
        <f t="shared" si="5"/>
        <v>122009</v>
      </c>
      <c r="D331" s="2">
        <v>40178</v>
      </c>
      <c r="E331" s="1">
        <v>-1538</v>
      </c>
      <c r="F331" s="16">
        <v>44347</v>
      </c>
      <c r="G331" s="1">
        <v>8676</v>
      </c>
      <c r="H331" s="16">
        <v>44347</v>
      </c>
      <c r="I331" s="1">
        <v>3010</v>
      </c>
      <c r="J331" s="16">
        <v>44347</v>
      </c>
      <c r="K331" s="1">
        <v>4025</v>
      </c>
      <c r="L331" s="16">
        <v>44347</v>
      </c>
      <c r="M331" s="1">
        <v>1248</v>
      </c>
      <c r="N331" s="16">
        <v>44347</v>
      </c>
      <c r="O331" s="1">
        <v>1566.125</v>
      </c>
      <c r="P331" s="16">
        <v>44347</v>
      </c>
      <c r="Q331" s="1">
        <v>10063.218999999999</v>
      </c>
      <c r="R331" s="16">
        <v>44347</v>
      </c>
      <c r="S331" s="1">
        <v>565</v>
      </c>
      <c r="T331" s="16">
        <v>44347</v>
      </c>
      <c r="U331" s="1">
        <v>4012.4560000000001</v>
      </c>
      <c r="V331" s="16">
        <v>44347</v>
      </c>
      <c r="W331" s="1">
        <v>2931.7510000000002</v>
      </c>
      <c r="X331" s="15">
        <v>41729</v>
      </c>
      <c r="Y331" s="8">
        <v>30045</v>
      </c>
      <c r="Z331" s="15">
        <v>41698</v>
      </c>
      <c r="AA331" s="8">
        <v>9650</v>
      </c>
      <c r="AB331" s="15">
        <v>41698</v>
      </c>
      <c r="AC331" s="8">
        <v>2730</v>
      </c>
      <c r="AD331" s="15">
        <v>41698</v>
      </c>
      <c r="AE331" s="8">
        <v>2800</v>
      </c>
      <c r="AF331" s="15">
        <v>41698</v>
      </c>
      <c r="AG331" s="8">
        <v>3400</v>
      </c>
      <c r="AH331" s="15">
        <v>41698</v>
      </c>
      <c r="AI331" s="8">
        <v>350</v>
      </c>
      <c r="AJ331" s="15">
        <v>41698</v>
      </c>
      <c r="AK331" s="8">
        <v>2010</v>
      </c>
      <c r="AL331" s="15">
        <v>41698</v>
      </c>
      <c r="AM331" s="8">
        <v>2330</v>
      </c>
      <c r="AN331" s="15">
        <v>41698</v>
      </c>
      <c r="AO331" s="8">
        <v>2910</v>
      </c>
      <c r="AP331" s="5"/>
      <c r="AR331" s="11">
        <v>42307</v>
      </c>
      <c r="AS331" s="11">
        <v>42307</v>
      </c>
      <c r="AT331" s="10">
        <v>49.56</v>
      </c>
    </row>
    <row r="332" spans="1:46" x14ac:dyDescent="0.25">
      <c r="A332" s="16">
        <v>28306</v>
      </c>
      <c r="B332" s="1">
        <v>8102</v>
      </c>
      <c r="C332" s="13" t="str">
        <f t="shared" si="5"/>
        <v>12010</v>
      </c>
      <c r="D332" s="2">
        <v>40207</v>
      </c>
      <c r="E332" s="1">
        <v>2317</v>
      </c>
      <c r="F332" s="16">
        <v>44377</v>
      </c>
      <c r="G332" s="1">
        <v>9141</v>
      </c>
      <c r="H332" s="16">
        <v>44377</v>
      </c>
      <c r="I332" s="1">
        <v>3060</v>
      </c>
      <c r="J332" s="16">
        <v>44377</v>
      </c>
      <c r="K332" s="1">
        <v>3975</v>
      </c>
      <c r="L332" s="16">
        <v>44377</v>
      </c>
      <c r="M332" s="1">
        <v>1258</v>
      </c>
      <c r="N332" s="16">
        <v>44377</v>
      </c>
      <c r="O332" s="1">
        <v>1532.377</v>
      </c>
      <c r="P332" s="16">
        <v>44377</v>
      </c>
      <c r="Q332" s="1">
        <v>10015.004999999999</v>
      </c>
      <c r="R332" s="16">
        <v>44377</v>
      </c>
      <c r="S332" s="1">
        <v>580</v>
      </c>
      <c r="T332" s="16">
        <v>44377</v>
      </c>
      <c r="U332" s="1">
        <v>3929.239</v>
      </c>
      <c r="V332" s="16">
        <v>44377</v>
      </c>
      <c r="W332" s="1">
        <v>2903.4369999999999</v>
      </c>
      <c r="X332" s="15">
        <v>41759</v>
      </c>
      <c r="Y332" s="8">
        <v>29793</v>
      </c>
      <c r="Z332" s="15">
        <v>41729</v>
      </c>
      <c r="AA332" s="8">
        <v>9600</v>
      </c>
      <c r="AB332" s="15">
        <v>41729</v>
      </c>
      <c r="AC332" s="8">
        <v>2700</v>
      </c>
      <c r="AD332" s="15">
        <v>41729</v>
      </c>
      <c r="AE332" s="8">
        <v>2865</v>
      </c>
      <c r="AF332" s="15">
        <v>41729</v>
      </c>
      <c r="AG332" s="8">
        <v>3350</v>
      </c>
      <c r="AH332" s="15">
        <v>41729</v>
      </c>
      <c r="AI332" s="8">
        <v>250</v>
      </c>
      <c r="AJ332" s="15">
        <v>41729</v>
      </c>
      <c r="AK332" s="8">
        <v>2080</v>
      </c>
      <c r="AL332" s="15">
        <v>41729</v>
      </c>
      <c r="AM332" s="8">
        <v>2330</v>
      </c>
      <c r="AN332" s="15">
        <v>41729</v>
      </c>
      <c r="AO332" s="8">
        <v>2920</v>
      </c>
      <c r="AP332" s="5"/>
      <c r="AR332" s="11">
        <v>42338</v>
      </c>
      <c r="AS332" s="11">
        <v>42338</v>
      </c>
      <c r="AT332" s="10">
        <v>44.61</v>
      </c>
    </row>
    <row r="333" spans="1:46" x14ac:dyDescent="0.25">
      <c r="A333" s="16">
        <v>28337</v>
      </c>
      <c r="B333" s="1">
        <v>8105</v>
      </c>
      <c r="C333" s="13" t="str">
        <f t="shared" si="5"/>
        <v>22010</v>
      </c>
      <c r="D333" s="2">
        <v>40235</v>
      </c>
      <c r="E333" s="1">
        <v>4034</v>
      </c>
      <c r="F333" s="16">
        <v>44408</v>
      </c>
      <c r="G333" s="1">
        <v>9650</v>
      </c>
      <c r="H333" s="16">
        <v>44408</v>
      </c>
      <c r="I333" s="1">
        <v>3060</v>
      </c>
      <c r="J333" s="16">
        <v>44408</v>
      </c>
      <c r="K333" s="1">
        <v>4025</v>
      </c>
      <c r="L333" s="16">
        <v>44408</v>
      </c>
      <c r="M333" s="1">
        <v>1268</v>
      </c>
      <c r="N333" s="16">
        <v>44408</v>
      </c>
      <c r="O333" s="1">
        <v>1559.117</v>
      </c>
      <c r="P333" s="16">
        <v>44408</v>
      </c>
      <c r="Q333" s="1">
        <v>10057.355</v>
      </c>
      <c r="R333" s="16">
        <v>44408</v>
      </c>
      <c r="S333" s="1">
        <v>570</v>
      </c>
      <c r="T333" s="16">
        <v>44408</v>
      </c>
      <c r="U333" s="1">
        <v>3965.4749999999999</v>
      </c>
      <c r="V333" s="16">
        <v>44408</v>
      </c>
      <c r="W333" s="1">
        <v>3045.26</v>
      </c>
      <c r="X333" s="15">
        <v>41790</v>
      </c>
      <c r="Y333" s="8">
        <v>29825</v>
      </c>
      <c r="Z333" s="15">
        <v>41759</v>
      </c>
      <c r="AA333" s="8">
        <v>9600</v>
      </c>
      <c r="AB333" s="15">
        <v>41759</v>
      </c>
      <c r="AC333" s="8">
        <v>2700</v>
      </c>
      <c r="AD333" s="15">
        <v>41759</v>
      </c>
      <c r="AE333" s="8">
        <v>2840</v>
      </c>
      <c r="AF333" s="15">
        <v>41759</v>
      </c>
      <c r="AG333" s="8">
        <v>3250</v>
      </c>
      <c r="AH333" s="15">
        <v>41759</v>
      </c>
      <c r="AI333" s="8">
        <v>215</v>
      </c>
      <c r="AJ333" s="15">
        <v>41759</v>
      </c>
      <c r="AK333" s="8">
        <v>2020</v>
      </c>
      <c r="AL333" s="15">
        <v>41759</v>
      </c>
      <c r="AM333" s="8">
        <v>2330</v>
      </c>
      <c r="AN333" s="15">
        <v>41759</v>
      </c>
      <c r="AO333" s="8">
        <v>2920</v>
      </c>
      <c r="AP333" s="5"/>
      <c r="AR333" s="11">
        <v>42369</v>
      </c>
      <c r="AS333" s="11">
        <v>42369</v>
      </c>
      <c r="AT333" s="10">
        <v>37.28</v>
      </c>
    </row>
    <row r="334" spans="1:46" x14ac:dyDescent="0.25">
      <c r="A334" s="16">
        <v>28368</v>
      </c>
      <c r="B334" s="1">
        <v>8307</v>
      </c>
      <c r="C334" s="13" t="str">
        <f t="shared" si="5"/>
        <v>32010</v>
      </c>
      <c r="D334" s="2">
        <v>40268</v>
      </c>
      <c r="E334" s="1">
        <v>2929</v>
      </c>
      <c r="F334" s="16">
        <v>44439</v>
      </c>
      <c r="G334" s="1">
        <v>9752.1389999999992</v>
      </c>
      <c r="H334" s="16">
        <v>44439</v>
      </c>
      <c r="I334" s="1">
        <v>3010</v>
      </c>
      <c r="J334" s="16">
        <v>44439</v>
      </c>
      <c r="K334" s="1">
        <v>4100</v>
      </c>
      <c r="L334" s="16">
        <v>44439</v>
      </c>
      <c r="M334" s="1">
        <v>1258</v>
      </c>
      <c r="N334" s="16">
        <v>44439</v>
      </c>
      <c r="O334" s="1">
        <v>1386.192</v>
      </c>
      <c r="P334" s="16">
        <v>44439</v>
      </c>
      <c r="Q334" s="1">
        <v>10022.171</v>
      </c>
      <c r="R334" s="16">
        <v>44439</v>
      </c>
      <c r="S334" s="1">
        <v>560</v>
      </c>
      <c r="T334" s="16">
        <v>44439</v>
      </c>
      <c r="U334" s="1">
        <v>3965.192</v>
      </c>
      <c r="V334" s="16">
        <v>44439</v>
      </c>
      <c r="W334" s="1">
        <v>2997.3409999999999</v>
      </c>
      <c r="X334" s="15">
        <v>41820</v>
      </c>
      <c r="Y334" s="8">
        <v>30206</v>
      </c>
      <c r="Z334" s="15">
        <v>41790</v>
      </c>
      <c r="AA334" s="8">
        <v>9670</v>
      </c>
      <c r="AB334" s="15">
        <v>41790</v>
      </c>
      <c r="AC334" s="8">
        <v>2700</v>
      </c>
      <c r="AD334" s="15">
        <v>41790</v>
      </c>
      <c r="AE334" s="8">
        <v>2750</v>
      </c>
      <c r="AF334" s="15">
        <v>41790</v>
      </c>
      <c r="AG334" s="8">
        <v>3300</v>
      </c>
      <c r="AH334" s="15">
        <v>41790</v>
      </c>
      <c r="AI334" s="8">
        <v>250</v>
      </c>
      <c r="AJ334" s="15">
        <v>41790</v>
      </c>
      <c r="AK334" s="8">
        <v>1950</v>
      </c>
      <c r="AL334" s="15">
        <v>41790</v>
      </c>
      <c r="AM334" s="8">
        <v>2340</v>
      </c>
      <c r="AN334" s="15">
        <v>41790</v>
      </c>
      <c r="AO334" s="8">
        <v>2800</v>
      </c>
      <c r="AP334" s="5"/>
      <c r="AR334" s="11">
        <v>42398</v>
      </c>
      <c r="AS334" s="11">
        <v>42398</v>
      </c>
      <c r="AT334" s="10">
        <v>34.74</v>
      </c>
    </row>
    <row r="335" spans="1:46" x14ac:dyDescent="0.25">
      <c r="A335" s="16">
        <v>28398</v>
      </c>
      <c r="B335" s="1">
        <v>8480</v>
      </c>
      <c r="C335" s="13" t="str">
        <f t="shared" si="5"/>
        <v>42010</v>
      </c>
      <c r="D335" s="2">
        <v>40298</v>
      </c>
      <c r="E335" s="1">
        <v>2755</v>
      </c>
      <c r="F335" s="16">
        <v>44469</v>
      </c>
      <c r="G335" s="1">
        <v>9854.2780000000002</v>
      </c>
      <c r="H335" s="16">
        <v>44469</v>
      </c>
      <c r="I335" s="1">
        <v>3010</v>
      </c>
      <c r="J335" s="16">
        <v>44469</v>
      </c>
      <c r="K335" s="1">
        <v>4150</v>
      </c>
      <c r="L335" s="16">
        <v>44469</v>
      </c>
      <c r="M335" s="1">
        <v>1238</v>
      </c>
      <c r="N335" s="16">
        <v>44469</v>
      </c>
      <c r="O335" s="1">
        <v>1533.106</v>
      </c>
      <c r="P335" s="16">
        <v>44469</v>
      </c>
      <c r="Q335" s="1">
        <v>10312.432000000001</v>
      </c>
      <c r="R335" s="16">
        <v>44469</v>
      </c>
      <c r="S335" s="1">
        <v>560</v>
      </c>
      <c r="T335" s="16">
        <v>44469</v>
      </c>
      <c r="U335" s="1">
        <v>4041.241</v>
      </c>
      <c r="V335" s="16">
        <v>44469</v>
      </c>
      <c r="W335" s="1">
        <v>3000.8009999999999</v>
      </c>
      <c r="X335" s="15">
        <v>41851</v>
      </c>
      <c r="Y335" s="8">
        <v>30022</v>
      </c>
      <c r="Z335" s="15">
        <v>41820</v>
      </c>
      <c r="AA335" s="8">
        <v>9800</v>
      </c>
      <c r="AB335" s="15">
        <v>41820</v>
      </c>
      <c r="AC335" s="8">
        <v>2800</v>
      </c>
      <c r="AD335" s="15">
        <v>41820</v>
      </c>
      <c r="AE335" s="8">
        <v>2840</v>
      </c>
      <c r="AF335" s="15">
        <v>41820</v>
      </c>
      <c r="AG335" s="8">
        <v>3100</v>
      </c>
      <c r="AH335" s="15">
        <v>41820</v>
      </c>
      <c r="AI335" s="8">
        <v>300</v>
      </c>
      <c r="AJ335" s="15">
        <v>41820</v>
      </c>
      <c r="AK335" s="8">
        <v>2150</v>
      </c>
      <c r="AL335" s="15">
        <v>41820</v>
      </c>
      <c r="AM335" s="8">
        <v>2350</v>
      </c>
      <c r="AN335" s="15">
        <v>41820</v>
      </c>
      <c r="AO335" s="8">
        <v>2800</v>
      </c>
      <c r="AP335" s="5"/>
      <c r="AR335" s="11">
        <v>42429</v>
      </c>
      <c r="AS335" s="11">
        <v>42429</v>
      </c>
      <c r="AT335" s="10">
        <v>35.97</v>
      </c>
    </row>
    <row r="336" spans="1:46" x14ac:dyDescent="0.25">
      <c r="A336" s="16">
        <v>28429</v>
      </c>
      <c r="B336" s="1">
        <v>8573</v>
      </c>
      <c r="C336" s="13" t="str">
        <f t="shared" si="5"/>
        <v>52010</v>
      </c>
      <c r="D336" s="2">
        <v>40329</v>
      </c>
      <c r="E336" s="1">
        <v>-1902</v>
      </c>
      <c r="F336" s="16">
        <v>44500</v>
      </c>
      <c r="G336" s="1">
        <v>10006.416999999999</v>
      </c>
      <c r="H336" s="16">
        <v>44500</v>
      </c>
      <c r="I336" s="1">
        <v>3010</v>
      </c>
      <c r="J336" s="16">
        <v>44500</v>
      </c>
      <c r="K336" s="1">
        <v>4225</v>
      </c>
      <c r="L336" s="16">
        <v>44500</v>
      </c>
      <c r="M336" s="1">
        <v>1238</v>
      </c>
      <c r="N336" s="16">
        <v>44500</v>
      </c>
      <c r="O336" s="1">
        <v>1492.0050000000001</v>
      </c>
      <c r="P336" s="16">
        <v>44500</v>
      </c>
      <c r="Q336" s="1">
        <v>10439.153</v>
      </c>
      <c r="R336" s="16">
        <v>44500</v>
      </c>
      <c r="S336" s="1">
        <v>630</v>
      </c>
      <c r="T336" s="16">
        <v>44500</v>
      </c>
      <c r="U336" s="1">
        <v>3961.2339999999999</v>
      </c>
      <c r="V336" s="16">
        <v>44500</v>
      </c>
      <c r="W336" s="1">
        <v>2777.616</v>
      </c>
      <c r="X336" s="15">
        <v>41882</v>
      </c>
      <c r="Y336" s="8">
        <v>30402</v>
      </c>
      <c r="Z336" s="15">
        <v>41851</v>
      </c>
      <c r="AA336" s="8">
        <v>9820</v>
      </c>
      <c r="AB336" s="15">
        <v>41851</v>
      </c>
      <c r="AC336" s="8">
        <v>2800</v>
      </c>
      <c r="AD336" s="15">
        <v>41851</v>
      </c>
      <c r="AE336" s="8">
        <v>2830</v>
      </c>
      <c r="AF336" s="15">
        <v>41851</v>
      </c>
      <c r="AG336" s="8">
        <v>3000</v>
      </c>
      <c r="AH336" s="15">
        <v>41851</v>
      </c>
      <c r="AI336" s="8">
        <v>400</v>
      </c>
      <c r="AJ336" s="15">
        <v>41851</v>
      </c>
      <c r="AK336" s="8">
        <v>1920</v>
      </c>
      <c r="AL336" s="15">
        <v>41851</v>
      </c>
      <c r="AM336" s="8">
        <v>2355</v>
      </c>
      <c r="AN336" s="15">
        <v>41851</v>
      </c>
      <c r="AO336" s="8">
        <v>2880</v>
      </c>
      <c r="AP336" s="5"/>
      <c r="AR336" s="11">
        <v>42460</v>
      </c>
      <c r="AS336" s="11">
        <v>42460</v>
      </c>
      <c r="AT336" s="10">
        <v>39.6</v>
      </c>
    </row>
    <row r="337" spans="1:46" x14ac:dyDescent="0.25">
      <c r="A337" s="16">
        <v>28459</v>
      </c>
      <c r="B337" s="1">
        <v>8579</v>
      </c>
      <c r="C337" s="13" t="str">
        <f t="shared" si="5"/>
        <v>62010</v>
      </c>
      <c r="D337" s="2">
        <v>40359</v>
      </c>
      <c r="E337" s="1">
        <v>-2007</v>
      </c>
      <c r="F337" s="16">
        <v>44530</v>
      </c>
      <c r="G337" s="1">
        <v>10095</v>
      </c>
      <c r="H337" s="16">
        <v>44530</v>
      </c>
      <c r="I337" s="1">
        <v>3010</v>
      </c>
      <c r="J337" s="16">
        <v>44530</v>
      </c>
      <c r="K337" s="1">
        <v>4275</v>
      </c>
      <c r="L337" s="16">
        <v>44530</v>
      </c>
      <c r="M337" s="1">
        <v>1218</v>
      </c>
      <c r="N337" s="16">
        <v>44530</v>
      </c>
      <c r="O337" s="1">
        <v>1545.5219999999999</v>
      </c>
      <c r="P337" s="16">
        <v>44530</v>
      </c>
      <c r="Q337" s="1">
        <v>10502.597</v>
      </c>
      <c r="R337" s="16">
        <v>44530</v>
      </c>
      <c r="S337" s="1">
        <v>710</v>
      </c>
      <c r="T337" s="16">
        <v>44530</v>
      </c>
      <c r="U337" s="1">
        <v>3968.2260000000001</v>
      </c>
      <c r="V337" s="16">
        <v>44530</v>
      </c>
      <c r="W337" s="1">
        <v>2851.681</v>
      </c>
      <c r="X337" s="15">
        <v>41912</v>
      </c>
      <c r="Y337" s="8">
        <v>30801</v>
      </c>
      <c r="Z337" s="15">
        <v>41882</v>
      </c>
      <c r="AA337" s="8">
        <v>9600</v>
      </c>
      <c r="AB337" s="15">
        <v>41882</v>
      </c>
      <c r="AC337" s="8">
        <v>2800</v>
      </c>
      <c r="AD337" s="15">
        <v>41882</v>
      </c>
      <c r="AE337" s="8">
        <v>2800</v>
      </c>
      <c r="AF337" s="15">
        <v>41882</v>
      </c>
      <c r="AG337" s="8">
        <v>3100</v>
      </c>
      <c r="AH337" s="15">
        <v>41882</v>
      </c>
      <c r="AI337" s="8">
        <v>500</v>
      </c>
      <c r="AJ337" s="15">
        <v>41882</v>
      </c>
      <c r="AK337" s="8">
        <v>2200</v>
      </c>
      <c r="AL337" s="15">
        <v>41882</v>
      </c>
      <c r="AM337" s="8">
        <v>2351</v>
      </c>
      <c r="AN337" s="15">
        <v>41882</v>
      </c>
      <c r="AO337" s="8">
        <v>2890</v>
      </c>
      <c r="AP337" s="5"/>
      <c r="AR337" s="11">
        <v>42489</v>
      </c>
      <c r="AS337" s="11">
        <v>42489</v>
      </c>
      <c r="AT337" s="10">
        <v>48.13</v>
      </c>
    </row>
    <row r="338" spans="1:46" x14ac:dyDescent="0.25">
      <c r="A338" s="16">
        <v>28490</v>
      </c>
      <c r="B338" s="1">
        <v>8487</v>
      </c>
      <c r="C338" s="13" t="str">
        <f t="shared" si="5"/>
        <v>72010</v>
      </c>
      <c r="D338" s="2">
        <v>40389</v>
      </c>
      <c r="E338" s="1">
        <v>-2784</v>
      </c>
      <c r="F338" s="16">
        <v>44561</v>
      </c>
      <c r="G338" s="1">
        <v>10105</v>
      </c>
      <c r="H338" s="16">
        <v>44561</v>
      </c>
      <c r="I338" s="1">
        <v>3010</v>
      </c>
      <c r="J338" s="16">
        <v>44561</v>
      </c>
      <c r="K338" s="1">
        <v>4325</v>
      </c>
      <c r="L338" s="16">
        <v>44561</v>
      </c>
      <c r="M338" s="1">
        <v>1128</v>
      </c>
      <c r="N338" s="16">
        <v>44561</v>
      </c>
      <c r="O338" s="1">
        <v>1497.481</v>
      </c>
      <c r="P338" s="16">
        <v>44561</v>
      </c>
      <c r="Q338" s="1">
        <v>10499.449000000001</v>
      </c>
      <c r="R338" s="16">
        <v>44561</v>
      </c>
      <c r="S338" s="1">
        <v>780</v>
      </c>
      <c r="T338" s="16">
        <v>44561</v>
      </c>
      <c r="U338" s="1">
        <v>3877.2159999999999</v>
      </c>
      <c r="V338" s="16">
        <v>44561</v>
      </c>
      <c r="W338" s="1">
        <v>2838.3719999999998</v>
      </c>
      <c r="X338" s="15">
        <v>41943</v>
      </c>
      <c r="Y338" s="8">
        <v>30864</v>
      </c>
      <c r="Z338" s="15">
        <v>41912</v>
      </c>
      <c r="AA338" s="8">
        <v>9650</v>
      </c>
      <c r="AB338" s="15">
        <v>41912</v>
      </c>
      <c r="AC338" s="8">
        <v>2850</v>
      </c>
      <c r="AD338" s="15">
        <v>41912</v>
      </c>
      <c r="AE338" s="8">
        <v>2780</v>
      </c>
      <c r="AF338" s="15">
        <v>41912</v>
      </c>
      <c r="AG338" s="8">
        <v>3150</v>
      </c>
      <c r="AH338" s="15">
        <v>41912</v>
      </c>
      <c r="AI338" s="8">
        <v>780</v>
      </c>
      <c r="AJ338" s="15">
        <v>41912</v>
      </c>
      <c r="AK338" s="8">
        <v>2130</v>
      </c>
      <c r="AL338" s="15">
        <v>41912</v>
      </c>
      <c r="AM338" s="8">
        <v>2351</v>
      </c>
      <c r="AN338" s="15">
        <v>41912</v>
      </c>
      <c r="AO338" s="8">
        <v>2900</v>
      </c>
      <c r="AP338" s="5"/>
      <c r="AR338" s="11">
        <v>42521</v>
      </c>
      <c r="AS338" s="11">
        <v>42521</v>
      </c>
      <c r="AT338" s="10">
        <v>49.69</v>
      </c>
    </row>
    <row r="339" spans="1:46" x14ac:dyDescent="0.25">
      <c r="A339" s="16">
        <v>28521</v>
      </c>
      <c r="B339" s="1">
        <v>8360</v>
      </c>
      <c r="C339" s="13" t="str">
        <f t="shared" si="5"/>
        <v>82010</v>
      </c>
      <c r="D339" s="2">
        <v>40421</v>
      </c>
      <c r="E339" s="1">
        <v>3425</v>
      </c>
      <c r="F339" s="16">
        <v>44592</v>
      </c>
      <c r="G339" s="1">
        <v>10225</v>
      </c>
      <c r="H339" s="16">
        <v>44592</v>
      </c>
      <c r="I339" s="1">
        <v>3095</v>
      </c>
      <c r="J339" s="16">
        <v>44592</v>
      </c>
      <c r="K339" s="1">
        <v>4275</v>
      </c>
      <c r="L339" s="16">
        <v>44592</v>
      </c>
      <c r="M339" s="1">
        <v>1058</v>
      </c>
      <c r="N339" s="16">
        <v>44592</v>
      </c>
      <c r="O339" s="1">
        <v>1488.6510000000001</v>
      </c>
      <c r="P339" s="16">
        <v>44592</v>
      </c>
      <c r="Q339" s="1">
        <v>10598.285</v>
      </c>
      <c r="R339" s="16">
        <v>44592</v>
      </c>
      <c r="S339" s="1">
        <v>710</v>
      </c>
      <c r="T339" s="16">
        <v>44592</v>
      </c>
      <c r="U339" s="1">
        <v>4184.1289999999999</v>
      </c>
      <c r="V339" s="16">
        <v>44592</v>
      </c>
      <c r="W339" s="1">
        <v>3032.4810000000002</v>
      </c>
      <c r="X339" s="15">
        <v>41973</v>
      </c>
      <c r="Y339" s="8">
        <v>30241</v>
      </c>
      <c r="Z339" s="15">
        <v>41943</v>
      </c>
      <c r="AA339" s="8">
        <v>9750</v>
      </c>
      <c r="AB339" s="15">
        <v>41943</v>
      </c>
      <c r="AC339" s="8">
        <v>2850</v>
      </c>
      <c r="AD339" s="15">
        <v>41943</v>
      </c>
      <c r="AE339" s="8">
        <v>2780</v>
      </c>
      <c r="AF339" s="15">
        <v>41943</v>
      </c>
      <c r="AG339" s="8">
        <v>3300</v>
      </c>
      <c r="AH339" s="15">
        <v>41943</v>
      </c>
      <c r="AI339" s="8">
        <v>850</v>
      </c>
      <c r="AJ339" s="15">
        <v>41943</v>
      </c>
      <c r="AK339" s="8">
        <v>2090</v>
      </c>
      <c r="AL339" s="15">
        <v>41943</v>
      </c>
      <c r="AM339" s="8">
        <v>2349</v>
      </c>
      <c r="AN339" s="15">
        <v>41943</v>
      </c>
      <c r="AO339" s="8">
        <v>2850</v>
      </c>
      <c r="AP339" s="5"/>
      <c r="AR339" s="11">
        <v>42551</v>
      </c>
      <c r="AS339" s="11">
        <v>42551</v>
      </c>
      <c r="AT339" s="10">
        <v>49.68</v>
      </c>
    </row>
    <row r="340" spans="1:46" x14ac:dyDescent="0.25">
      <c r="A340" s="16">
        <v>28549</v>
      </c>
      <c r="B340" s="1">
        <v>8377</v>
      </c>
      <c r="C340" s="13" t="str">
        <f t="shared" si="5"/>
        <v>92010</v>
      </c>
      <c r="D340" s="2">
        <v>40451</v>
      </c>
      <c r="E340" s="1">
        <v>-475</v>
      </c>
      <c r="F340" s="16">
        <v>44620</v>
      </c>
      <c r="G340" s="1">
        <v>10475</v>
      </c>
      <c r="H340" s="16">
        <v>44620</v>
      </c>
      <c r="I340" s="1">
        <v>3145</v>
      </c>
      <c r="J340" s="16">
        <v>44620</v>
      </c>
      <c r="K340" s="1">
        <v>4375</v>
      </c>
      <c r="L340" s="16">
        <v>44620</v>
      </c>
      <c r="M340" s="1">
        <v>1208</v>
      </c>
      <c r="N340" s="16">
        <v>44620</v>
      </c>
      <c r="O340" s="1">
        <v>1521.5409999999999</v>
      </c>
      <c r="P340" s="16">
        <v>44620</v>
      </c>
      <c r="Q340" s="1">
        <v>10651.403</v>
      </c>
      <c r="R340" s="16">
        <v>44620</v>
      </c>
      <c r="S340" s="1">
        <v>730</v>
      </c>
      <c r="T340" s="16">
        <v>44620</v>
      </c>
      <c r="U340" s="1">
        <v>4092.1280000000002</v>
      </c>
      <c r="V340" s="16">
        <v>44620</v>
      </c>
      <c r="W340" s="1">
        <v>2916.5549999999998</v>
      </c>
      <c r="X340" s="15">
        <v>42004</v>
      </c>
      <c r="Y340" s="8">
        <v>30302</v>
      </c>
      <c r="Z340" s="15">
        <v>41973</v>
      </c>
      <c r="AA340" s="8">
        <v>9650</v>
      </c>
      <c r="AB340" s="15">
        <v>41973</v>
      </c>
      <c r="AC340" s="8">
        <v>2800</v>
      </c>
      <c r="AD340" s="15">
        <v>41973</v>
      </c>
      <c r="AE340" s="8">
        <v>2780</v>
      </c>
      <c r="AF340" s="15">
        <v>41973</v>
      </c>
      <c r="AG340" s="8">
        <v>3370</v>
      </c>
      <c r="AH340" s="15">
        <v>41973</v>
      </c>
      <c r="AI340" s="8">
        <v>580</v>
      </c>
      <c r="AJ340" s="15">
        <v>41973</v>
      </c>
      <c r="AK340" s="8">
        <v>1970</v>
      </c>
      <c r="AL340" s="15">
        <v>41973</v>
      </c>
      <c r="AM340" s="8">
        <v>2350</v>
      </c>
      <c r="AN340" s="15">
        <v>41973</v>
      </c>
      <c r="AO340" s="8">
        <v>2790</v>
      </c>
      <c r="AP340" s="5"/>
      <c r="AR340" s="11">
        <v>42580</v>
      </c>
      <c r="AS340" s="11">
        <v>42580</v>
      </c>
      <c r="AT340" s="10">
        <v>42.46</v>
      </c>
    </row>
    <row r="341" spans="1:46" x14ac:dyDescent="0.25">
      <c r="A341" s="16">
        <v>28580</v>
      </c>
      <c r="B341" s="1">
        <v>8720</v>
      </c>
      <c r="C341" s="13" t="str">
        <f t="shared" si="5"/>
        <v>102010</v>
      </c>
      <c r="D341" s="2">
        <v>40480</v>
      </c>
      <c r="E341" s="1">
        <v>1950</v>
      </c>
      <c r="F341" s="16">
        <v>44651</v>
      </c>
      <c r="G341" s="1">
        <v>10225</v>
      </c>
      <c r="H341" s="16">
        <v>44651</v>
      </c>
      <c r="I341" s="1">
        <v>3195</v>
      </c>
      <c r="J341" s="16">
        <v>44651</v>
      </c>
      <c r="K341" s="1">
        <v>4325</v>
      </c>
      <c r="L341" s="16">
        <v>44651</v>
      </c>
      <c r="M341" s="1">
        <v>1158</v>
      </c>
      <c r="N341" s="16">
        <v>44651</v>
      </c>
      <c r="O341" s="1">
        <v>1414.472</v>
      </c>
      <c r="P341" s="16">
        <v>44651</v>
      </c>
      <c r="Q341" s="1">
        <v>10607.743</v>
      </c>
      <c r="R341" s="16">
        <v>44651</v>
      </c>
      <c r="S341" s="1">
        <v>755</v>
      </c>
      <c r="T341" s="16">
        <v>44651</v>
      </c>
      <c r="U341" s="1">
        <v>4170.1109999999999</v>
      </c>
      <c r="V341" s="16">
        <v>44651</v>
      </c>
      <c r="W341" s="1">
        <v>2981.1840000000002</v>
      </c>
      <c r="X341" s="15">
        <v>42035</v>
      </c>
      <c r="Y341" s="8">
        <v>30285</v>
      </c>
      <c r="Z341" s="15">
        <v>42004</v>
      </c>
      <c r="AA341" s="8">
        <v>9500</v>
      </c>
      <c r="AB341" s="15">
        <v>42004</v>
      </c>
      <c r="AC341" s="8">
        <v>2700</v>
      </c>
      <c r="AD341" s="15">
        <v>42004</v>
      </c>
      <c r="AE341" s="8">
        <v>2770</v>
      </c>
      <c r="AF341" s="15">
        <v>42004</v>
      </c>
      <c r="AG341" s="8">
        <v>3700</v>
      </c>
      <c r="AH341" s="15">
        <v>42004</v>
      </c>
      <c r="AI341" s="8">
        <v>450</v>
      </c>
      <c r="AJ341" s="15">
        <v>42004</v>
      </c>
      <c r="AK341" s="8">
        <v>2080</v>
      </c>
      <c r="AL341" s="15">
        <v>42004</v>
      </c>
      <c r="AM341" s="8">
        <v>2348</v>
      </c>
      <c r="AN341" s="15">
        <v>42004</v>
      </c>
      <c r="AO341" s="8">
        <v>2790</v>
      </c>
      <c r="AP341" s="5"/>
      <c r="AR341" s="11">
        <v>42613</v>
      </c>
      <c r="AS341" s="11">
        <v>42613</v>
      </c>
      <c r="AT341" s="10">
        <v>47.04</v>
      </c>
    </row>
    <row r="342" spans="1:46" x14ac:dyDescent="0.25">
      <c r="A342" s="16">
        <v>28610</v>
      </c>
      <c r="B342" s="1">
        <v>8818</v>
      </c>
      <c r="C342" s="13" t="str">
        <f t="shared" si="5"/>
        <v>112010</v>
      </c>
      <c r="D342" s="2">
        <v>40512</v>
      </c>
      <c r="E342" s="1">
        <v>1066</v>
      </c>
      <c r="F342" s="16">
        <v>44681</v>
      </c>
      <c r="G342" s="1">
        <v>10535</v>
      </c>
      <c r="H342" s="16">
        <v>44681</v>
      </c>
      <c r="I342" s="1">
        <v>3195</v>
      </c>
      <c r="J342" s="16">
        <v>44681</v>
      </c>
      <c r="K342" s="1">
        <v>4425</v>
      </c>
      <c r="L342" s="16">
        <v>44681</v>
      </c>
      <c r="M342" s="1">
        <v>988</v>
      </c>
      <c r="N342" s="16">
        <v>44681</v>
      </c>
      <c r="O342" s="1">
        <v>1399.71</v>
      </c>
      <c r="P342" s="16">
        <v>44681</v>
      </c>
      <c r="Q342" s="1">
        <v>9643.1790000000001</v>
      </c>
      <c r="R342" s="16">
        <v>44681</v>
      </c>
      <c r="S342" s="1">
        <v>780</v>
      </c>
      <c r="T342" s="16">
        <v>44681</v>
      </c>
      <c r="U342" s="1">
        <v>4139.1000000000004</v>
      </c>
      <c r="V342" s="16">
        <v>44681</v>
      </c>
      <c r="W342" s="1">
        <v>2999.107</v>
      </c>
      <c r="X342" s="15">
        <v>42063</v>
      </c>
      <c r="Y342" s="8">
        <v>30428</v>
      </c>
      <c r="Z342" s="15">
        <v>42035</v>
      </c>
      <c r="AA342" s="8">
        <v>9720</v>
      </c>
      <c r="AB342" s="15">
        <v>42035</v>
      </c>
      <c r="AC342" s="8">
        <v>2700</v>
      </c>
      <c r="AD342" s="15">
        <v>42035</v>
      </c>
      <c r="AE342" s="8">
        <v>2780</v>
      </c>
      <c r="AF342" s="15">
        <v>42035</v>
      </c>
      <c r="AG342" s="8">
        <v>3400</v>
      </c>
      <c r="AH342" s="15">
        <v>42035</v>
      </c>
      <c r="AI342" s="8">
        <v>300</v>
      </c>
      <c r="AJ342" s="15">
        <v>42035</v>
      </c>
      <c r="AK342" s="8">
        <v>2040</v>
      </c>
      <c r="AL342" s="15">
        <v>42035</v>
      </c>
      <c r="AM342" s="8">
        <v>2348</v>
      </c>
      <c r="AN342" s="15">
        <v>42035</v>
      </c>
      <c r="AO342" s="8">
        <v>2850</v>
      </c>
      <c r="AP342" s="5"/>
      <c r="AR342" s="11">
        <v>42643</v>
      </c>
      <c r="AS342" s="11">
        <v>42643</v>
      </c>
      <c r="AT342" s="10">
        <v>49.06</v>
      </c>
    </row>
    <row r="343" spans="1:46" x14ac:dyDescent="0.25">
      <c r="A343" s="16">
        <v>28641</v>
      </c>
      <c r="B343" s="1">
        <v>8825</v>
      </c>
      <c r="C343" s="13" t="str">
        <f t="shared" si="5"/>
        <v>122010</v>
      </c>
      <c r="D343" s="2">
        <v>40543</v>
      </c>
      <c r="E343" s="1">
        <v>-4161</v>
      </c>
      <c r="F343" s="16">
        <v>44712</v>
      </c>
      <c r="G343" s="1">
        <v>10485</v>
      </c>
      <c r="H343" s="16">
        <v>44712</v>
      </c>
      <c r="I343" s="1">
        <v>3095</v>
      </c>
      <c r="J343" s="16">
        <v>44712</v>
      </c>
      <c r="K343" s="1">
        <v>4425</v>
      </c>
      <c r="L343" s="16">
        <v>44712</v>
      </c>
      <c r="M343" s="1">
        <v>808</v>
      </c>
      <c r="N343" s="16">
        <v>44712</v>
      </c>
      <c r="O343" s="1">
        <v>1246.046</v>
      </c>
      <c r="P343" s="16">
        <v>44712</v>
      </c>
      <c r="Q343" s="1">
        <v>9788.1790000000001</v>
      </c>
      <c r="R343" s="16">
        <v>44712</v>
      </c>
      <c r="S343" s="1">
        <v>750</v>
      </c>
      <c r="T343" s="16">
        <v>44712</v>
      </c>
      <c r="U343" s="1">
        <v>4136.09</v>
      </c>
      <c r="V343" s="16">
        <v>44712</v>
      </c>
      <c r="W343" s="1">
        <v>2878.7930000000001</v>
      </c>
      <c r="X343" s="15">
        <v>42094</v>
      </c>
      <c r="Y343" s="8">
        <v>31176</v>
      </c>
      <c r="Z343" s="15">
        <v>42063</v>
      </c>
      <c r="AA343" s="8">
        <v>9800</v>
      </c>
      <c r="AB343" s="15">
        <v>42063</v>
      </c>
      <c r="AC343" s="8">
        <v>2800</v>
      </c>
      <c r="AD343" s="15">
        <v>42063</v>
      </c>
      <c r="AE343" s="8">
        <v>2780</v>
      </c>
      <c r="AF343" s="15">
        <v>42063</v>
      </c>
      <c r="AG343" s="8">
        <v>3450</v>
      </c>
      <c r="AH343" s="15">
        <v>42063</v>
      </c>
      <c r="AI343" s="8">
        <v>250</v>
      </c>
      <c r="AJ343" s="15">
        <v>42063</v>
      </c>
      <c r="AK343" s="8">
        <v>1990</v>
      </c>
      <c r="AL343" s="15">
        <v>42063</v>
      </c>
      <c r="AM343" s="8">
        <v>2349</v>
      </c>
      <c r="AN343" s="15">
        <v>42063</v>
      </c>
      <c r="AO343" s="8">
        <v>2850</v>
      </c>
      <c r="AP343" s="5"/>
      <c r="AR343" s="11">
        <v>42674</v>
      </c>
      <c r="AS343" s="11">
        <v>42674</v>
      </c>
      <c r="AT343" s="10">
        <v>48.3</v>
      </c>
    </row>
    <row r="344" spans="1:46" x14ac:dyDescent="0.25">
      <c r="A344" s="16">
        <v>28671</v>
      </c>
      <c r="B344" s="1">
        <v>8832</v>
      </c>
      <c r="C344" s="13" t="str">
        <f t="shared" si="5"/>
        <v>12011</v>
      </c>
      <c r="D344" s="2">
        <v>40574</v>
      </c>
      <c r="E344" s="1">
        <v>2594</v>
      </c>
      <c r="F344" s="16">
        <v>44742</v>
      </c>
      <c r="G344" s="1">
        <v>10585</v>
      </c>
      <c r="H344" s="16">
        <v>44742</v>
      </c>
      <c r="I344" s="1">
        <v>3095</v>
      </c>
      <c r="J344" s="16">
        <v>44742</v>
      </c>
      <c r="K344" s="1">
        <v>4475</v>
      </c>
      <c r="L344" s="16">
        <v>44742</v>
      </c>
      <c r="M344" s="1">
        <v>728</v>
      </c>
      <c r="N344" s="16">
        <v>44742</v>
      </c>
      <c r="O344" s="1">
        <v>1268.44</v>
      </c>
      <c r="P344" s="16">
        <v>44742</v>
      </c>
      <c r="Q344" s="1">
        <v>10298.179</v>
      </c>
      <c r="R344" s="16">
        <v>44742</v>
      </c>
      <c r="S344" s="1">
        <v>730</v>
      </c>
      <c r="T344" s="16">
        <v>44742</v>
      </c>
      <c r="U344" s="1">
        <v>4182.0690000000004</v>
      </c>
      <c r="V344" s="16">
        <v>44742</v>
      </c>
      <c r="W344" s="1">
        <v>2828.55</v>
      </c>
      <c r="X344" s="15">
        <v>42124</v>
      </c>
      <c r="Y344" s="8">
        <v>31392</v>
      </c>
      <c r="Z344" s="15">
        <v>42094</v>
      </c>
      <c r="AA344" s="8">
        <v>10100</v>
      </c>
      <c r="AB344" s="15">
        <v>42094</v>
      </c>
      <c r="AC344" s="8">
        <v>2800</v>
      </c>
      <c r="AD344" s="15">
        <v>42094</v>
      </c>
      <c r="AE344" s="8">
        <v>2780</v>
      </c>
      <c r="AF344" s="15">
        <v>42094</v>
      </c>
      <c r="AG344" s="8">
        <v>3750</v>
      </c>
      <c r="AH344" s="15">
        <v>42094</v>
      </c>
      <c r="AI344" s="8">
        <v>480</v>
      </c>
      <c r="AJ344" s="15">
        <v>42094</v>
      </c>
      <c r="AK344" s="8">
        <v>1900</v>
      </c>
      <c r="AL344" s="15">
        <v>42094</v>
      </c>
      <c r="AM344" s="8">
        <v>2349</v>
      </c>
      <c r="AN344" s="15">
        <v>42094</v>
      </c>
      <c r="AO344" s="8">
        <v>2850</v>
      </c>
      <c r="AP344" s="5"/>
      <c r="AR344" s="11">
        <v>42704</v>
      </c>
      <c r="AS344" s="11">
        <v>42704</v>
      </c>
      <c r="AT344" s="10">
        <v>50.47</v>
      </c>
    </row>
    <row r="345" spans="1:46" x14ac:dyDescent="0.25">
      <c r="A345" s="16">
        <v>28702</v>
      </c>
      <c r="B345" s="1">
        <v>8756</v>
      </c>
      <c r="C345" s="13" t="str">
        <f t="shared" si="5"/>
        <v>22011</v>
      </c>
      <c r="D345" s="2">
        <v>40602</v>
      </c>
      <c r="E345" s="1">
        <v>-364</v>
      </c>
      <c r="F345" s="16">
        <v>44773</v>
      </c>
      <c r="G345" s="1">
        <v>10835</v>
      </c>
      <c r="H345" s="16">
        <v>44773</v>
      </c>
      <c r="I345" s="1">
        <v>3095</v>
      </c>
      <c r="J345" s="16">
        <v>44773</v>
      </c>
      <c r="K345" s="1">
        <v>4575</v>
      </c>
      <c r="L345" s="16">
        <v>44773</v>
      </c>
      <c r="M345" s="1">
        <v>678</v>
      </c>
      <c r="N345" s="16">
        <v>44773</v>
      </c>
      <c r="O345" s="1">
        <v>1216.4390000000001</v>
      </c>
      <c r="P345" s="16">
        <v>44773</v>
      </c>
      <c r="Q345" s="1">
        <v>10336.179</v>
      </c>
      <c r="R345" s="16">
        <v>44773</v>
      </c>
      <c r="S345" s="1">
        <v>650</v>
      </c>
      <c r="T345" s="16">
        <v>44773</v>
      </c>
      <c r="U345" s="1">
        <v>4029.0830000000001</v>
      </c>
      <c r="V345" s="16">
        <v>44773</v>
      </c>
      <c r="W345" s="1">
        <v>2962.5239999999999</v>
      </c>
      <c r="X345" s="15">
        <v>42155</v>
      </c>
      <c r="Y345" s="8">
        <v>31270</v>
      </c>
      <c r="Z345" s="15">
        <v>42124</v>
      </c>
      <c r="AA345" s="8">
        <v>10250</v>
      </c>
      <c r="AB345" s="15">
        <v>42124</v>
      </c>
      <c r="AC345" s="8">
        <v>2900</v>
      </c>
      <c r="AD345" s="15">
        <v>42124</v>
      </c>
      <c r="AE345" s="8">
        <v>2780</v>
      </c>
      <c r="AF345" s="15">
        <v>42124</v>
      </c>
      <c r="AG345" s="8">
        <v>3673</v>
      </c>
      <c r="AH345" s="15">
        <v>42124</v>
      </c>
      <c r="AI345" s="8">
        <v>520</v>
      </c>
      <c r="AJ345" s="15">
        <v>42124</v>
      </c>
      <c r="AK345" s="8">
        <v>1980</v>
      </c>
      <c r="AL345" s="15">
        <v>42124</v>
      </c>
      <c r="AM345" s="8">
        <v>2362</v>
      </c>
      <c r="AN345" s="15">
        <v>42124</v>
      </c>
      <c r="AO345" s="8">
        <v>2850</v>
      </c>
      <c r="AP345" s="5"/>
      <c r="AR345" s="11">
        <v>42734</v>
      </c>
      <c r="AS345" s="11">
        <v>42734</v>
      </c>
      <c r="AT345" s="10">
        <v>56.82</v>
      </c>
    </row>
    <row r="346" spans="1:46" x14ac:dyDescent="0.25">
      <c r="A346" s="16">
        <v>28733</v>
      </c>
      <c r="B346" s="1">
        <v>8758</v>
      </c>
      <c r="C346" s="13" t="str">
        <f t="shared" si="5"/>
        <v>32011</v>
      </c>
      <c r="D346" s="2">
        <v>40633</v>
      </c>
      <c r="E346" s="1">
        <v>2945</v>
      </c>
      <c r="F346" s="16">
        <v>44804</v>
      </c>
      <c r="G346" s="1">
        <v>11185</v>
      </c>
      <c r="H346" s="16">
        <v>44804</v>
      </c>
      <c r="I346" s="1">
        <v>3145</v>
      </c>
      <c r="J346" s="16">
        <v>44804</v>
      </c>
      <c r="K346" s="1">
        <v>4575</v>
      </c>
      <c r="L346" s="16">
        <v>44804</v>
      </c>
      <c r="M346" s="1">
        <v>1198</v>
      </c>
      <c r="N346" s="16">
        <v>44804</v>
      </c>
      <c r="O346" s="1">
        <v>1102.0519999999999</v>
      </c>
      <c r="P346" s="16">
        <v>44804</v>
      </c>
      <c r="Q346" s="1">
        <v>10227.18</v>
      </c>
      <c r="R346" s="16">
        <v>44804</v>
      </c>
      <c r="S346" s="1">
        <v>730</v>
      </c>
      <c r="T346" s="16">
        <v>44804</v>
      </c>
      <c r="U346" s="1">
        <v>3988.1060000000002</v>
      </c>
      <c r="V346" s="16">
        <v>44804</v>
      </c>
      <c r="W346" s="1">
        <v>3086.6210000000001</v>
      </c>
      <c r="X346" s="15">
        <v>42185</v>
      </c>
      <c r="Y346" s="8">
        <v>32349</v>
      </c>
      <c r="Z346" s="15">
        <v>42155</v>
      </c>
      <c r="AA346" s="8">
        <v>10300</v>
      </c>
      <c r="AB346" s="15">
        <v>42155</v>
      </c>
      <c r="AC346" s="8">
        <v>2900</v>
      </c>
      <c r="AD346" s="15">
        <v>42155</v>
      </c>
      <c r="AE346" s="8">
        <v>2800</v>
      </c>
      <c r="AF346" s="15">
        <v>42155</v>
      </c>
      <c r="AG346" s="8">
        <v>3821</v>
      </c>
      <c r="AH346" s="15">
        <v>42155</v>
      </c>
      <c r="AI346" s="8">
        <v>415</v>
      </c>
      <c r="AJ346" s="15">
        <v>42155</v>
      </c>
      <c r="AK346" s="8">
        <v>1820</v>
      </c>
      <c r="AL346" s="15">
        <v>42155</v>
      </c>
      <c r="AM346" s="8">
        <v>2362</v>
      </c>
      <c r="AN346" s="15">
        <v>42155</v>
      </c>
      <c r="AO346" s="8">
        <v>2830</v>
      </c>
      <c r="AP346" s="5"/>
      <c r="AR346" s="11">
        <v>42766</v>
      </c>
      <c r="AS346" s="11">
        <v>42766</v>
      </c>
      <c r="AT346" s="10">
        <v>55.7</v>
      </c>
    </row>
    <row r="347" spans="1:46" x14ac:dyDescent="0.25">
      <c r="A347" s="16">
        <v>28763</v>
      </c>
      <c r="B347" s="1">
        <v>8800</v>
      </c>
      <c r="C347" s="13" t="str">
        <f t="shared" si="5"/>
        <v>42011</v>
      </c>
      <c r="D347" s="2">
        <v>40662</v>
      </c>
      <c r="E347" s="1">
        <v>3421</v>
      </c>
      <c r="F347" s="16">
        <v>44834</v>
      </c>
      <c r="G347" s="1">
        <v>11235</v>
      </c>
      <c r="H347" s="16">
        <v>44834</v>
      </c>
      <c r="I347" s="1">
        <v>3125</v>
      </c>
      <c r="J347" s="16">
        <v>44834</v>
      </c>
      <c r="K347" s="1">
        <v>4575</v>
      </c>
      <c r="L347" s="16">
        <v>44834</v>
      </c>
      <c r="M347" s="1">
        <v>1228</v>
      </c>
      <c r="N347" s="16">
        <v>44834</v>
      </c>
      <c r="O347" s="1">
        <v>1153.768</v>
      </c>
      <c r="P347" s="16">
        <v>44834</v>
      </c>
      <c r="Q347" s="1">
        <v>10360.18</v>
      </c>
      <c r="R347" s="16">
        <v>44834</v>
      </c>
      <c r="S347" s="1">
        <v>700</v>
      </c>
      <c r="T347" s="16">
        <v>44834</v>
      </c>
      <c r="U347" s="1">
        <v>4041.116</v>
      </c>
      <c r="V347" s="16">
        <v>44834</v>
      </c>
      <c r="W347" s="1">
        <v>3147.846</v>
      </c>
      <c r="X347" s="15">
        <v>42216</v>
      </c>
      <c r="Y347" s="8">
        <v>32088</v>
      </c>
      <c r="Z347" s="15">
        <v>42185</v>
      </c>
      <c r="AA347" s="8">
        <v>10500</v>
      </c>
      <c r="AB347" s="15">
        <v>42185</v>
      </c>
      <c r="AC347" s="8">
        <v>2900</v>
      </c>
      <c r="AD347" s="15">
        <v>42185</v>
      </c>
      <c r="AE347" s="8">
        <v>2850</v>
      </c>
      <c r="AF347" s="15">
        <v>42185</v>
      </c>
      <c r="AG347" s="8">
        <v>4388</v>
      </c>
      <c r="AH347" s="15">
        <v>42185</v>
      </c>
      <c r="AI347" s="8">
        <v>400</v>
      </c>
      <c r="AJ347" s="15">
        <v>42185</v>
      </c>
      <c r="AK347" s="8">
        <v>1950</v>
      </c>
      <c r="AL347" s="15">
        <v>42185</v>
      </c>
      <c r="AM347" s="8">
        <v>2366</v>
      </c>
      <c r="AN347" s="15">
        <v>42185</v>
      </c>
      <c r="AO347" s="8">
        <v>2835</v>
      </c>
      <c r="AP347" s="5"/>
      <c r="AR347" s="11">
        <v>42794</v>
      </c>
      <c r="AS347" s="11">
        <v>42794</v>
      </c>
      <c r="AT347" s="10">
        <v>55.59</v>
      </c>
    </row>
    <row r="348" spans="1:46" x14ac:dyDescent="0.25">
      <c r="A348" s="16">
        <v>28794</v>
      </c>
      <c r="B348" s="1">
        <v>8820</v>
      </c>
      <c r="C348" s="13" t="str">
        <f t="shared" si="5"/>
        <v>52011</v>
      </c>
      <c r="D348" s="2">
        <v>40694</v>
      </c>
      <c r="E348" s="1">
        <v>2878</v>
      </c>
      <c r="F348" s="16">
        <v>44865</v>
      </c>
      <c r="G348" s="1">
        <v>10735</v>
      </c>
      <c r="H348" s="16">
        <v>44865</v>
      </c>
      <c r="I348" s="1">
        <v>3145</v>
      </c>
      <c r="J348" s="16">
        <v>44865</v>
      </c>
      <c r="K348" s="1">
        <v>4605</v>
      </c>
      <c r="L348" s="16">
        <v>44865</v>
      </c>
      <c r="M348" s="1">
        <v>1238</v>
      </c>
      <c r="N348" s="16">
        <v>44865</v>
      </c>
      <c r="O348" s="1">
        <v>1187.655</v>
      </c>
      <c r="P348" s="16">
        <v>44865</v>
      </c>
      <c r="Q348" s="1">
        <v>10335.18</v>
      </c>
      <c r="R348" s="16">
        <v>44865</v>
      </c>
      <c r="S348" s="1">
        <v>750</v>
      </c>
      <c r="T348" s="16">
        <v>44865</v>
      </c>
      <c r="U348" s="1">
        <v>4059.123</v>
      </c>
      <c r="V348" s="16">
        <v>44865</v>
      </c>
      <c r="W348" s="1">
        <v>3244.5160000000001</v>
      </c>
      <c r="X348" s="15">
        <v>42247</v>
      </c>
      <c r="Y348" s="8">
        <v>32161</v>
      </c>
      <c r="Z348" s="15">
        <v>42216</v>
      </c>
      <c r="AA348" s="8">
        <v>10570</v>
      </c>
      <c r="AB348" s="15">
        <v>42216</v>
      </c>
      <c r="AC348" s="8">
        <v>2800</v>
      </c>
      <c r="AD348" s="15">
        <v>42216</v>
      </c>
      <c r="AE348" s="8">
        <v>2850</v>
      </c>
      <c r="AF348" s="15">
        <v>42216</v>
      </c>
      <c r="AG348" s="8">
        <v>4295</v>
      </c>
      <c r="AH348" s="15">
        <v>42216</v>
      </c>
      <c r="AI348" s="8">
        <v>380</v>
      </c>
      <c r="AJ348" s="15">
        <v>42216</v>
      </c>
      <c r="AK348" s="8">
        <v>1880</v>
      </c>
      <c r="AL348" s="15">
        <v>42216</v>
      </c>
      <c r="AM348" s="8">
        <v>2370</v>
      </c>
      <c r="AN348" s="15">
        <v>42216</v>
      </c>
      <c r="AO348" s="8">
        <v>2825</v>
      </c>
      <c r="AP348" s="5"/>
      <c r="AR348" s="11">
        <v>42825</v>
      </c>
      <c r="AS348" s="11">
        <v>42825</v>
      </c>
      <c r="AT348" s="10">
        <v>52.83</v>
      </c>
    </row>
    <row r="349" spans="1:46" x14ac:dyDescent="0.25">
      <c r="A349" s="16">
        <v>28824</v>
      </c>
      <c r="B349" s="1">
        <v>8741</v>
      </c>
      <c r="C349" s="13" t="str">
        <f t="shared" si="5"/>
        <v>62011</v>
      </c>
      <c r="D349" s="2">
        <v>40724</v>
      </c>
      <c r="E349" s="1">
        <v>-4375</v>
      </c>
      <c r="F349" s="16">
        <v>44895</v>
      </c>
      <c r="G349" s="1">
        <v>10725</v>
      </c>
      <c r="H349" s="16">
        <v>44895</v>
      </c>
      <c r="I349" s="1">
        <v>3155</v>
      </c>
      <c r="J349" s="16">
        <v>44895</v>
      </c>
      <c r="K349" s="1">
        <v>4505</v>
      </c>
      <c r="L349" s="16">
        <v>44895</v>
      </c>
      <c r="M349" s="1">
        <v>1188</v>
      </c>
      <c r="N349" s="16">
        <v>44895</v>
      </c>
      <c r="O349" s="1">
        <v>1247.799</v>
      </c>
      <c r="P349" s="16">
        <v>44895</v>
      </c>
      <c r="Q349" s="1">
        <v>10485.18</v>
      </c>
      <c r="R349" s="16">
        <v>44895</v>
      </c>
      <c r="S349" s="1">
        <v>700</v>
      </c>
      <c r="T349" s="16">
        <v>44895</v>
      </c>
      <c r="U349" s="1">
        <v>4079.125</v>
      </c>
      <c r="V349" s="16">
        <v>44895</v>
      </c>
      <c r="W349" s="1">
        <v>3095.4810000000002</v>
      </c>
      <c r="X349" s="15">
        <v>42277</v>
      </c>
      <c r="Y349" s="8">
        <v>32017</v>
      </c>
      <c r="Z349" s="15">
        <v>42247</v>
      </c>
      <c r="AA349" s="8">
        <v>10500</v>
      </c>
      <c r="AB349" s="15">
        <v>42247</v>
      </c>
      <c r="AC349" s="8">
        <v>2950</v>
      </c>
      <c r="AD349" s="15">
        <v>42247</v>
      </c>
      <c r="AE349" s="8">
        <v>2900</v>
      </c>
      <c r="AF349" s="15">
        <v>42247</v>
      </c>
      <c r="AG349" s="8">
        <v>4299</v>
      </c>
      <c r="AH349" s="15">
        <v>42247</v>
      </c>
      <c r="AI349" s="8">
        <v>355</v>
      </c>
      <c r="AJ349" s="15">
        <v>42247</v>
      </c>
      <c r="AK349" s="8">
        <v>1905</v>
      </c>
      <c r="AL349" s="15">
        <v>42247</v>
      </c>
      <c r="AM349" s="8">
        <v>2370</v>
      </c>
      <c r="AN349" s="15">
        <v>42247</v>
      </c>
      <c r="AO349" s="8">
        <v>2850</v>
      </c>
      <c r="AP349" s="5"/>
      <c r="AR349" s="11">
        <v>42853</v>
      </c>
      <c r="AS349" s="11">
        <v>42853</v>
      </c>
      <c r="AT349" s="10">
        <v>51.73</v>
      </c>
    </row>
    <row r="350" spans="1:46" x14ac:dyDescent="0.25">
      <c r="A350" s="16">
        <v>28855</v>
      </c>
      <c r="B350" s="1">
        <v>8662</v>
      </c>
      <c r="C350" s="13" t="str">
        <f t="shared" si="5"/>
        <v>72011</v>
      </c>
      <c r="D350" s="2">
        <v>40753</v>
      </c>
      <c r="E350" s="1">
        <v>950</v>
      </c>
      <c r="F350" s="16">
        <v>44926</v>
      </c>
      <c r="G350" s="1">
        <v>10725</v>
      </c>
      <c r="H350" s="16">
        <v>44926</v>
      </c>
      <c r="I350" s="1">
        <v>3155</v>
      </c>
      <c r="J350" s="16">
        <v>44926</v>
      </c>
      <c r="K350" s="1">
        <v>4505</v>
      </c>
      <c r="L350" s="16">
        <v>44926</v>
      </c>
      <c r="M350" s="1">
        <v>1228</v>
      </c>
      <c r="N350" s="16">
        <v>44926</v>
      </c>
      <c r="O350" s="1">
        <v>1270.4000000000001</v>
      </c>
      <c r="P350" s="16">
        <v>44926</v>
      </c>
      <c r="Q350" s="1">
        <v>10513.183000000001</v>
      </c>
      <c r="R350" s="16">
        <v>44926</v>
      </c>
      <c r="S350" s="1">
        <v>700</v>
      </c>
      <c r="T350" s="16">
        <v>44926</v>
      </c>
      <c r="U350" s="1">
        <v>3972.15</v>
      </c>
      <c r="V350" s="16">
        <v>44926</v>
      </c>
      <c r="W350" s="1">
        <v>3073.7649999999999</v>
      </c>
      <c r="X350" s="15">
        <v>42308</v>
      </c>
      <c r="Y350" s="8">
        <v>32034</v>
      </c>
      <c r="Z350" s="15">
        <v>42277</v>
      </c>
      <c r="AA350" s="8">
        <v>10300</v>
      </c>
      <c r="AB350" s="15">
        <v>42277</v>
      </c>
      <c r="AC350" s="8">
        <v>2950</v>
      </c>
      <c r="AD350" s="15">
        <v>42277</v>
      </c>
      <c r="AE350" s="8">
        <v>2800</v>
      </c>
      <c r="AF350" s="15">
        <v>42277</v>
      </c>
      <c r="AG350" s="8">
        <v>4247</v>
      </c>
      <c r="AH350" s="15">
        <v>42277</v>
      </c>
      <c r="AI350" s="8">
        <v>350</v>
      </c>
      <c r="AJ350" s="15">
        <v>42277</v>
      </c>
      <c r="AK350" s="8">
        <v>1980</v>
      </c>
      <c r="AL350" s="15">
        <v>42277</v>
      </c>
      <c r="AM350" s="8">
        <v>2380</v>
      </c>
      <c r="AN350" s="15">
        <v>42277</v>
      </c>
      <c r="AO350" s="8">
        <v>2940</v>
      </c>
      <c r="AP350" s="5"/>
      <c r="AR350" s="11">
        <v>42886</v>
      </c>
      <c r="AS350" s="11">
        <v>42886</v>
      </c>
      <c r="AT350" s="10">
        <v>50.31</v>
      </c>
    </row>
    <row r="351" spans="1:46" x14ac:dyDescent="0.25">
      <c r="A351" s="16">
        <v>28886</v>
      </c>
      <c r="B351" s="1">
        <v>8475</v>
      </c>
      <c r="C351" s="13" t="str">
        <f t="shared" si="5"/>
        <v>82011</v>
      </c>
      <c r="D351" s="2">
        <v>40786</v>
      </c>
      <c r="E351" s="1">
        <v>5281</v>
      </c>
      <c r="F351" s="16">
        <v>44957</v>
      </c>
      <c r="G351" s="1">
        <v>10015</v>
      </c>
      <c r="H351" s="16">
        <v>44957</v>
      </c>
      <c r="I351" s="1">
        <v>3153</v>
      </c>
      <c r="J351" s="16">
        <v>44957</v>
      </c>
      <c r="K351" s="1">
        <v>4455</v>
      </c>
      <c r="L351" s="16">
        <v>44957</v>
      </c>
      <c r="M351" s="1">
        <v>1208</v>
      </c>
      <c r="N351" s="16">
        <v>44957</v>
      </c>
      <c r="O351" s="1">
        <v>1387.18</v>
      </c>
      <c r="P351" s="16">
        <v>44957</v>
      </c>
      <c r="Q351" s="1">
        <v>10521.579</v>
      </c>
      <c r="R351" s="16">
        <v>44957</v>
      </c>
      <c r="S351" s="1">
        <v>750</v>
      </c>
      <c r="T351" s="16">
        <v>44957</v>
      </c>
      <c r="U351" s="1">
        <v>4167.0330000000004</v>
      </c>
      <c r="V351" s="16">
        <v>44957</v>
      </c>
      <c r="W351" s="1">
        <v>3274.3829999999998</v>
      </c>
      <c r="X351" s="15">
        <v>42338</v>
      </c>
      <c r="Y351" s="8">
        <v>32001</v>
      </c>
      <c r="Z351" s="15">
        <v>42308</v>
      </c>
      <c r="AA351" s="8">
        <v>10300</v>
      </c>
      <c r="AB351" s="15">
        <v>42308</v>
      </c>
      <c r="AC351" s="8">
        <v>2970</v>
      </c>
      <c r="AD351" s="15">
        <v>42308</v>
      </c>
      <c r="AE351" s="8">
        <v>2800</v>
      </c>
      <c r="AF351" s="15">
        <v>42308</v>
      </c>
      <c r="AG351" s="8">
        <v>4217</v>
      </c>
      <c r="AH351" s="15">
        <v>42308</v>
      </c>
      <c r="AI351" s="8">
        <v>430</v>
      </c>
      <c r="AJ351" s="15">
        <v>42308</v>
      </c>
      <c r="AK351" s="8">
        <v>2019</v>
      </c>
      <c r="AL351" s="15">
        <v>42308</v>
      </c>
      <c r="AM351" s="8">
        <v>2380</v>
      </c>
      <c r="AN351" s="15">
        <v>42308</v>
      </c>
      <c r="AO351" s="8">
        <v>2820</v>
      </c>
      <c r="AP351" s="5"/>
      <c r="AR351" s="11">
        <v>42916</v>
      </c>
      <c r="AS351" s="11">
        <v>42916</v>
      </c>
      <c r="AT351" s="10">
        <v>47.92</v>
      </c>
    </row>
    <row r="352" spans="1:46" x14ac:dyDescent="0.25">
      <c r="A352" s="16">
        <v>28914</v>
      </c>
      <c r="B352" s="1">
        <v>8525</v>
      </c>
      <c r="C352" s="13" t="str">
        <f t="shared" si="5"/>
        <v>92011</v>
      </c>
      <c r="D352" s="2">
        <v>40816</v>
      </c>
      <c r="E352" s="1">
        <v>-4679</v>
      </c>
      <c r="F352" s="16">
        <v>44985</v>
      </c>
      <c r="G352" s="1">
        <v>10215</v>
      </c>
      <c r="H352" s="16">
        <v>44985</v>
      </c>
      <c r="I352" s="1">
        <v>3213</v>
      </c>
      <c r="J352" s="16">
        <v>44985</v>
      </c>
      <c r="K352" s="1">
        <v>4455</v>
      </c>
      <c r="L352" s="16">
        <v>44985</v>
      </c>
      <c r="M352" s="1">
        <v>1238</v>
      </c>
      <c r="N352" s="16">
        <v>44985</v>
      </c>
      <c r="O352" s="1">
        <v>1449.751</v>
      </c>
      <c r="P352" s="16">
        <v>44985</v>
      </c>
      <c r="Q352" s="1">
        <v>10691.444</v>
      </c>
      <c r="R352" s="16">
        <v>44985</v>
      </c>
      <c r="S352" s="1">
        <v>700</v>
      </c>
      <c r="T352" s="16">
        <v>44985</v>
      </c>
      <c r="U352" s="1">
        <v>4294.1030000000001</v>
      </c>
      <c r="V352" s="16">
        <v>44985</v>
      </c>
      <c r="W352" s="1">
        <v>3261.5590000000002</v>
      </c>
      <c r="X352" s="15">
        <v>42369</v>
      </c>
      <c r="Y352" s="8">
        <v>32945</v>
      </c>
      <c r="Z352" s="15">
        <v>42338</v>
      </c>
      <c r="AA352" s="8">
        <v>10330</v>
      </c>
      <c r="AB352" s="15">
        <v>42338</v>
      </c>
      <c r="AC352" s="8">
        <v>2940</v>
      </c>
      <c r="AD352" s="15">
        <v>42338</v>
      </c>
      <c r="AE352" s="8">
        <v>2800</v>
      </c>
      <c r="AF352" s="15">
        <v>42338</v>
      </c>
      <c r="AG352" s="8">
        <v>4321</v>
      </c>
      <c r="AH352" s="15">
        <v>42338</v>
      </c>
      <c r="AI352" s="8">
        <v>375</v>
      </c>
      <c r="AJ352" s="15">
        <v>42338</v>
      </c>
      <c r="AK352" s="8">
        <v>1876</v>
      </c>
      <c r="AL352" s="15">
        <v>42338</v>
      </c>
      <c r="AM352" s="8">
        <v>2360</v>
      </c>
      <c r="AN352" s="15">
        <v>42338</v>
      </c>
      <c r="AO352" s="8">
        <v>2850</v>
      </c>
      <c r="AP352" s="5"/>
      <c r="AR352" s="11">
        <v>42947</v>
      </c>
      <c r="AS352" s="11">
        <v>42947</v>
      </c>
      <c r="AT352" s="10">
        <v>52.65</v>
      </c>
    </row>
    <row r="353" spans="1:46" x14ac:dyDescent="0.25">
      <c r="A353" s="16">
        <v>28945</v>
      </c>
      <c r="B353" s="1">
        <v>8601</v>
      </c>
      <c r="C353" s="13" t="str">
        <f t="shared" si="5"/>
        <v>102011</v>
      </c>
      <c r="D353" s="2">
        <v>40847</v>
      </c>
      <c r="E353" s="1">
        <v>1826</v>
      </c>
      <c r="F353" s="16">
        <v>45016</v>
      </c>
      <c r="G353" s="1">
        <v>10465</v>
      </c>
      <c r="H353" s="16">
        <v>45016</v>
      </c>
      <c r="I353" s="1">
        <v>3283</v>
      </c>
      <c r="J353" s="16">
        <v>45016</v>
      </c>
      <c r="K353" s="1">
        <v>4405</v>
      </c>
      <c r="L353" s="16">
        <v>45016</v>
      </c>
      <c r="M353" s="1">
        <v>1218</v>
      </c>
      <c r="N353" s="16">
        <v>45016</v>
      </c>
      <c r="O353" s="1">
        <v>1435.4690000000001</v>
      </c>
      <c r="P353" s="16">
        <v>45016</v>
      </c>
      <c r="Q353" s="1">
        <v>10362.959999999999</v>
      </c>
      <c r="R353" s="16">
        <v>45016</v>
      </c>
      <c r="S353" s="1">
        <v>730</v>
      </c>
      <c r="T353" s="16">
        <v>45016</v>
      </c>
      <c r="U353" s="1">
        <v>4282.1009999999997</v>
      </c>
      <c r="V353" s="16">
        <v>45016</v>
      </c>
      <c r="W353" s="1">
        <v>3115.3580000000002</v>
      </c>
      <c r="X353" s="15">
        <v>42400</v>
      </c>
      <c r="Y353" s="8">
        <v>32839</v>
      </c>
      <c r="Z353" s="15">
        <v>42369</v>
      </c>
      <c r="AA353" s="8">
        <v>10250</v>
      </c>
      <c r="AB353" s="15">
        <v>42369</v>
      </c>
      <c r="AC353" s="8">
        <v>2940</v>
      </c>
      <c r="AD353" s="15">
        <v>42369</v>
      </c>
      <c r="AE353" s="8">
        <v>2800</v>
      </c>
      <c r="AF353" s="15">
        <v>42369</v>
      </c>
      <c r="AG353" s="8">
        <v>4440</v>
      </c>
      <c r="AH353" s="15">
        <v>42369</v>
      </c>
      <c r="AI353" s="8">
        <v>375</v>
      </c>
      <c r="AJ353" s="15">
        <v>42369</v>
      </c>
      <c r="AK353" s="8">
        <v>1919</v>
      </c>
      <c r="AL353" s="15">
        <v>42369</v>
      </c>
      <c r="AM353" s="8">
        <v>2356</v>
      </c>
      <c r="AN353" s="15">
        <v>42369</v>
      </c>
      <c r="AO353" s="8">
        <v>2900</v>
      </c>
      <c r="AP353" s="5"/>
      <c r="AR353" s="11">
        <v>42978</v>
      </c>
      <c r="AS353" s="11">
        <v>42978</v>
      </c>
      <c r="AT353" s="10">
        <v>52.38</v>
      </c>
    </row>
    <row r="354" spans="1:46" x14ac:dyDescent="0.25">
      <c r="A354" s="16">
        <v>28975</v>
      </c>
      <c r="B354" s="1">
        <v>8553</v>
      </c>
      <c r="C354" s="13" t="str">
        <f t="shared" si="5"/>
        <v>112011</v>
      </c>
      <c r="D354" s="2">
        <v>40877</v>
      </c>
      <c r="E354" s="1">
        <v>3932</v>
      </c>
      <c r="F354" s="16">
        <v>45046</v>
      </c>
      <c r="G354" s="1">
        <v>10815</v>
      </c>
      <c r="H354" s="16">
        <v>45046</v>
      </c>
      <c r="I354" s="1">
        <v>3333</v>
      </c>
      <c r="J354" s="16">
        <v>45046</v>
      </c>
      <c r="K354" s="1">
        <v>4195</v>
      </c>
      <c r="L354" s="16">
        <v>45046</v>
      </c>
      <c r="M354" s="1">
        <v>1218</v>
      </c>
      <c r="N354" s="16">
        <v>45046</v>
      </c>
      <c r="O354" s="1">
        <v>1272.9000000000001</v>
      </c>
      <c r="P354" s="16">
        <v>45046</v>
      </c>
      <c r="Q354" s="1">
        <v>10267.358</v>
      </c>
      <c r="R354" s="16">
        <v>45046</v>
      </c>
      <c r="S354" s="1">
        <v>770</v>
      </c>
      <c r="T354" s="16">
        <v>45046</v>
      </c>
      <c r="U354" s="1">
        <v>4209.1000000000004</v>
      </c>
      <c r="V354" s="16">
        <v>45046</v>
      </c>
      <c r="W354" s="1">
        <v>3141.1869999999999</v>
      </c>
      <c r="X354" s="15">
        <v>42429</v>
      </c>
      <c r="Y354" s="8">
        <v>32596</v>
      </c>
      <c r="Z354" s="15">
        <v>42400</v>
      </c>
      <c r="AA354" s="8">
        <v>10200</v>
      </c>
      <c r="AB354" s="15">
        <v>42400</v>
      </c>
      <c r="AC354" s="8">
        <v>2930</v>
      </c>
      <c r="AD354" s="15">
        <v>42400</v>
      </c>
      <c r="AE354" s="8">
        <v>2860</v>
      </c>
      <c r="AF354" s="15">
        <v>42400</v>
      </c>
      <c r="AG354" s="8">
        <v>4510</v>
      </c>
      <c r="AH354" s="15">
        <v>42400</v>
      </c>
      <c r="AI354" s="8">
        <v>370</v>
      </c>
      <c r="AJ354" s="15">
        <v>42400</v>
      </c>
      <c r="AK354" s="8">
        <v>2028</v>
      </c>
      <c r="AL354" s="15">
        <v>42400</v>
      </c>
      <c r="AM354" s="8">
        <v>2346</v>
      </c>
      <c r="AN354" s="15">
        <v>42400</v>
      </c>
      <c r="AO354" s="8">
        <v>2860</v>
      </c>
      <c r="AP354" s="5"/>
      <c r="AR354" s="11">
        <v>43007</v>
      </c>
      <c r="AS354" s="11">
        <v>43007</v>
      </c>
      <c r="AT354" s="10">
        <v>57.54</v>
      </c>
    </row>
    <row r="355" spans="1:46" x14ac:dyDescent="0.25">
      <c r="A355" s="16">
        <v>29006</v>
      </c>
      <c r="B355" s="1">
        <v>8601</v>
      </c>
      <c r="C355" s="13" t="str">
        <f t="shared" si="5"/>
        <v>122011</v>
      </c>
      <c r="D355" s="2">
        <v>40907</v>
      </c>
      <c r="E355" s="1">
        <v>2209</v>
      </c>
      <c r="F355" s="16">
        <v>45077</v>
      </c>
      <c r="G355" s="1">
        <v>10115</v>
      </c>
      <c r="H355" s="16">
        <v>45077</v>
      </c>
      <c r="I355" s="1">
        <v>3403</v>
      </c>
      <c r="J355" s="16">
        <v>45077</v>
      </c>
      <c r="K355" s="1">
        <v>4225</v>
      </c>
      <c r="L355" s="16">
        <v>45077</v>
      </c>
      <c r="M355" s="1">
        <v>1170</v>
      </c>
      <c r="N355" s="16">
        <v>45077</v>
      </c>
      <c r="O355" s="1">
        <v>1472.9349999999999</v>
      </c>
      <c r="P355" s="16">
        <v>45077</v>
      </c>
      <c r="Q355" s="1">
        <v>10227.748</v>
      </c>
      <c r="R355" s="16">
        <v>45077</v>
      </c>
      <c r="S355" s="1">
        <v>790</v>
      </c>
      <c r="T355" s="16">
        <v>45077</v>
      </c>
      <c r="U355" s="1">
        <v>4255.1000000000004</v>
      </c>
      <c r="V355" s="16">
        <v>45077</v>
      </c>
      <c r="W355" s="1">
        <v>3201.2919999999999</v>
      </c>
      <c r="X355" s="15">
        <v>42460</v>
      </c>
      <c r="Y355" s="8">
        <v>32343</v>
      </c>
      <c r="Z355" s="15">
        <v>42429</v>
      </c>
      <c r="AA355" s="8">
        <v>10200</v>
      </c>
      <c r="AB355" s="15">
        <v>42429</v>
      </c>
      <c r="AC355" s="8">
        <v>2820</v>
      </c>
      <c r="AD355" s="15">
        <v>42429</v>
      </c>
      <c r="AE355" s="8">
        <v>3100</v>
      </c>
      <c r="AF355" s="15">
        <v>42429</v>
      </c>
      <c r="AG355" s="8">
        <v>4200</v>
      </c>
      <c r="AH355" s="15">
        <v>42429</v>
      </c>
      <c r="AI355" s="8">
        <v>370</v>
      </c>
      <c r="AJ355" s="15">
        <v>42429</v>
      </c>
      <c r="AK355" s="8">
        <v>1889</v>
      </c>
      <c r="AL355" s="15">
        <v>42429</v>
      </c>
      <c r="AM355" s="8">
        <v>2331</v>
      </c>
      <c r="AN355" s="15">
        <v>42429</v>
      </c>
      <c r="AO355" s="8">
        <v>2850</v>
      </c>
      <c r="AP355" s="5"/>
      <c r="AR355" s="11">
        <v>43039</v>
      </c>
      <c r="AS355" s="11">
        <v>43039</v>
      </c>
      <c r="AT355" s="10">
        <v>61.37</v>
      </c>
    </row>
    <row r="356" spans="1:46" x14ac:dyDescent="0.25">
      <c r="A356" s="16">
        <v>29036</v>
      </c>
      <c r="B356" s="1">
        <v>8432</v>
      </c>
      <c r="C356" s="13" t="str">
        <f t="shared" si="5"/>
        <v>12012</v>
      </c>
      <c r="D356" s="2">
        <v>40939</v>
      </c>
      <c r="E356" s="1">
        <v>4175</v>
      </c>
      <c r="F356" s="16">
        <v>45107</v>
      </c>
      <c r="G356" s="1">
        <v>10265</v>
      </c>
      <c r="H356" s="16">
        <v>45107</v>
      </c>
      <c r="I356" s="1">
        <v>3433</v>
      </c>
      <c r="J356" s="16">
        <v>45107</v>
      </c>
      <c r="K356" s="1">
        <v>4235</v>
      </c>
      <c r="L356" s="16">
        <v>45107</v>
      </c>
      <c r="M356" s="1">
        <v>1228</v>
      </c>
      <c r="N356" s="16">
        <v>45107</v>
      </c>
      <c r="O356" s="1">
        <v>1462.9349999999999</v>
      </c>
      <c r="P356" s="16">
        <v>45107</v>
      </c>
      <c r="Q356" s="1">
        <v>10142.156000000001</v>
      </c>
      <c r="R356" s="16">
        <v>45107</v>
      </c>
      <c r="S356" s="1">
        <v>790</v>
      </c>
      <c r="T356" s="16">
        <v>45107</v>
      </c>
      <c r="U356" s="1">
        <v>4263.1009999999997</v>
      </c>
      <c r="V356" s="16">
        <v>45107</v>
      </c>
      <c r="W356" s="1">
        <v>3366.5709999999999</v>
      </c>
      <c r="X356" s="15">
        <v>42490</v>
      </c>
      <c r="Y356" s="8">
        <v>32710</v>
      </c>
      <c r="Z356" s="15">
        <v>42460</v>
      </c>
      <c r="AA356" s="8">
        <v>10190</v>
      </c>
      <c r="AB356" s="15">
        <v>42460</v>
      </c>
      <c r="AC356" s="8">
        <v>2760</v>
      </c>
      <c r="AD356" s="15">
        <v>42460</v>
      </c>
      <c r="AE356" s="8">
        <v>3200</v>
      </c>
      <c r="AF356" s="15">
        <v>42460</v>
      </c>
      <c r="AG356" s="8">
        <v>4150</v>
      </c>
      <c r="AH356" s="15">
        <v>42460</v>
      </c>
      <c r="AI356" s="8">
        <v>330</v>
      </c>
      <c r="AJ356" s="15">
        <v>42460</v>
      </c>
      <c r="AK356" s="8">
        <v>1720</v>
      </c>
      <c r="AL356" s="15">
        <v>42460</v>
      </c>
      <c r="AM356" s="8">
        <v>2320</v>
      </c>
      <c r="AN356" s="15">
        <v>42460</v>
      </c>
      <c r="AO356" s="8">
        <v>2860</v>
      </c>
      <c r="AR356" s="11">
        <v>43069</v>
      </c>
      <c r="AS356" s="11">
        <v>43069</v>
      </c>
      <c r="AT356" s="10">
        <v>63.57</v>
      </c>
    </row>
    <row r="357" spans="1:46" x14ac:dyDescent="0.25">
      <c r="A357" s="16">
        <v>29067</v>
      </c>
      <c r="B357" s="1">
        <v>8364</v>
      </c>
      <c r="C357" s="13" t="str">
        <f t="shared" si="5"/>
        <v>22012</v>
      </c>
      <c r="D357" s="2">
        <v>40968</v>
      </c>
      <c r="E357" s="1">
        <v>4160</v>
      </c>
      <c r="F357" s="16">
        <v>45138</v>
      </c>
      <c r="G357" s="1">
        <v>9385</v>
      </c>
      <c r="H357" s="16">
        <v>45138</v>
      </c>
      <c r="I357" s="1">
        <v>3503</v>
      </c>
      <c r="J357" s="16">
        <v>45138</v>
      </c>
      <c r="K357" s="1">
        <v>4305</v>
      </c>
      <c r="L357" s="16">
        <v>45138</v>
      </c>
      <c r="M357" s="1">
        <v>1208</v>
      </c>
      <c r="N357" s="16">
        <v>45138</v>
      </c>
      <c r="O357" s="1">
        <v>1342.9349999999999</v>
      </c>
      <c r="P357" s="16">
        <v>45138</v>
      </c>
      <c r="Q357" s="1">
        <v>10113.768</v>
      </c>
      <c r="R357" s="16">
        <v>45138</v>
      </c>
      <c r="S357" s="1">
        <v>820</v>
      </c>
      <c r="T357" s="16">
        <v>45138</v>
      </c>
      <c r="U357" s="1">
        <v>4076.1030000000001</v>
      </c>
      <c r="V357" s="16">
        <v>45138</v>
      </c>
      <c r="W357" s="1">
        <v>3512.7220000000002</v>
      </c>
      <c r="X357" s="15">
        <v>42521</v>
      </c>
      <c r="Y357" s="8">
        <v>32520</v>
      </c>
      <c r="Z357" s="15">
        <v>42490</v>
      </c>
      <c r="AA357" s="8">
        <v>10200</v>
      </c>
      <c r="AB357" s="15">
        <v>42490</v>
      </c>
      <c r="AC357" s="8">
        <v>2800</v>
      </c>
      <c r="AD357" s="15">
        <v>42490</v>
      </c>
      <c r="AE357" s="8">
        <v>3500</v>
      </c>
      <c r="AF357" s="15">
        <v>42490</v>
      </c>
      <c r="AG357" s="8">
        <v>4420</v>
      </c>
      <c r="AH357" s="15">
        <v>42490</v>
      </c>
      <c r="AI357" s="8">
        <v>310</v>
      </c>
      <c r="AJ357" s="15">
        <v>42490</v>
      </c>
      <c r="AK357" s="8">
        <v>1610</v>
      </c>
      <c r="AL357" s="15">
        <v>42490</v>
      </c>
      <c r="AM357" s="8">
        <v>2250</v>
      </c>
      <c r="AN357" s="15">
        <v>42490</v>
      </c>
      <c r="AO357" s="8">
        <v>2770</v>
      </c>
      <c r="AR357" s="11">
        <v>43098</v>
      </c>
      <c r="AS357" s="11">
        <v>43098</v>
      </c>
      <c r="AT357" s="10">
        <v>66.87</v>
      </c>
    </row>
    <row r="358" spans="1:46" x14ac:dyDescent="0.25">
      <c r="A358" s="16">
        <v>29098</v>
      </c>
      <c r="B358" s="1">
        <v>8548</v>
      </c>
      <c r="C358" s="13" t="str">
        <f t="shared" si="5"/>
        <v>32012</v>
      </c>
      <c r="D358" s="2">
        <v>40998</v>
      </c>
      <c r="E358" s="1">
        <v>9009</v>
      </c>
      <c r="F358" s="16">
        <v>45169</v>
      </c>
      <c r="G358" s="1">
        <v>8915</v>
      </c>
      <c r="H358" s="16">
        <v>45169</v>
      </c>
      <c r="I358" s="1">
        <v>3663</v>
      </c>
      <c r="J358" s="16">
        <v>45169</v>
      </c>
      <c r="K358" s="1">
        <v>4385</v>
      </c>
      <c r="L358" s="16">
        <v>45169</v>
      </c>
      <c r="M358" s="1">
        <v>1238</v>
      </c>
      <c r="N358" s="16">
        <v>45169</v>
      </c>
      <c r="O358" s="1">
        <v>1412.9349999999999</v>
      </c>
      <c r="P358" s="16">
        <v>45169</v>
      </c>
      <c r="Q358" s="1">
        <v>10081.808000000001</v>
      </c>
      <c r="R358" s="16">
        <v>45169</v>
      </c>
      <c r="S358" s="1">
        <v>790</v>
      </c>
      <c r="T358" s="16">
        <v>45169</v>
      </c>
      <c r="U358" s="1">
        <v>4113.0050000000001</v>
      </c>
      <c r="V358" s="16">
        <v>45169</v>
      </c>
      <c r="W358" s="1">
        <v>3462.047</v>
      </c>
      <c r="X358" s="15">
        <v>42551</v>
      </c>
      <c r="Y358" s="8">
        <v>33110</v>
      </c>
      <c r="Z358" s="15">
        <v>42521</v>
      </c>
      <c r="AA358" s="8">
        <v>10260</v>
      </c>
      <c r="AB358" s="15">
        <v>42521</v>
      </c>
      <c r="AC358" s="8">
        <v>2860</v>
      </c>
      <c r="AD358" s="15">
        <v>42521</v>
      </c>
      <c r="AE358" s="8">
        <v>3500</v>
      </c>
      <c r="AF358" s="15">
        <v>42521</v>
      </c>
      <c r="AG358" s="8">
        <v>4370</v>
      </c>
      <c r="AH358" s="15">
        <v>42521</v>
      </c>
      <c r="AI358" s="8">
        <v>280</v>
      </c>
      <c r="AJ358" s="15">
        <v>42521</v>
      </c>
      <c r="AK358" s="8">
        <v>1440</v>
      </c>
      <c r="AL358" s="15">
        <v>42521</v>
      </c>
      <c r="AM358" s="8">
        <v>2210</v>
      </c>
      <c r="AN358" s="15">
        <v>42521</v>
      </c>
      <c r="AO358" s="8">
        <v>2830</v>
      </c>
      <c r="AR358" s="11">
        <v>43131</v>
      </c>
      <c r="AS358" s="11">
        <v>43131</v>
      </c>
      <c r="AT358" s="10">
        <v>69.05</v>
      </c>
    </row>
    <row r="359" spans="1:46" x14ac:dyDescent="0.25">
      <c r="A359" s="16">
        <v>29128</v>
      </c>
      <c r="B359" s="1">
        <v>8523</v>
      </c>
      <c r="C359" s="13" t="str">
        <f t="shared" si="5"/>
        <v>42012</v>
      </c>
      <c r="D359" s="2">
        <v>41029</v>
      </c>
      <c r="E359" s="1">
        <v>2840</v>
      </c>
      <c r="F359" s="16">
        <v>45199</v>
      </c>
      <c r="G359" s="1">
        <v>9415</v>
      </c>
      <c r="H359" s="16">
        <v>45199</v>
      </c>
      <c r="I359" s="1">
        <v>3723</v>
      </c>
      <c r="J359" s="16">
        <v>45199</v>
      </c>
      <c r="K359" s="1">
        <v>4375</v>
      </c>
      <c r="L359" s="16">
        <v>45199</v>
      </c>
      <c r="M359" s="1">
        <v>1238</v>
      </c>
      <c r="N359" s="16">
        <v>45199</v>
      </c>
      <c r="O359" s="1">
        <v>1502.9349999999999</v>
      </c>
      <c r="P359" s="16">
        <v>45199</v>
      </c>
      <c r="Q359" s="1">
        <v>10178.121999999999</v>
      </c>
      <c r="R359" s="16">
        <v>45199</v>
      </c>
      <c r="S359" s="1">
        <v>765</v>
      </c>
      <c r="T359" s="16">
        <v>45199</v>
      </c>
      <c r="U359" s="1">
        <v>4121.1049999999996</v>
      </c>
      <c r="V359" s="16">
        <v>45199</v>
      </c>
      <c r="W359" s="1">
        <v>3672.2429999999999</v>
      </c>
      <c r="X359" s="15">
        <v>42582</v>
      </c>
      <c r="Y359" s="8">
        <v>33570</v>
      </c>
      <c r="Z359" s="15">
        <v>42551</v>
      </c>
      <c r="AA359" s="8">
        <v>10470</v>
      </c>
      <c r="AB359" s="15">
        <v>42551</v>
      </c>
      <c r="AC359" s="8">
        <v>2920</v>
      </c>
      <c r="AD359" s="15">
        <v>42551</v>
      </c>
      <c r="AE359" s="8">
        <v>3530</v>
      </c>
      <c r="AF359" s="15">
        <v>42551</v>
      </c>
      <c r="AG359" s="8">
        <v>4350</v>
      </c>
      <c r="AH359" s="15">
        <v>42551</v>
      </c>
      <c r="AI359" s="8">
        <v>320</v>
      </c>
      <c r="AJ359" s="15">
        <v>42551</v>
      </c>
      <c r="AK359" s="8">
        <v>1590</v>
      </c>
      <c r="AL359" s="15">
        <v>42551</v>
      </c>
      <c r="AM359" s="8">
        <v>2250</v>
      </c>
      <c r="AN359" s="15">
        <v>42551</v>
      </c>
      <c r="AO359" s="8">
        <v>2900</v>
      </c>
      <c r="AR359" s="11">
        <v>43159</v>
      </c>
      <c r="AS359" s="11">
        <v>43159</v>
      </c>
      <c r="AT359" s="10">
        <v>65.78</v>
      </c>
    </row>
    <row r="360" spans="1:46" x14ac:dyDescent="0.25">
      <c r="A360" s="16">
        <v>29159</v>
      </c>
      <c r="B360" s="1">
        <v>8621</v>
      </c>
      <c r="C360" s="13" t="str">
        <f t="shared" si="5"/>
        <v>52012</v>
      </c>
      <c r="D360" s="2">
        <v>41060</v>
      </c>
      <c r="E360" s="1">
        <v>2213</v>
      </c>
      <c r="F360" s="16">
        <v>45230</v>
      </c>
      <c r="G360" s="1">
        <v>9265</v>
      </c>
      <c r="H360" s="16">
        <v>45230</v>
      </c>
      <c r="I360" s="1">
        <v>3773</v>
      </c>
      <c r="J360" s="16">
        <v>45230</v>
      </c>
      <c r="K360" s="1">
        <v>4395</v>
      </c>
      <c r="L360" s="16">
        <v>45230</v>
      </c>
      <c r="M360" s="1">
        <v>1228</v>
      </c>
      <c r="N360" s="16">
        <v>45230</v>
      </c>
      <c r="O360" s="1">
        <v>1522.9349999999999</v>
      </c>
      <c r="P360" s="16">
        <v>45230</v>
      </c>
      <c r="Q360" s="1">
        <v>10233.895</v>
      </c>
      <c r="R360" s="16">
        <v>45230</v>
      </c>
      <c r="S360" s="1">
        <v>765</v>
      </c>
      <c r="T360" s="16">
        <v>45230</v>
      </c>
      <c r="U360" s="1">
        <v>4099.1040000000003</v>
      </c>
      <c r="V360" s="16">
        <v>45230</v>
      </c>
      <c r="W360" s="1">
        <v>3543.2350000000001</v>
      </c>
      <c r="X360" s="15">
        <v>42613</v>
      </c>
      <c r="Y360" s="8">
        <v>33580</v>
      </c>
      <c r="Z360" s="15">
        <v>42582</v>
      </c>
      <c r="AA360" s="8">
        <v>10660</v>
      </c>
      <c r="AB360" s="15">
        <v>42582</v>
      </c>
      <c r="AC360" s="8">
        <v>3000</v>
      </c>
      <c r="AD360" s="15">
        <v>42582</v>
      </c>
      <c r="AE360" s="8">
        <v>3560</v>
      </c>
      <c r="AF360" s="15">
        <v>42582</v>
      </c>
      <c r="AG360" s="8">
        <v>4410</v>
      </c>
      <c r="AH360" s="15">
        <v>42582</v>
      </c>
      <c r="AI360" s="8">
        <v>300</v>
      </c>
      <c r="AJ360" s="15">
        <v>42582</v>
      </c>
      <c r="AK360" s="8">
        <v>1570</v>
      </c>
      <c r="AL360" s="15">
        <v>42582</v>
      </c>
      <c r="AM360" s="8">
        <v>2200</v>
      </c>
      <c r="AN360" s="15">
        <v>42582</v>
      </c>
      <c r="AO360" s="8">
        <v>2860</v>
      </c>
      <c r="AR360" s="11">
        <v>43189</v>
      </c>
      <c r="AS360" s="11">
        <v>43189</v>
      </c>
      <c r="AT360" s="10">
        <v>70.27</v>
      </c>
    </row>
    <row r="361" spans="1:46" x14ac:dyDescent="0.25">
      <c r="A361" s="16">
        <v>29189</v>
      </c>
      <c r="B361" s="1">
        <v>8761</v>
      </c>
      <c r="C361" s="13" t="str">
        <f t="shared" si="5"/>
        <v>62012</v>
      </c>
      <c r="D361" s="2">
        <v>41089</v>
      </c>
      <c r="E361" s="1">
        <v>-4270</v>
      </c>
      <c r="F361" s="16">
        <v>45260</v>
      </c>
      <c r="G361" s="1">
        <v>9214.7790000000005</v>
      </c>
      <c r="H361" s="16">
        <v>45260</v>
      </c>
      <c r="I361" s="1">
        <v>3873</v>
      </c>
      <c r="J361" s="16">
        <v>45260</v>
      </c>
      <c r="K361" s="1">
        <v>4365</v>
      </c>
      <c r="L361" s="16">
        <v>45260</v>
      </c>
      <c r="M361" s="1">
        <v>1268</v>
      </c>
      <c r="N361" s="16">
        <v>45260</v>
      </c>
      <c r="O361" s="1">
        <v>1462.9349999999999</v>
      </c>
      <c r="P361" s="16">
        <v>45260</v>
      </c>
      <c r="Q361" s="1">
        <v>10257.404</v>
      </c>
      <c r="R361" s="16">
        <v>45260</v>
      </c>
      <c r="S361" s="1">
        <v>780</v>
      </c>
      <c r="T361" s="16">
        <v>45260</v>
      </c>
      <c r="U361" s="1">
        <v>4150</v>
      </c>
      <c r="V361" s="16">
        <v>45260</v>
      </c>
      <c r="W361" s="1">
        <v>3678.3</v>
      </c>
      <c r="X361" s="15">
        <v>42643</v>
      </c>
      <c r="Y361" s="8">
        <v>33850</v>
      </c>
      <c r="Z361" s="15">
        <v>42613</v>
      </c>
      <c r="AA361" s="8">
        <v>10640</v>
      </c>
      <c r="AB361" s="15">
        <v>42613</v>
      </c>
      <c r="AC361" s="8">
        <v>3030</v>
      </c>
      <c r="AD361" s="15">
        <v>42613</v>
      </c>
      <c r="AE361" s="8">
        <v>3620</v>
      </c>
      <c r="AF361" s="15">
        <v>42613</v>
      </c>
      <c r="AG361" s="8">
        <v>4480</v>
      </c>
      <c r="AH361" s="15">
        <v>42613</v>
      </c>
      <c r="AI361" s="8">
        <v>260</v>
      </c>
      <c r="AJ361" s="15">
        <v>42613</v>
      </c>
      <c r="AK361" s="8">
        <v>1390</v>
      </c>
      <c r="AL361" s="15">
        <v>42613</v>
      </c>
      <c r="AM361" s="8">
        <v>2190</v>
      </c>
      <c r="AN361" s="15">
        <v>42613</v>
      </c>
      <c r="AO361" s="8">
        <v>2930</v>
      </c>
      <c r="AR361" s="11">
        <v>43220</v>
      </c>
      <c r="AS361" s="11">
        <v>43220</v>
      </c>
      <c r="AT361" s="10">
        <v>75.17</v>
      </c>
    </row>
    <row r="362" spans="1:46" x14ac:dyDescent="0.25">
      <c r="A362" s="16">
        <v>29220</v>
      </c>
      <c r="B362" s="1">
        <v>8615</v>
      </c>
      <c r="C362" s="13" t="str">
        <f t="shared" si="5"/>
        <v>72012</v>
      </c>
      <c r="D362" s="2">
        <v>41121</v>
      </c>
      <c r="E362" s="1">
        <v>-6522</v>
      </c>
      <c r="F362" s="16">
        <v>45291</v>
      </c>
      <c r="G362" s="1">
        <v>8964.7790000000005</v>
      </c>
      <c r="H362" s="16">
        <v>45291</v>
      </c>
      <c r="I362" s="1">
        <v>3923</v>
      </c>
      <c r="J362" s="16">
        <v>45291</v>
      </c>
      <c r="K362" s="1">
        <v>4445</v>
      </c>
      <c r="L362" s="16">
        <v>45291</v>
      </c>
      <c r="M362" s="1">
        <v>1248</v>
      </c>
      <c r="N362" s="16">
        <v>45291</v>
      </c>
      <c r="O362" s="1">
        <v>1572.9349999999999</v>
      </c>
      <c r="P362" s="16">
        <v>45291</v>
      </c>
      <c r="Q362" s="1">
        <v>10272.196</v>
      </c>
      <c r="R362" s="16">
        <v>45291</v>
      </c>
      <c r="S362" s="1">
        <v>790</v>
      </c>
      <c r="T362" s="16">
        <v>45291</v>
      </c>
      <c r="U362" s="1">
        <v>4173</v>
      </c>
      <c r="V362" s="16">
        <v>45291</v>
      </c>
      <c r="W362" s="1">
        <v>3584.7689999999998</v>
      </c>
      <c r="X362" s="15">
        <v>42674</v>
      </c>
      <c r="Y362" s="8">
        <v>33960</v>
      </c>
      <c r="Z362" s="15">
        <v>42643</v>
      </c>
      <c r="AA362" s="8">
        <v>10600</v>
      </c>
      <c r="AB362" s="15">
        <v>42643</v>
      </c>
      <c r="AC362" s="8">
        <v>3110</v>
      </c>
      <c r="AD362" s="15">
        <v>42643</v>
      </c>
      <c r="AE362" s="8">
        <v>3630</v>
      </c>
      <c r="AF362" s="15">
        <v>42643</v>
      </c>
      <c r="AG362" s="8">
        <v>4540</v>
      </c>
      <c r="AH362" s="15">
        <v>42643</v>
      </c>
      <c r="AI362" s="8">
        <v>340</v>
      </c>
      <c r="AJ362" s="15">
        <v>42643</v>
      </c>
      <c r="AK362" s="8">
        <v>1500</v>
      </c>
      <c r="AL362" s="15">
        <v>42643</v>
      </c>
      <c r="AM362" s="8">
        <v>2200</v>
      </c>
      <c r="AN362" s="15">
        <v>42643</v>
      </c>
      <c r="AO362" s="8">
        <v>2940</v>
      </c>
      <c r="AR362" s="11">
        <v>43251</v>
      </c>
      <c r="AS362" s="11">
        <v>43251</v>
      </c>
      <c r="AT362" s="10">
        <v>77.59</v>
      </c>
    </row>
    <row r="363" spans="1:46" x14ac:dyDescent="0.25">
      <c r="A363" s="16">
        <v>29251</v>
      </c>
      <c r="B363" s="1">
        <v>8675</v>
      </c>
      <c r="C363" s="13" t="str">
        <f t="shared" si="5"/>
        <v>82012</v>
      </c>
      <c r="D363" s="2">
        <v>41152</v>
      </c>
      <c r="E363" s="1">
        <v>-7426</v>
      </c>
      <c r="F363" s="16">
        <v>45322</v>
      </c>
      <c r="G363" s="1">
        <v>9161.3559999999998</v>
      </c>
      <c r="H363" s="16">
        <v>45322</v>
      </c>
      <c r="I363" s="1">
        <v>3888</v>
      </c>
      <c r="J363" s="16">
        <v>45322</v>
      </c>
      <c r="K363" s="1">
        <v>4425</v>
      </c>
      <c r="L363" s="16">
        <v>45322</v>
      </c>
      <c r="M363" s="1">
        <v>1098</v>
      </c>
      <c r="N363" s="16">
        <v>45322</v>
      </c>
      <c r="O363" s="1">
        <v>1502.24</v>
      </c>
      <c r="P363" s="16">
        <v>45322</v>
      </c>
      <c r="Q363" s="1">
        <v>10252.200000000001</v>
      </c>
      <c r="R363" s="16">
        <v>45322</v>
      </c>
      <c r="S363" s="1">
        <v>800</v>
      </c>
      <c r="T363" s="16">
        <v>45322</v>
      </c>
      <c r="U363" s="1">
        <v>4286</v>
      </c>
      <c r="V363" s="16">
        <v>45322</v>
      </c>
      <c r="W363" s="1">
        <v>3519.1239999999998</v>
      </c>
      <c r="X363" s="15">
        <v>42704</v>
      </c>
      <c r="Y363" s="8">
        <v>34140</v>
      </c>
      <c r="Z363" s="15">
        <v>42674</v>
      </c>
      <c r="AA363" s="8">
        <v>10580</v>
      </c>
      <c r="AB363" s="15">
        <v>42674</v>
      </c>
      <c r="AC363" s="8">
        <v>3130</v>
      </c>
      <c r="AD363" s="15">
        <v>42674</v>
      </c>
      <c r="AE363" s="8">
        <v>3680</v>
      </c>
      <c r="AF363" s="15">
        <v>42674</v>
      </c>
      <c r="AG363" s="8">
        <v>4590</v>
      </c>
      <c r="AH363" s="15">
        <v>42674</v>
      </c>
      <c r="AI363" s="8">
        <v>520</v>
      </c>
      <c r="AJ363" s="15">
        <v>42674</v>
      </c>
      <c r="AK363" s="8">
        <v>1600</v>
      </c>
      <c r="AL363" s="15">
        <v>42674</v>
      </c>
      <c r="AM363" s="8">
        <v>2140</v>
      </c>
      <c r="AN363" s="15">
        <v>42674</v>
      </c>
      <c r="AO363" s="8">
        <v>2960</v>
      </c>
      <c r="AR363" s="11">
        <v>43280</v>
      </c>
      <c r="AS363" s="11">
        <v>43280</v>
      </c>
      <c r="AT363" s="10">
        <v>79.44</v>
      </c>
    </row>
    <row r="364" spans="1:46" x14ac:dyDescent="0.25">
      <c r="A364" s="16">
        <v>29280</v>
      </c>
      <c r="B364" s="1">
        <v>8705</v>
      </c>
      <c r="C364" s="13" t="str">
        <f t="shared" si="5"/>
        <v>92012</v>
      </c>
      <c r="D364" s="2">
        <v>41180</v>
      </c>
      <c r="E364" s="1">
        <v>-482</v>
      </c>
      <c r="F364" s="16">
        <v>45351</v>
      </c>
      <c r="G364" s="1">
        <v>9361.2489999999998</v>
      </c>
      <c r="H364" s="16">
        <v>45351</v>
      </c>
      <c r="I364" s="1">
        <v>3888</v>
      </c>
      <c r="J364" s="16">
        <v>45351</v>
      </c>
      <c r="K364" s="1">
        <v>4435</v>
      </c>
      <c r="L364" s="16">
        <v>45351</v>
      </c>
      <c r="M364" s="1">
        <v>1218</v>
      </c>
      <c r="N364" s="16">
        <v>45351</v>
      </c>
      <c r="O364" s="1">
        <v>1471.5440000000001</v>
      </c>
      <c r="P364" s="16">
        <v>45351</v>
      </c>
      <c r="Q364" s="1">
        <v>10174.5</v>
      </c>
      <c r="R364" s="16">
        <v>45351</v>
      </c>
      <c r="S364" s="1">
        <v>835</v>
      </c>
      <c r="T364" s="16">
        <v>45351</v>
      </c>
      <c r="U364" s="1">
        <v>4256</v>
      </c>
      <c r="V364" s="16">
        <v>45351</v>
      </c>
      <c r="W364" s="1">
        <v>3448.3270000000002</v>
      </c>
      <c r="X364" s="15">
        <v>42735</v>
      </c>
      <c r="Y364" s="8">
        <v>33140</v>
      </c>
      <c r="Z364" s="15">
        <v>42704</v>
      </c>
      <c r="AA364" s="8">
        <v>10530</v>
      </c>
      <c r="AB364" s="15">
        <v>42704</v>
      </c>
      <c r="AC364" s="8">
        <v>3060</v>
      </c>
      <c r="AD364" s="15">
        <v>42704</v>
      </c>
      <c r="AE364" s="8">
        <v>3750</v>
      </c>
      <c r="AF364" s="15">
        <v>42704</v>
      </c>
      <c r="AG364" s="8">
        <v>4620</v>
      </c>
      <c r="AH364" s="15">
        <v>42704</v>
      </c>
      <c r="AI364" s="8">
        <v>580</v>
      </c>
      <c r="AJ364" s="15">
        <v>42704</v>
      </c>
      <c r="AK364" s="8">
        <v>1650</v>
      </c>
      <c r="AL364" s="15">
        <v>42704</v>
      </c>
      <c r="AM364" s="8">
        <v>2120</v>
      </c>
      <c r="AN364" s="15">
        <v>42704</v>
      </c>
      <c r="AO364" s="8">
        <v>2910</v>
      </c>
      <c r="AR364" s="11">
        <v>43312</v>
      </c>
      <c r="AS364" s="11">
        <v>43312</v>
      </c>
      <c r="AT364" s="10">
        <v>74.25</v>
      </c>
    </row>
    <row r="365" spans="1:46" x14ac:dyDescent="0.25">
      <c r="A365" s="16">
        <v>29311</v>
      </c>
      <c r="B365" s="1">
        <v>8698</v>
      </c>
      <c r="C365" s="13" t="str">
        <f t="shared" si="5"/>
        <v>102012</v>
      </c>
      <c r="D365" s="2">
        <v>41213</v>
      </c>
      <c r="E365" s="1">
        <v>-2045</v>
      </c>
      <c r="F365" s="16">
        <v>45382</v>
      </c>
      <c r="G365" s="1">
        <v>9461.125</v>
      </c>
      <c r="H365" s="16">
        <v>45382</v>
      </c>
      <c r="I365" s="1">
        <v>3948</v>
      </c>
      <c r="J365" s="16">
        <v>45382</v>
      </c>
      <c r="K365" s="1">
        <v>4515</v>
      </c>
      <c r="L365" s="16">
        <v>45382</v>
      </c>
      <c r="M365" s="1">
        <v>1218</v>
      </c>
      <c r="N365" s="16">
        <v>45382</v>
      </c>
      <c r="O365" s="1">
        <v>1500.8489999999999</v>
      </c>
      <c r="P365" s="16">
        <v>45382</v>
      </c>
      <c r="Q365" s="1">
        <v>10151.299999999999</v>
      </c>
      <c r="R365" s="16">
        <v>45382</v>
      </c>
      <c r="S365" s="1">
        <v>835</v>
      </c>
      <c r="T365" s="16">
        <v>45382</v>
      </c>
      <c r="U365" s="1">
        <v>4326</v>
      </c>
      <c r="V365" s="16">
        <v>45382</v>
      </c>
      <c r="W365" s="1">
        <v>3356.2539999999999</v>
      </c>
      <c r="X365" s="15">
        <v>42766</v>
      </c>
      <c r="Y365" s="8">
        <v>32230</v>
      </c>
      <c r="Z365" s="15">
        <v>42735</v>
      </c>
      <c r="AA365" s="8">
        <v>10480</v>
      </c>
      <c r="AB365" s="15">
        <v>42735</v>
      </c>
      <c r="AC365" s="8">
        <v>3070</v>
      </c>
      <c r="AD365" s="15">
        <v>42735</v>
      </c>
      <c r="AE365" s="8">
        <v>3730</v>
      </c>
      <c r="AF365" s="15">
        <v>42735</v>
      </c>
      <c r="AG365" s="8">
        <v>4630</v>
      </c>
      <c r="AH365" s="15">
        <v>42735</v>
      </c>
      <c r="AI365" s="8">
        <v>630</v>
      </c>
      <c r="AJ365" s="15">
        <v>42735</v>
      </c>
      <c r="AK365" s="8">
        <v>1500</v>
      </c>
      <c r="AL365" s="15">
        <v>42735</v>
      </c>
      <c r="AM365" s="8">
        <v>2080</v>
      </c>
      <c r="AN365" s="15">
        <v>42735</v>
      </c>
      <c r="AO365" s="8">
        <v>2860</v>
      </c>
      <c r="AR365" s="11">
        <v>43343</v>
      </c>
      <c r="AS365" s="11">
        <v>43343</v>
      </c>
      <c r="AT365" s="10">
        <v>77.42</v>
      </c>
    </row>
    <row r="366" spans="1:46" x14ac:dyDescent="0.25">
      <c r="A366" s="16">
        <v>29341</v>
      </c>
      <c r="B366" s="1">
        <v>8685</v>
      </c>
      <c r="C366" s="13" t="str">
        <f t="shared" si="5"/>
        <v>112012</v>
      </c>
      <c r="D366" s="2">
        <v>41243</v>
      </c>
      <c r="E366" s="1">
        <v>-2357</v>
      </c>
      <c r="F366" s="16">
        <v>45412</v>
      </c>
      <c r="G366" s="1">
        <v>9460.98</v>
      </c>
      <c r="H366" s="16">
        <v>45412</v>
      </c>
      <c r="I366" s="1">
        <v>3928</v>
      </c>
      <c r="J366" s="16">
        <v>45412</v>
      </c>
      <c r="K366" s="1">
        <v>4505</v>
      </c>
      <c r="L366" s="16">
        <v>45412</v>
      </c>
      <c r="M366" s="1">
        <v>1258</v>
      </c>
      <c r="N366" s="16">
        <v>45412</v>
      </c>
      <c r="O366" s="1">
        <v>1420.153</v>
      </c>
      <c r="P366" s="16">
        <v>45412</v>
      </c>
      <c r="Q366" s="1">
        <v>10047.6</v>
      </c>
      <c r="R366" s="16">
        <v>45412</v>
      </c>
      <c r="S366" s="1">
        <v>850</v>
      </c>
      <c r="T366" s="16">
        <v>45412</v>
      </c>
      <c r="U366" s="1">
        <v>4250</v>
      </c>
      <c r="V366" s="16">
        <v>45412</v>
      </c>
      <c r="W366" s="1">
        <v>3194.4189999999999</v>
      </c>
      <c r="X366" s="15">
        <v>42794</v>
      </c>
      <c r="Y366" s="8">
        <v>32295</v>
      </c>
      <c r="Z366" s="15">
        <v>42766</v>
      </c>
      <c r="AA366" s="8">
        <v>9870</v>
      </c>
      <c r="AB366" s="15">
        <v>42766</v>
      </c>
      <c r="AC366" s="8">
        <v>2950</v>
      </c>
      <c r="AD366" s="15">
        <v>42766</v>
      </c>
      <c r="AE366" s="8">
        <v>3800</v>
      </c>
      <c r="AF366" s="15">
        <v>42766</v>
      </c>
      <c r="AG366" s="8">
        <v>4490</v>
      </c>
      <c r="AH366" s="15">
        <v>42766</v>
      </c>
      <c r="AI366" s="8">
        <v>690</v>
      </c>
      <c r="AJ366" s="15">
        <v>42766</v>
      </c>
      <c r="AK366" s="8">
        <v>1640</v>
      </c>
      <c r="AL366" s="15">
        <v>42766</v>
      </c>
      <c r="AM366" s="8">
        <v>2030</v>
      </c>
      <c r="AN366" s="15">
        <v>42766</v>
      </c>
      <c r="AO366" s="8">
        <v>2710</v>
      </c>
      <c r="AR366" s="11">
        <v>43371</v>
      </c>
      <c r="AS366" s="11">
        <v>43371</v>
      </c>
      <c r="AT366" s="10">
        <v>82.72</v>
      </c>
    </row>
    <row r="367" spans="1:46" x14ac:dyDescent="0.25">
      <c r="A367" s="16">
        <v>29372</v>
      </c>
      <c r="B367" s="1">
        <v>8635</v>
      </c>
      <c r="C367" s="13" t="str">
        <f t="shared" si="5"/>
        <v>122012</v>
      </c>
      <c r="D367" s="2">
        <v>41274</v>
      </c>
      <c r="E367" s="1">
        <v>-11120</v>
      </c>
      <c r="F367" s="16">
        <v>45443</v>
      </c>
      <c r="G367" s="1">
        <v>9260.8109999999997</v>
      </c>
      <c r="H367" s="16">
        <v>45443</v>
      </c>
      <c r="I367" s="1">
        <v>3928</v>
      </c>
      <c r="J367" s="16">
        <v>45443</v>
      </c>
      <c r="K367" s="1">
        <v>4495</v>
      </c>
      <c r="L367" s="16">
        <v>45443</v>
      </c>
      <c r="M367" s="1">
        <v>1258</v>
      </c>
      <c r="N367" s="16">
        <v>45443</v>
      </c>
      <c r="O367" s="1">
        <v>1459.4580000000001</v>
      </c>
      <c r="P367" s="16">
        <v>45443</v>
      </c>
      <c r="Q367" s="1">
        <v>9906.2999999999993</v>
      </c>
      <c r="R367" s="16">
        <v>45443</v>
      </c>
      <c r="S367" s="1">
        <v>870</v>
      </c>
      <c r="T367" s="16">
        <v>45443</v>
      </c>
      <c r="U367" s="1">
        <v>4274</v>
      </c>
      <c r="V367" s="16">
        <v>45443</v>
      </c>
      <c r="W367" s="1">
        <v>3317.9319999999998</v>
      </c>
      <c r="X367" s="15">
        <v>42825</v>
      </c>
      <c r="Y367" s="8">
        <v>31935</v>
      </c>
      <c r="Z367" s="15">
        <v>42794</v>
      </c>
      <c r="AA367" s="8">
        <v>9940</v>
      </c>
      <c r="AB367" s="15">
        <v>42794</v>
      </c>
      <c r="AC367" s="8">
        <v>2950</v>
      </c>
      <c r="AD367" s="15">
        <v>42794</v>
      </c>
      <c r="AE367" s="8">
        <v>3780</v>
      </c>
      <c r="AF367" s="15">
        <v>42794</v>
      </c>
      <c r="AG367" s="8">
        <v>4440</v>
      </c>
      <c r="AH367" s="15">
        <v>42794</v>
      </c>
      <c r="AI367" s="8">
        <v>700</v>
      </c>
      <c r="AJ367" s="15">
        <v>42794</v>
      </c>
      <c r="AK367" s="8">
        <v>1680</v>
      </c>
      <c r="AL367" s="15">
        <v>42794</v>
      </c>
      <c r="AM367" s="8">
        <v>2030</v>
      </c>
      <c r="AN367" s="15">
        <v>42794</v>
      </c>
      <c r="AO367" s="8">
        <v>2710</v>
      </c>
      <c r="AR367" s="11">
        <v>43404</v>
      </c>
      <c r="AS367" s="11">
        <v>43404</v>
      </c>
      <c r="AT367" s="10">
        <v>75.47</v>
      </c>
    </row>
    <row r="368" spans="1:46" x14ac:dyDescent="0.25">
      <c r="A368" s="16">
        <v>29402</v>
      </c>
      <c r="B368" s="1">
        <v>8554</v>
      </c>
      <c r="C368" s="13" t="str">
        <f t="shared" si="5"/>
        <v>12013</v>
      </c>
      <c r="D368" s="2">
        <v>41305</v>
      </c>
      <c r="E368" s="1">
        <v>5947</v>
      </c>
      <c r="F368" s="16">
        <v>45473</v>
      </c>
      <c r="G368" s="1">
        <v>8910.6139999999996</v>
      </c>
      <c r="H368" s="16">
        <v>45473</v>
      </c>
      <c r="I368" s="1">
        <v>3928</v>
      </c>
      <c r="J368" s="16">
        <v>45473</v>
      </c>
      <c r="K368" s="1">
        <v>4465</v>
      </c>
      <c r="L368" s="16">
        <v>45473</v>
      </c>
      <c r="M368" s="1">
        <v>1278</v>
      </c>
      <c r="N368" s="16">
        <v>45473</v>
      </c>
      <c r="O368" s="1">
        <v>1458.7619999999999</v>
      </c>
      <c r="P368" s="16">
        <v>45473</v>
      </c>
      <c r="Q368" s="1">
        <v>9764.2000000000007</v>
      </c>
      <c r="R368" s="16">
        <v>45473</v>
      </c>
      <c r="S368" s="1">
        <v>860</v>
      </c>
      <c r="T368" s="16">
        <v>45473</v>
      </c>
      <c r="U368" s="1">
        <v>4250</v>
      </c>
      <c r="V368" s="16">
        <v>45473</v>
      </c>
      <c r="W368" s="1">
        <v>3408.8960000000002</v>
      </c>
      <c r="X368" s="15">
        <v>42855</v>
      </c>
      <c r="Y368" s="8">
        <v>31895</v>
      </c>
      <c r="Z368" s="15">
        <v>42825</v>
      </c>
      <c r="AA368" s="8">
        <v>9940</v>
      </c>
      <c r="AB368" s="15">
        <v>42825</v>
      </c>
      <c r="AC368" s="8">
        <v>2915</v>
      </c>
      <c r="AD368" s="15">
        <v>42825</v>
      </c>
      <c r="AE368" s="8">
        <v>3785</v>
      </c>
      <c r="AF368" s="15">
        <v>42825</v>
      </c>
      <c r="AG368" s="8">
        <v>4430</v>
      </c>
      <c r="AH368" s="15">
        <v>42825</v>
      </c>
      <c r="AI368" s="8">
        <v>620</v>
      </c>
      <c r="AJ368" s="15">
        <v>42825</v>
      </c>
      <c r="AK368" s="8">
        <v>1550</v>
      </c>
      <c r="AL368" s="15">
        <v>42825</v>
      </c>
      <c r="AM368" s="8">
        <v>2000</v>
      </c>
      <c r="AN368" s="15">
        <v>42825</v>
      </c>
      <c r="AO368" s="8">
        <v>2705</v>
      </c>
      <c r="AR368" s="11">
        <v>43434</v>
      </c>
      <c r="AS368" s="11">
        <v>43434</v>
      </c>
      <c r="AT368" s="10">
        <v>58.71</v>
      </c>
    </row>
    <row r="369" spans="1:46" x14ac:dyDescent="0.25">
      <c r="A369" s="16">
        <v>29433</v>
      </c>
      <c r="B369" s="1">
        <v>8547</v>
      </c>
      <c r="C369" s="13" t="str">
        <f t="shared" si="5"/>
        <v>22013</v>
      </c>
      <c r="D369" s="2">
        <v>41333</v>
      </c>
      <c r="E369" s="1">
        <v>1130</v>
      </c>
      <c r="F369" s="16">
        <v>45504</v>
      </c>
      <c r="G369" s="1">
        <v>9210.3850000000002</v>
      </c>
      <c r="H369" s="16">
        <v>45504</v>
      </c>
      <c r="I369" s="1">
        <v>3968</v>
      </c>
      <c r="J369" s="16">
        <v>45504</v>
      </c>
      <c r="K369" s="1">
        <v>4575</v>
      </c>
      <c r="L369" s="16">
        <v>45504</v>
      </c>
      <c r="M369" s="1">
        <v>1248</v>
      </c>
      <c r="N369" s="16">
        <v>45504</v>
      </c>
      <c r="O369" s="1">
        <v>1508.067</v>
      </c>
      <c r="P369" s="16">
        <v>45504</v>
      </c>
      <c r="Q369" s="1">
        <v>9739.4009999999998</v>
      </c>
      <c r="R369" s="16">
        <v>45504</v>
      </c>
      <c r="S369" s="1">
        <v>870</v>
      </c>
      <c r="T369" s="16">
        <v>45504</v>
      </c>
      <c r="U369" s="1">
        <v>4215</v>
      </c>
      <c r="V369" s="16">
        <v>45504</v>
      </c>
      <c r="W369" s="1">
        <v>3229.6770000000001</v>
      </c>
      <c r="X369" s="15">
        <v>42886</v>
      </c>
      <c r="Y369" s="8">
        <v>32290</v>
      </c>
      <c r="Z369" s="15">
        <v>42855</v>
      </c>
      <c r="AA369" s="8">
        <v>9950</v>
      </c>
      <c r="AB369" s="15">
        <v>42855</v>
      </c>
      <c r="AC369" s="8">
        <v>2900</v>
      </c>
      <c r="AD369" s="15">
        <v>42855</v>
      </c>
      <c r="AE369" s="8">
        <v>3760</v>
      </c>
      <c r="AF369" s="15">
        <v>42855</v>
      </c>
      <c r="AG369" s="8">
        <v>4410</v>
      </c>
      <c r="AH369" s="15">
        <v>42855</v>
      </c>
      <c r="AI369" s="8">
        <v>550</v>
      </c>
      <c r="AJ369" s="15">
        <v>42855</v>
      </c>
      <c r="AK369" s="8">
        <v>1600</v>
      </c>
      <c r="AL369" s="15">
        <v>42855</v>
      </c>
      <c r="AM369" s="8">
        <v>1980</v>
      </c>
      <c r="AN369" s="15">
        <v>42855</v>
      </c>
      <c r="AO369" s="8">
        <v>2700</v>
      </c>
      <c r="AR369" s="11">
        <v>43465</v>
      </c>
      <c r="AS369" s="11">
        <v>43465</v>
      </c>
      <c r="AT369" s="10">
        <v>53.8</v>
      </c>
    </row>
    <row r="370" spans="1:46" x14ac:dyDescent="0.25">
      <c r="A370" s="16">
        <v>29464</v>
      </c>
      <c r="B370" s="1">
        <v>8414</v>
      </c>
      <c r="C370" s="13" t="str">
        <f t="shared" si="5"/>
        <v>32013</v>
      </c>
      <c r="D370" s="2">
        <v>41362</v>
      </c>
      <c r="E370" s="1">
        <v>2707</v>
      </c>
      <c r="F370" s="16">
        <v>45535</v>
      </c>
      <c r="G370" s="1">
        <v>9340.2240000000002</v>
      </c>
      <c r="H370" s="16">
        <v>45535</v>
      </c>
      <c r="I370" s="1">
        <v>3998</v>
      </c>
      <c r="J370" s="16">
        <v>45535</v>
      </c>
      <c r="K370" s="1">
        <v>4495</v>
      </c>
      <c r="L370" s="16">
        <v>45535</v>
      </c>
      <c r="M370" s="1">
        <v>998</v>
      </c>
      <c r="N370" s="16">
        <v>45535</v>
      </c>
      <c r="O370" s="1">
        <v>1567.3710000000001</v>
      </c>
      <c r="P370" s="16">
        <v>45535</v>
      </c>
      <c r="Q370" s="1">
        <v>9679.3970000000008</v>
      </c>
      <c r="R370" s="16">
        <v>45535</v>
      </c>
      <c r="S370" s="1">
        <v>890</v>
      </c>
      <c r="T370" s="16">
        <v>45535</v>
      </c>
      <c r="U370" s="1">
        <v>4199</v>
      </c>
      <c r="V370" s="16">
        <v>45535</v>
      </c>
      <c r="W370" s="1">
        <v>3340.3429999999998</v>
      </c>
      <c r="X370" s="15">
        <v>42916</v>
      </c>
      <c r="Y370" s="8">
        <v>32660</v>
      </c>
      <c r="Z370" s="15">
        <v>42886</v>
      </c>
      <c r="AA370" s="8">
        <v>9930</v>
      </c>
      <c r="AB370" s="15">
        <v>42886</v>
      </c>
      <c r="AC370" s="8">
        <v>2860</v>
      </c>
      <c r="AD370" s="15">
        <v>42886</v>
      </c>
      <c r="AE370" s="8">
        <v>3760</v>
      </c>
      <c r="AF370" s="15">
        <v>42886</v>
      </c>
      <c r="AG370" s="8">
        <v>4420</v>
      </c>
      <c r="AH370" s="15">
        <v>42886</v>
      </c>
      <c r="AI370" s="8">
        <v>760</v>
      </c>
      <c r="AJ370" s="15">
        <v>42886</v>
      </c>
      <c r="AK370" s="8">
        <v>1700</v>
      </c>
      <c r="AL370" s="15">
        <v>42886</v>
      </c>
      <c r="AM370" s="8">
        <v>1980</v>
      </c>
      <c r="AN370" s="15">
        <v>42886</v>
      </c>
      <c r="AO370" s="8">
        <v>2710</v>
      </c>
      <c r="AR370" s="11">
        <v>43496</v>
      </c>
      <c r="AS370" s="11">
        <v>43496</v>
      </c>
      <c r="AT370" s="10">
        <v>61.89</v>
      </c>
    </row>
    <row r="371" spans="1:46" x14ac:dyDescent="0.25">
      <c r="A371" s="16">
        <v>29494</v>
      </c>
      <c r="B371" s="1">
        <v>8619</v>
      </c>
      <c r="C371" s="13" t="str">
        <f t="shared" si="5"/>
        <v>42013</v>
      </c>
      <c r="D371" s="2">
        <v>41394</v>
      </c>
      <c r="E371" s="1">
        <v>6696</v>
      </c>
      <c r="F371" s="16">
        <v>45565</v>
      </c>
      <c r="G371" s="1">
        <v>9130.0550000000003</v>
      </c>
      <c r="H371" s="16">
        <v>45565</v>
      </c>
      <c r="I371" s="1">
        <v>4068</v>
      </c>
      <c r="J371" s="16">
        <v>45565</v>
      </c>
      <c r="K371" s="1">
        <v>4345</v>
      </c>
      <c r="L371" s="16">
        <v>45565</v>
      </c>
      <c r="M371" s="1">
        <v>648</v>
      </c>
      <c r="N371" s="16">
        <v>45565</v>
      </c>
      <c r="O371" s="1">
        <v>1466.6759999999999</v>
      </c>
      <c r="P371" s="16">
        <v>45565</v>
      </c>
      <c r="Q371" s="1">
        <v>9676.9920000000002</v>
      </c>
      <c r="R371" s="16">
        <v>45565</v>
      </c>
      <c r="S371" s="1">
        <v>900</v>
      </c>
      <c r="T371" s="16">
        <v>45565</v>
      </c>
      <c r="U371" s="1">
        <v>4154</v>
      </c>
      <c r="V371" s="16">
        <v>45565</v>
      </c>
      <c r="W371" s="1">
        <v>3470.2489999999998</v>
      </c>
      <c r="X371" s="15">
        <v>42947</v>
      </c>
      <c r="Y371" s="8">
        <v>32850</v>
      </c>
      <c r="Z371" s="15">
        <v>42916</v>
      </c>
      <c r="AA371" s="8">
        <v>10020</v>
      </c>
      <c r="AB371" s="15">
        <v>42916</v>
      </c>
      <c r="AC371" s="8">
        <v>2900</v>
      </c>
      <c r="AD371" s="15">
        <v>42916</v>
      </c>
      <c r="AE371" s="8">
        <v>3760</v>
      </c>
      <c r="AF371" s="15">
        <v>42916</v>
      </c>
      <c r="AG371" s="8">
        <v>4480</v>
      </c>
      <c r="AH371" s="15">
        <v>42916</v>
      </c>
      <c r="AI371" s="8">
        <v>840</v>
      </c>
      <c r="AJ371" s="15">
        <v>42916</v>
      </c>
      <c r="AK371" s="8">
        <v>1750</v>
      </c>
      <c r="AL371" s="15">
        <v>42916</v>
      </c>
      <c r="AM371" s="8">
        <v>1970</v>
      </c>
      <c r="AN371" s="15">
        <v>42916</v>
      </c>
      <c r="AO371" s="8">
        <v>2710</v>
      </c>
      <c r="AR371" s="11">
        <v>43524</v>
      </c>
      <c r="AS371" s="11">
        <v>43524</v>
      </c>
      <c r="AT371" s="10">
        <v>66.03</v>
      </c>
    </row>
    <row r="372" spans="1:46" x14ac:dyDescent="0.25">
      <c r="A372" s="16">
        <v>29525</v>
      </c>
      <c r="B372" s="1">
        <v>8532</v>
      </c>
      <c r="C372" s="13" t="str">
        <f t="shared" si="5"/>
        <v>52013</v>
      </c>
      <c r="D372" s="2">
        <v>41425</v>
      </c>
      <c r="E372" s="1">
        <v>-6267</v>
      </c>
      <c r="F372" s="16">
        <v>45596</v>
      </c>
      <c r="G372" s="1">
        <v>9209.8780000000006</v>
      </c>
      <c r="H372" s="16">
        <v>45596</v>
      </c>
      <c r="I372" s="1">
        <v>4018</v>
      </c>
      <c r="J372" s="16">
        <v>45596</v>
      </c>
      <c r="K372" s="1">
        <v>4295</v>
      </c>
      <c r="L372" s="16">
        <v>45596</v>
      </c>
      <c r="M372" s="1">
        <v>1148</v>
      </c>
      <c r="N372" s="16">
        <v>45596</v>
      </c>
      <c r="O372" s="1">
        <v>1475.98</v>
      </c>
      <c r="P372" s="16">
        <v>45596</v>
      </c>
      <c r="Q372" s="1">
        <v>9730.1679999999997</v>
      </c>
      <c r="R372" s="16">
        <v>45596</v>
      </c>
      <c r="S372" s="1">
        <v>910</v>
      </c>
      <c r="T372" s="16">
        <v>45596</v>
      </c>
      <c r="U372" s="1">
        <v>4184</v>
      </c>
      <c r="V372" s="16">
        <v>45596</v>
      </c>
      <c r="W372" s="1">
        <v>3268.5070000000001</v>
      </c>
      <c r="X372" s="15">
        <v>42978</v>
      </c>
      <c r="Y372" s="8">
        <v>32710</v>
      </c>
      <c r="Z372" s="15">
        <v>42947</v>
      </c>
      <c r="AA372" s="8">
        <v>10030</v>
      </c>
      <c r="AB372" s="15">
        <v>42947</v>
      </c>
      <c r="AC372" s="8">
        <v>2910</v>
      </c>
      <c r="AD372" s="15">
        <v>42947</v>
      </c>
      <c r="AE372" s="8">
        <v>3790</v>
      </c>
      <c r="AF372" s="15">
        <v>42947</v>
      </c>
      <c r="AG372" s="8">
        <v>4500</v>
      </c>
      <c r="AH372" s="15">
        <v>42947</v>
      </c>
      <c r="AI372" s="8">
        <v>1010</v>
      </c>
      <c r="AJ372" s="15">
        <v>42947</v>
      </c>
      <c r="AK372" s="8">
        <v>1710</v>
      </c>
      <c r="AL372" s="15">
        <v>42947</v>
      </c>
      <c r="AM372" s="8">
        <v>1970</v>
      </c>
      <c r="AN372" s="15">
        <v>42947</v>
      </c>
      <c r="AO372" s="8">
        <v>2700</v>
      </c>
      <c r="AR372" s="11">
        <v>43553</v>
      </c>
      <c r="AS372" s="11">
        <v>43553</v>
      </c>
      <c r="AT372" s="10">
        <v>68.39</v>
      </c>
    </row>
    <row r="373" spans="1:46" x14ac:dyDescent="0.25">
      <c r="A373" s="16">
        <v>29555</v>
      </c>
      <c r="B373" s="1">
        <v>8495</v>
      </c>
      <c r="C373" s="13" t="str">
        <f t="shared" si="5"/>
        <v>62013</v>
      </c>
      <c r="D373" s="2">
        <v>41453</v>
      </c>
      <c r="E373" s="1">
        <v>-10347</v>
      </c>
      <c r="F373" s="16">
        <v>45626</v>
      </c>
      <c r="G373" s="1">
        <v>9169.6949999999997</v>
      </c>
      <c r="H373" s="16">
        <v>45626</v>
      </c>
      <c r="I373" s="1">
        <v>4088</v>
      </c>
      <c r="J373" s="16">
        <v>45626</v>
      </c>
      <c r="K373" s="1">
        <v>4275</v>
      </c>
      <c r="L373" s="16">
        <v>45626</v>
      </c>
      <c r="M373" s="1">
        <v>1258</v>
      </c>
      <c r="N373" s="16">
        <v>45626</v>
      </c>
      <c r="O373" s="1">
        <v>1475.2850000000001</v>
      </c>
      <c r="P373" s="16">
        <v>45626</v>
      </c>
      <c r="Q373" s="1">
        <v>9784.4240000000009</v>
      </c>
      <c r="R373" s="16">
        <v>45626</v>
      </c>
      <c r="S373" s="1">
        <v>850</v>
      </c>
      <c r="T373" s="16">
        <v>45626</v>
      </c>
      <c r="U373" s="1">
        <v>4197</v>
      </c>
      <c r="V373" s="16">
        <v>45626</v>
      </c>
      <c r="W373" s="1">
        <v>3309.8690000000001</v>
      </c>
      <c r="X373" s="15">
        <v>43008</v>
      </c>
      <c r="Y373" s="8">
        <v>32770</v>
      </c>
      <c r="Z373" s="15">
        <v>42978</v>
      </c>
      <c r="AA373" s="8">
        <v>10000</v>
      </c>
      <c r="AB373" s="15">
        <v>42978</v>
      </c>
      <c r="AC373" s="8">
        <v>2920</v>
      </c>
      <c r="AD373" s="15">
        <v>42978</v>
      </c>
      <c r="AE373" s="8">
        <v>3790</v>
      </c>
      <c r="AF373" s="15">
        <v>42978</v>
      </c>
      <c r="AG373" s="8">
        <v>4490</v>
      </c>
      <c r="AH373" s="15">
        <v>42978</v>
      </c>
      <c r="AI373" s="8">
        <v>890</v>
      </c>
      <c r="AJ373" s="15">
        <v>42978</v>
      </c>
      <c r="AK373" s="8">
        <v>1750</v>
      </c>
      <c r="AL373" s="15">
        <v>42978</v>
      </c>
      <c r="AM373" s="8">
        <v>1970</v>
      </c>
      <c r="AN373" s="15">
        <v>42978</v>
      </c>
      <c r="AO373" s="8">
        <v>2710</v>
      </c>
      <c r="AR373" s="11">
        <v>43585</v>
      </c>
      <c r="AS373" s="11">
        <v>43585</v>
      </c>
      <c r="AT373" s="10">
        <v>72.8</v>
      </c>
    </row>
    <row r="374" spans="1:46" x14ac:dyDescent="0.25">
      <c r="A374" s="16">
        <v>29586</v>
      </c>
      <c r="B374" s="1">
        <v>8606</v>
      </c>
      <c r="C374" s="13" t="str">
        <f t="shared" si="5"/>
        <v>72013</v>
      </c>
      <c r="D374" s="2">
        <v>41486</v>
      </c>
      <c r="E374" s="1">
        <v>431</v>
      </c>
      <c r="F374" s="16">
        <v>45657</v>
      </c>
      <c r="G374" s="1">
        <v>9109.5110000000004</v>
      </c>
      <c r="H374" s="16">
        <v>45657</v>
      </c>
      <c r="I374" s="1">
        <v>4068</v>
      </c>
      <c r="J374" s="16">
        <v>45657</v>
      </c>
      <c r="K374" s="1">
        <v>4245</v>
      </c>
      <c r="L374" s="16">
        <v>45657</v>
      </c>
      <c r="M374" s="1">
        <v>1328</v>
      </c>
      <c r="N374" s="16">
        <v>45657</v>
      </c>
      <c r="O374" s="1">
        <v>1554.5889999999999</v>
      </c>
      <c r="P374" s="16">
        <v>45657</v>
      </c>
      <c r="Q374" s="1">
        <v>9804.7639999999992</v>
      </c>
      <c r="R374" s="16">
        <v>45657</v>
      </c>
      <c r="S374" s="1">
        <v>890</v>
      </c>
      <c r="T374" s="16">
        <v>45657</v>
      </c>
      <c r="U374" s="1">
        <v>4216</v>
      </c>
      <c r="V374" s="16">
        <v>45657</v>
      </c>
      <c r="W374" s="1">
        <v>3418.5650000000001</v>
      </c>
      <c r="X374" s="15">
        <v>43039</v>
      </c>
      <c r="Y374" s="8">
        <v>32550</v>
      </c>
      <c r="Z374" s="15">
        <v>43008</v>
      </c>
      <c r="AA374" s="8">
        <v>10000</v>
      </c>
      <c r="AB374" s="15">
        <v>43008</v>
      </c>
      <c r="AC374" s="8">
        <v>2930</v>
      </c>
      <c r="AD374" s="15">
        <v>43008</v>
      </c>
      <c r="AE374" s="8">
        <v>3830</v>
      </c>
      <c r="AF374" s="15">
        <v>43008</v>
      </c>
      <c r="AG374" s="8">
        <v>4470</v>
      </c>
      <c r="AH374" s="15">
        <v>43008</v>
      </c>
      <c r="AI374" s="8">
        <v>920</v>
      </c>
      <c r="AJ374" s="15">
        <v>43008</v>
      </c>
      <c r="AK374" s="8">
        <v>1770</v>
      </c>
      <c r="AL374" s="15">
        <v>43008</v>
      </c>
      <c r="AM374" s="8">
        <v>1970</v>
      </c>
      <c r="AN374" s="15">
        <v>43008</v>
      </c>
      <c r="AO374" s="8">
        <v>2720</v>
      </c>
      <c r="AR374" s="11">
        <v>43616</v>
      </c>
      <c r="AS374" s="11">
        <v>43616</v>
      </c>
      <c r="AT374" s="10">
        <v>64.489999999999995</v>
      </c>
    </row>
    <row r="375" spans="1:46" x14ac:dyDescent="0.25">
      <c r="A375" s="16">
        <v>29617</v>
      </c>
      <c r="B375" s="1">
        <v>8540</v>
      </c>
      <c r="C375" s="13" t="str">
        <f t="shared" si="5"/>
        <v>82013</v>
      </c>
      <c r="D375" s="2">
        <v>41516</v>
      </c>
      <c r="E375" s="1">
        <v>-1836</v>
      </c>
      <c r="F375" s="16">
        <v>45688</v>
      </c>
      <c r="G375" s="1">
        <v>9058.8240000000005</v>
      </c>
      <c r="H375" s="16">
        <v>45688</v>
      </c>
      <c r="I375" s="1">
        <v>4220</v>
      </c>
      <c r="J375" s="16">
        <v>45688</v>
      </c>
      <c r="K375" s="1">
        <v>4361</v>
      </c>
      <c r="L375" s="16">
        <v>45688</v>
      </c>
      <c r="M375" s="1">
        <v>1308</v>
      </c>
      <c r="N375" s="16">
        <v>45688</v>
      </c>
      <c r="O375" s="1">
        <v>1532.5160000000001</v>
      </c>
      <c r="P375" s="16">
        <v>45688</v>
      </c>
      <c r="Q375" s="1">
        <v>9804.6</v>
      </c>
      <c r="R375" s="16">
        <v>45688</v>
      </c>
      <c r="S375" s="1">
        <v>930</v>
      </c>
      <c r="T375" s="16">
        <v>45688</v>
      </c>
      <c r="U375" s="1">
        <v>4340</v>
      </c>
      <c r="V375" s="16">
        <v>45688</v>
      </c>
      <c r="W375" s="1">
        <v>3445.7919999999999</v>
      </c>
      <c r="X375" s="15">
        <v>43069</v>
      </c>
      <c r="Y375" s="8">
        <v>32470</v>
      </c>
      <c r="Z375" s="15">
        <v>43039</v>
      </c>
      <c r="AA375" s="8">
        <v>10010</v>
      </c>
      <c r="AB375" s="15">
        <v>43039</v>
      </c>
      <c r="AC375" s="8">
        <v>2910</v>
      </c>
      <c r="AD375" s="15">
        <v>43039</v>
      </c>
      <c r="AE375" s="8">
        <v>3810</v>
      </c>
      <c r="AF375" s="15">
        <v>43039</v>
      </c>
      <c r="AG375" s="8">
        <v>4350</v>
      </c>
      <c r="AH375" s="15">
        <v>43039</v>
      </c>
      <c r="AI375" s="8">
        <v>980</v>
      </c>
      <c r="AJ375" s="15">
        <v>43039</v>
      </c>
      <c r="AK375" s="8">
        <v>1750</v>
      </c>
      <c r="AL375" s="15">
        <v>43039</v>
      </c>
      <c r="AM375" s="8">
        <v>1860</v>
      </c>
      <c r="AN375" s="15">
        <v>43039</v>
      </c>
      <c r="AO375" s="8">
        <v>2750</v>
      </c>
      <c r="AR375" s="11">
        <v>43644</v>
      </c>
      <c r="AS375" s="11">
        <v>43644</v>
      </c>
      <c r="AT375" s="10">
        <v>66.55</v>
      </c>
    </row>
    <row r="376" spans="1:46" x14ac:dyDescent="0.25">
      <c r="A376" s="16">
        <v>29645</v>
      </c>
      <c r="B376" s="1">
        <v>8604</v>
      </c>
      <c r="C376" s="13" t="str">
        <f t="shared" si="5"/>
        <v>92013</v>
      </c>
      <c r="D376" s="2">
        <v>41547</v>
      </c>
      <c r="E376" s="1">
        <v>5472</v>
      </c>
      <c r="F376" s="16">
        <v>45716</v>
      </c>
      <c r="G376" s="1">
        <v>9058.3989999999994</v>
      </c>
      <c r="H376" s="16">
        <v>45716</v>
      </c>
      <c r="I376" s="1">
        <v>4270</v>
      </c>
      <c r="J376" s="16">
        <v>45716</v>
      </c>
      <c r="K376" s="1">
        <v>4331</v>
      </c>
      <c r="L376" s="16">
        <v>45716</v>
      </c>
      <c r="M376" s="1">
        <v>1348</v>
      </c>
      <c r="N376" s="16">
        <v>45716</v>
      </c>
      <c r="O376" s="1">
        <v>1580.442</v>
      </c>
      <c r="P376" s="16">
        <v>45716</v>
      </c>
      <c r="Q376" s="1">
        <v>9794.7000000000007</v>
      </c>
      <c r="R376" s="16">
        <v>45716</v>
      </c>
      <c r="S376" s="1">
        <v>940</v>
      </c>
      <c r="T376" s="16">
        <v>45716</v>
      </c>
      <c r="U376" s="1">
        <v>4340</v>
      </c>
      <c r="V376" s="16">
        <v>45716</v>
      </c>
      <c r="W376" s="1">
        <v>3488.098</v>
      </c>
      <c r="X376" s="15">
        <v>43100</v>
      </c>
      <c r="Y376" s="8">
        <v>32380</v>
      </c>
      <c r="Z376" s="15">
        <v>43069</v>
      </c>
      <c r="AA376" s="8">
        <v>9970</v>
      </c>
      <c r="AB376" s="15">
        <v>43069</v>
      </c>
      <c r="AC376" s="8">
        <v>2880</v>
      </c>
      <c r="AD376" s="15">
        <v>43069</v>
      </c>
      <c r="AE376" s="8">
        <v>3820</v>
      </c>
      <c r="AF376" s="15">
        <v>43069</v>
      </c>
      <c r="AG376" s="8">
        <v>4390</v>
      </c>
      <c r="AH376" s="15">
        <v>43069</v>
      </c>
      <c r="AI376" s="8">
        <v>1000</v>
      </c>
      <c r="AJ376" s="15">
        <v>43069</v>
      </c>
      <c r="AK376" s="8">
        <v>1780</v>
      </c>
      <c r="AL376" s="15">
        <v>43069</v>
      </c>
      <c r="AM376" s="8">
        <v>1860</v>
      </c>
      <c r="AN376" s="15">
        <v>43069</v>
      </c>
      <c r="AO376" s="8">
        <v>2700</v>
      </c>
      <c r="AR376" s="11">
        <v>43677</v>
      </c>
      <c r="AS376" s="11">
        <v>43677</v>
      </c>
      <c r="AT376" s="10">
        <v>65.17</v>
      </c>
    </row>
    <row r="377" spans="1:46" x14ac:dyDescent="0.25">
      <c r="A377" s="16">
        <v>29676</v>
      </c>
      <c r="B377" s="1">
        <v>8613</v>
      </c>
      <c r="C377" s="13" t="str">
        <f t="shared" si="5"/>
        <v>102013</v>
      </c>
      <c r="D377" s="2">
        <v>41578</v>
      </c>
      <c r="E377" s="1">
        <v>4087</v>
      </c>
      <c r="F377" s="16">
        <v>45747</v>
      </c>
      <c r="G377" s="1">
        <v>9308.0969999999998</v>
      </c>
      <c r="H377" s="16">
        <v>45747</v>
      </c>
      <c r="I377" s="1">
        <v>4170</v>
      </c>
      <c r="J377" s="16">
        <v>45747</v>
      </c>
      <c r="K377" s="1">
        <v>4411</v>
      </c>
      <c r="L377" s="16">
        <v>45747</v>
      </c>
      <c r="M377" s="1">
        <v>1318</v>
      </c>
      <c r="N377" s="16">
        <v>45747</v>
      </c>
      <c r="O377" s="1">
        <v>1598.3689999999999</v>
      </c>
      <c r="P377" s="16">
        <v>45747</v>
      </c>
      <c r="Q377" s="1">
        <v>9794.7639999999992</v>
      </c>
      <c r="R377" s="16">
        <v>45747</v>
      </c>
      <c r="S377" s="1">
        <v>950</v>
      </c>
      <c r="T377" s="16">
        <v>45747</v>
      </c>
      <c r="U377" s="1">
        <v>4500</v>
      </c>
      <c r="V377" s="16">
        <v>45747</v>
      </c>
      <c r="W377" s="1">
        <v>3620.81</v>
      </c>
      <c r="X377" s="15">
        <v>43131</v>
      </c>
      <c r="Y377" s="8">
        <v>32360</v>
      </c>
      <c r="Z377" s="15">
        <v>43100</v>
      </c>
      <c r="AA377" s="8">
        <v>9950</v>
      </c>
      <c r="AB377" s="15">
        <v>43100</v>
      </c>
      <c r="AC377" s="8">
        <v>2890</v>
      </c>
      <c r="AD377" s="15">
        <v>43100</v>
      </c>
      <c r="AE377" s="8">
        <v>3800</v>
      </c>
      <c r="AF377" s="15">
        <v>43100</v>
      </c>
      <c r="AG377" s="8">
        <v>4430</v>
      </c>
      <c r="AH377" s="15">
        <v>43100</v>
      </c>
      <c r="AI377" s="8">
        <v>970</v>
      </c>
      <c r="AJ377" s="15">
        <v>43100</v>
      </c>
      <c r="AK377" s="8">
        <v>1820</v>
      </c>
      <c r="AL377" s="15">
        <v>43100</v>
      </c>
      <c r="AM377" s="8">
        <v>1700</v>
      </c>
      <c r="AN377" s="15">
        <v>43100</v>
      </c>
      <c r="AO377" s="8">
        <v>2690</v>
      </c>
      <c r="AR377" s="11">
        <v>43707</v>
      </c>
      <c r="AS377" s="11">
        <v>43707</v>
      </c>
      <c r="AT377" s="10">
        <v>60.43</v>
      </c>
    </row>
    <row r="378" spans="1:46" x14ac:dyDescent="0.25">
      <c r="A378" s="16">
        <v>29706</v>
      </c>
      <c r="B378" s="1">
        <v>8557</v>
      </c>
      <c r="C378" s="13" t="str">
        <f t="shared" si="5"/>
        <v>112013</v>
      </c>
      <c r="D378" s="2">
        <v>41607</v>
      </c>
      <c r="E378" s="1">
        <v>-5585</v>
      </c>
      <c r="F378" s="16">
        <v>45777</v>
      </c>
      <c r="G378" s="1">
        <v>9110</v>
      </c>
      <c r="H378" s="16">
        <v>45777</v>
      </c>
      <c r="I378" s="1">
        <v>4220</v>
      </c>
      <c r="J378" s="16">
        <v>45777</v>
      </c>
      <c r="K378" s="1">
        <v>4341</v>
      </c>
      <c r="L378" s="16">
        <v>45777</v>
      </c>
      <c r="M378" s="1">
        <v>1358</v>
      </c>
      <c r="N378" s="16">
        <v>45777</v>
      </c>
      <c r="O378" s="1">
        <v>1576.296</v>
      </c>
      <c r="P378" s="16">
        <v>45777</v>
      </c>
      <c r="Q378" s="1">
        <v>9852.9940000000006</v>
      </c>
      <c r="R378" s="16">
        <v>45777</v>
      </c>
      <c r="S378" s="1">
        <v>960</v>
      </c>
      <c r="T378" s="16">
        <v>45777</v>
      </c>
      <c r="U378" s="1">
        <v>4310</v>
      </c>
      <c r="V378" s="16">
        <v>45777</v>
      </c>
      <c r="W378" s="1">
        <v>3632.096</v>
      </c>
      <c r="X378" s="15">
        <v>43159</v>
      </c>
      <c r="Y378" s="8">
        <v>32210</v>
      </c>
      <c r="Z378" s="15">
        <v>43131</v>
      </c>
      <c r="AA378" s="8">
        <v>9960</v>
      </c>
      <c r="AB378" s="15">
        <v>43131</v>
      </c>
      <c r="AC378" s="8">
        <v>2850</v>
      </c>
      <c r="AD378" s="15">
        <v>43131</v>
      </c>
      <c r="AE378" s="8">
        <v>3830</v>
      </c>
      <c r="AF378" s="15">
        <v>43131</v>
      </c>
      <c r="AG378" s="8">
        <v>4430</v>
      </c>
      <c r="AH378" s="15">
        <v>43131</v>
      </c>
      <c r="AI378" s="8">
        <v>980</v>
      </c>
      <c r="AJ378" s="15">
        <v>43131</v>
      </c>
      <c r="AK378" s="8">
        <v>1800</v>
      </c>
      <c r="AL378" s="15">
        <v>43131</v>
      </c>
      <c r="AM378" s="8">
        <v>1710</v>
      </c>
      <c r="AN378" s="15">
        <v>43131</v>
      </c>
      <c r="AO378" s="8">
        <v>2710</v>
      </c>
      <c r="AR378" s="11">
        <v>43738</v>
      </c>
      <c r="AS378" s="11">
        <v>43738</v>
      </c>
      <c r="AT378" s="10">
        <v>60.78</v>
      </c>
    </row>
    <row r="379" spans="1:46" x14ac:dyDescent="0.25">
      <c r="A379" s="16">
        <v>29737</v>
      </c>
      <c r="B379" s="1">
        <v>8501</v>
      </c>
      <c r="C379" s="13" t="str">
        <f t="shared" si="5"/>
        <v>122013</v>
      </c>
      <c r="D379" s="2">
        <v>41639</v>
      </c>
      <c r="E379" s="1">
        <v>-7007</v>
      </c>
      <c r="F379" s="16">
        <v>45808</v>
      </c>
      <c r="G379" s="1">
        <v>9260</v>
      </c>
      <c r="H379" s="16">
        <v>45808</v>
      </c>
      <c r="I379" s="1">
        <v>4270</v>
      </c>
      <c r="J379" s="16">
        <v>45808</v>
      </c>
      <c r="K379" s="1">
        <v>4371</v>
      </c>
      <c r="L379" s="16">
        <v>45808</v>
      </c>
      <c r="M379" s="1">
        <v>1388</v>
      </c>
      <c r="N379" s="16">
        <v>45808</v>
      </c>
      <c r="O379" s="1">
        <v>1614.222</v>
      </c>
      <c r="P379" s="16">
        <v>45808</v>
      </c>
      <c r="Q379" s="1">
        <v>9818.1229999999996</v>
      </c>
      <c r="R379" s="16">
        <v>45808</v>
      </c>
      <c r="S379" s="1">
        <v>970</v>
      </c>
      <c r="T379" s="16">
        <v>45808</v>
      </c>
      <c r="U379" s="1">
        <v>4350</v>
      </c>
      <c r="V379" s="16">
        <v>45808</v>
      </c>
      <c r="W379" s="1">
        <v>3679.0729999999999</v>
      </c>
      <c r="X379" s="15">
        <v>43190</v>
      </c>
      <c r="Y379" s="8">
        <v>31970</v>
      </c>
      <c r="Z379" s="15">
        <v>43159</v>
      </c>
      <c r="AA379" s="8">
        <v>9880</v>
      </c>
      <c r="AB379" s="15">
        <v>43159</v>
      </c>
      <c r="AC379" s="8">
        <v>2800</v>
      </c>
      <c r="AD379" s="15">
        <v>43159</v>
      </c>
      <c r="AE379" s="8">
        <v>3830</v>
      </c>
      <c r="AF379" s="15">
        <v>43159</v>
      </c>
      <c r="AG379" s="8">
        <v>4430</v>
      </c>
      <c r="AH379" s="15">
        <v>43159</v>
      </c>
      <c r="AI379" s="8">
        <v>1050</v>
      </c>
      <c r="AJ379" s="15">
        <v>43159</v>
      </c>
      <c r="AK379" s="8">
        <v>1800</v>
      </c>
      <c r="AL379" s="15">
        <v>43159</v>
      </c>
      <c r="AM379" s="8">
        <v>1610</v>
      </c>
      <c r="AN379" s="15">
        <v>43159</v>
      </c>
      <c r="AO379" s="8">
        <v>2700</v>
      </c>
      <c r="AR379" s="11">
        <v>43769</v>
      </c>
      <c r="AS379" s="11">
        <v>43769</v>
      </c>
      <c r="AT379" s="10">
        <v>60.23</v>
      </c>
    </row>
    <row r="380" spans="1:46" x14ac:dyDescent="0.25">
      <c r="A380" s="16">
        <v>29767</v>
      </c>
      <c r="B380" s="1">
        <v>8629</v>
      </c>
      <c r="C380" s="13" t="str">
        <f t="shared" si="5"/>
        <v>12014</v>
      </c>
      <c r="D380" s="2">
        <v>41670</v>
      </c>
      <c r="E380" s="1">
        <v>440</v>
      </c>
      <c r="F380" s="16">
        <v>45838</v>
      </c>
      <c r="G380" s="1">
        <v>9910</v>
      </c>
      <c r="H380" s="16">
        <v>45838</v>
      </c>
      <c r="I380" s="1">
        <v>4030</v>
      </c>
      <c r="J380" s="16">
        <v>45838</v>
      </c>
      <c r="K380" s="1">
        <v>4381</v>
      </c>
      <c r="L380" s="16">
        <v>45838</v>
      </c>
      <c r="M380" s="1">
        <v>1368</v>
      </c>
      <c r="N380" s="16">
        <v>45838</v>
      </c>
      <c r="O380" s="1">
        <v>1642.1489999999999</v>
      </c>
      <c r="P380" s="16">
        <v>45838</v>
      </c>
      <c r="Q380" s="1">
        <v>9783.2520000000004</v>
      </c>
      <c r="R380" s="16">
        <v>45838</v>
      </c>
      <c r="S380" s="1">
        <v>980</v>
      </c>
      <c r="T380" s="16">
        <v>45838</v>
      </c>
      <c r="U380" s="1">
        <v>4430</v>
      </c>
      <c r="V380" s="16">
        <v>45838</v>
      </c>
      <c r="W380" s="1">
        <v>3757.4070000000002</v>
      </c>
      <c r="X380" s="15">
        <v>43220</v>
      </c>
      <c r="Y380" s="8">
        <v>31900</v>
      </c>
      <c r="Z380" s="15">
        <v>43190</v>
      </c>
      <c r="AA380" s="8">
        <v>9870</v>
      </c>
      <c r="AB380" s="15">
        <v>43190</v>
      </c>
      <c r="AC380" s="8">
        <v>2860</v>
      </c>
      <c r="AD380" s="15">
        <v>43190</v>
      </c>
      <c r="AE380" s="8">
        <v>3810</v>
      </c>
      <c r="AF380" s="15">
        <v>43190</v>
      </c>
      <c r="AG380" s="8">
        <v>4430</v>
      </c>
      <c r="AH380" s="15">
        <v>43190</v>
      </c>
      <c r="AI380" s="8">
        <v>990</v>
      </c>
      <c r="AJ380" s="15">
        <v>43190</v>
      </c>
      <c r="AK380" s="8">
        <v>1810</v>
      </c>
      <c r="AL380" s="15">
        <v>43190</v>
      </c>
      <c r="AM380" s="8">
        <v>1510</v>
      </c>
      <c r="AN380" s="15">
        <v>43190</v>
      </c>
      <c r="AO380" s="8">
        <v>2700</v>
      </c>
      <c r="AR380" s="11">
        <v>43798</v>
      </c>
      <c r="AS380" s="11">
        <v>43798</v>
      </c>
      <c r="AT380" s="10">
        <v>62.43</v>
      </c>
    </row>
    <row r="381" spans="1:46" x14ac:dyDescent="0.25">
      <c r="A381" s="16">
        <v>29798</v>
      </c>
      <c r="B381" s="1">
        <v>8500</v>
      </c>
      <c r="C381" s="13" t="str">
        <f t="shared" si="5"/>
        <v>22014</v>
      </c>
      <c r="D381" s="2">
        <v>41698</v>
      </c>
      <c r="E381" s="1">
        <v>1429</v>
      </c>
      <c r="F381" s="16">
        <v>45869</v>
      </c>
      <c r="G381" s="1">
        <v>9420</v>
      </c>
      <c r="H381" s="16">
        <v>45869</v>
      </c>
      <c r="I381" s="1">
        <v>4170</v>
      </c>
      <c r="J381" s="16">
        <v>45869</v>
      </c>
      <c r="K381" s="1">
        <v>4361</v>
      </c>
      <c r="L381" s="16">
        <v>45869</v>
      </c>
      <c r="M381" s="1">
        <v>1388</v>
      </c>
      <c r="N381" s="16">
        <v>45869</v>
      </c>
      <c r="O381" s="1">
        <v>1610.075</v>
      </c>
      <c r="P381" s="16">
        <v>45869</v>
      </c>
      <c r="Q381" s="1">
        <v>9813.3819999999996</v>
      </c>
      <c r="R381" s="16">
        <v>45869</v>
      </c>
      <c r="S381" s="1">
        <v>980</v>
      </c>
      <c r="T381" s="16">
        <v>45869</v>
      </c>
      <c r="U381" s="1">
        <v>4270</v>
      </c>
      <c r="V381" s="16">
        <v>45869</v>
      </c>
      <c r="W381" s="1">
        <v>3958.8290000000002</v>
      </c>
      <c r="X381" s="15">
        <v>43251</v>
      </c>
      <c r="Y381" s="8">
        <v>31800</v>
      </c>
      <c r="Z381" s="15">
        <v>43220</v>
      </c>
      <c r="AA381" s="8">
        <v>9900</v>
      </c>
      <c r="AB381" s="15">
        <v>43220</v>
      </c>
      <c r="AC381" s="8">
        <v>2860</v>
      </c>
      <c r="AD381" s="15">
        <v>43220</v>
      </c>
      <c r="AE381" s="8">
        <v>3780</v>
      </c>
      <c r="AF381" s="15">
        <v>43220</v>
      </c>
      <c r="AG381" s="8">
        <v>4430</v>
      </c>
      <c r="AH381" s="15">
        <v>43220</v>
      </c>
      <c r="AI381" s="8">
        <v>990</v>
      </c>
      <c r="AJ381" s="15">
        <v>43220</v>
      </c>
      <c r="AK381" s="8">
        <v>1810</v>
      </c>
      <c r="AL381" s="15">
        <v>43220</v>
      </c>
      <c r="AM381" s="8">
        <v>1490</v>
      </c>
      <c r="AN381" s="15">
        <v>43220</v>
      </c>
      <c r="AO381" s="8">
        <v>2700</v>
      </c>
      <c r="AR381" s="11">
        <v>43830</v>
      </c>
      <c r="AS381" s="11">
        <v>43830</v>
      </c>
      <c r="AT381" s="10">
        <v>66</v>
      </c>
    </row>
    <row r="382" spans="1:46" x14ac:dyDescent="0.25">
      <c r="A382" s="16">
        <v>29829</v>
      </c>
      <c r="B382" s="1">
        <v>8583</v>
      </c>
      <c r="C382" s="13" t="str">
        <f t="shared" si="5"/>
        <v>32014</v>
      </c>
      <c r="D382" s="2">
        <v>41729</v>
      </c>
      <c r="E382" s="1">
        <v>-2379</v>
      </c>
      <c r="F382" s="16">
        <v>45900</v>
      </c>
      <c r="G382" s="1">
        <v>9320</v>
      </c>
      <c r="H382" s="16">
        <v>45900</v>
      </c>
      <c r="I382" s="1">
        <v>4120</v>
      </c>
      <c r="J382" s="16">
        <v>45900</v>
      </c>
      <c r="K382" s="1">
        <v>4461</v>
      </c>
      <c r="L382" s="16">
        <v>45900</v>
      </c>
      <c r="M382" s="1">
        <v>1338</v>
      </c>
      <c r="N382" s="16">
        <v>45900</v>
      </c>
      <c r="O382" s="1">
        <v>1688.002</v>
      </c>
      <c r="P382" s="16">
        <v>45900</v>
      </c>
      <c r="Q382" s="1">
        <v>9803.0820000000003</v>
      </c>
      <c r="R382" s="16">
        <v>45900</v>
      </c>
      <c r="S382" s="1">
        <v>995</v>
      </c>
      <c r="T382" s="16">
        <v>45900</v>
      </c>
      <c r="U382" s="1">
        <v>4300</v>
      </c>
      <c r="V382" s="16">
        <v>45900</v>
      </c>
      <c r="W382" s="1">
        <v>3893.9450000000002</v>
      </c>
      <c r="X382" s="15">
        <v>43281</v>
      </c>
      <c r="Y382" s="8">
        <v>32300</v>
      </c>
      <c r="Z382" s="15">
        <v>43251</v>
      </c>
      <c r="AA382" s="8">
        <v>9970</v>
      </c>
      <c r="AB382" s="15">
        <v>43251</v>
      </c>
      <c r="AC382" s="8">
        <v>2870</v>
      </c>
      <c r="AD382" s="15">
        <v>43251</v>
      </c>
      <c r="AE382" s="8">
        <v>3810</v>
      </c>
      <c r="AF382" s="15">
        <v>43251</v>
      </c>
      <c r="AG382" s="8">
        <v>4480</v>
      </c>
      <c r="AH382" s="15">
        <v>43251</v>
      </c>
      <c r="AI382" s="8">
        <v>990</v>
      </c>
      <c r="AJ382" s="15">
        <v>43251</v>
      </c>
      <c r="AK382" s="8">
        <v>1560</v>
      </c>
      <c r="AL382" s="15">
        <v>43251</v>
      </c>
      <c r="AM382" s="8">
        <v>1440</v>
      </c>
      <c r="AN382" s="15">
        <v>43251</v>
      </c>
      <c r="AO382" s="8">
        <v>2710</v>
      </c>
      <c r="AR382" s="11">
        <v>43861</v>
      </c>
      <c r="AS382" s="11">
        <v>43861</v>
      </c>
      <c r="AT382" s="10">
        <v>58.16</v>
      </c>
    </row>
    <row r="383" spans="1:46" x14ac:dyDescent="0.25">
      <c r="A383" s="16">
        <v>29859</v>
      </c>
      <c r="B383" s="1">
        <v>8604</v>
      </c>
      <c r="C383" s="13" t="str">
        <f t="shared" si="5"/>
        <v>42014</v>
      </c>
      <c r="D383" s="2">
        <v>41759</v>
      </c>
      <c r="E383" s="1">
        <v>1698</v>
      </c>
      <c r="F383" s="16">
        <v>45930</v>
      </c>
      <c r="G383" s="1">
        <v>10220</v>
      </c>
      <c r="H383" s="16">
        <v>45930</v>
      </c>
      <c r="I383" s="1">
        <v>4200</v>
      </c>
      <c r="J383" s="16">
        <v>45930</v>
      </c>
      <c r="K383" s="1">
        <v>4461</v>
      </c>
      <c r="L383" s="16">
        <v>45930</v>
      </c>
      <c r="M383" s="1">
        <v>1398</v>
      </c>
      <c r="N383" s="16">
        <v>45930</v>
      </c>
      <c r="O383" s="1">
        <v>1665.9290000000001</v>
      </c>
      <c r="P383" s="16">
        <v>45930</v>
      </c>
      <c r="Q383" s="1">
        <v>9945.7489999999998</v>
      </c>
      <c r="R383" s="16">
        <v>45930</v>
      </c>
      <c r="S383" s="1">
        <v>1000</v>
      </c>
      <c r="T383" s="16">
        <v>45930</v>
      </c>
      <c r="U383" s="1">
        <v>4320</v>
      </c>
      <c r="V383" s="16">
        <v>45930</v>
      </c>
      <c r="W383" s="1">
        <v>3912.3589999999999</v>
      </c>
      <c r="X383" s="15">
        <v>43312</v>
      </c>
      <c r="Y383" s="8">
        <v>32320</v>
      </c>
      <c r="Z383" s="15">
        <v>43281</v>
      </c>
      <c r="AA383" s="8">
        <v>10420</v>
      </c>
      <c r="AB383" s="15">
        <v>43281</v>
      </c>
      <c r="AC383" s="8">
        <v>2890</v>
      </c>
      <c r="AD383" s="15">
        <v>43281</v>
      </c>
      <c r="AE383" s="8">
        <v>3780</v>
      </c>
      <c r="AF383" s="15">
        <v>43281</v>
      </c>
      <c r="AG383" s="8">
        <v>4500</v>
      </c>
      <c r="AH383" s="15">
        <v>43281</v>
      </c>
      <c r="AI383" s="8">
        <v>690</v>
      </c>
      <c r="AJ383" s="15">
        <v>43281</v>
      </c>
      <c r="AK383" s="8">
        <v>1620</v>
      </c>
      <c r="AL383" s="15">
        <v>43281</v>
      </c>
      <c r="AM383" s="8">
        <v>1380</v>
      </c>
      <c r="AN383" s="15">
        <v>43281</v>
      </c>
      <c r="AO383" s="8">
        <v>2760</v>
      </c>
      <c r="AR383" s="11">
        <v>43889</v>
      </c>
      <c r="AS383" s="11">
        <v>43889</v>
      </c>
      <c r="AT383" s="10">
        <v>50.52</v>
      </c>
    </row>
    <row r="384" spans="1:46" x14ac:dyDescent="0.25">
      <c r="A384" s="16">
        <v>29890</v>
      </c>
      <c r="B384" s="1">
        <v>8563</v>
      </c>
      <c r="C384" s="13" t="str">
        <f t="shared" si="5"/>
        <v>52014</v>
      </c>
      <c r="D384" s="2">
        <v>41789</v>
      </c>
      <c r="E384" s="1">
        <v>-3431</v>
      </c>
      <c r="F384" s="16">
        <v>45961</v>
      </c>
      <c r="G384" s="1">
        <v>9990</v>
      </c>
      <c r="H384" s="16">
        <v>45961</v>
      </c>
      <c r="I384" s="1">
        <v>4270</v>
      </c>
      <c r="J384" s="16">
        <v>45961</v>
      </c>
      <c r="K384" s="1">
        <v>4461</v>
      </c>
      <c r="L384" s="16">
        <v>45961</v>
      </c>
      <c r="M384" s="1">
        <v>1358</v>
      </c>
      <c r="N384" s="16">
        <v>45961</v>
      </c>
      <c r="O384" s="1">
        <v>1623.855</v>
      </c>
      <c r="P384" s="16">
        <v>45961</v>
      </c>
      <c r="Q384" s="1">
        <v>10073.949000000001</v>
      </c>
      <c r="R384" s="16">
        <v>45961</v>
      </c>
      <c r="S384" s="1">
        <v>1005</v>
      </c>
      <c r="T384" s="16">
        <v>45961</v>
      </c>
      <c r="U384" s="1">
        <v>4240</v>
      </c>
      <c r="V384" s="16">
        <v>45961</v>
      </c>
      <c r="W384" s="1">
        <v>4029.7750000000001</v>
      </c>
      <c r="X384" s="15">
        <v>43343</v>
      </c>
      <c r="Y384" s="8">
        <v>32800</v>
      </c>
      <c r="Z384" s="15">
        <v>43312</v>
      </c>
      <c r="AA384" s="8">
        <v>10370</v>
      </c>
      <c r="AB384" s="15">
        <v>43312</v>
      </c>
      <c r="AC384" s="8">
        <v>2960</v>
      </c>
      <c r="AD384" s="15">
        <v>43312</v>
      </c>
      <c r="AE384" s="8">
        <v>3740</v>
      </c>
      <c r="AF384" s="15">
        <v>43312</v>
      </c>
      <c r="AG384" s="8">
        <v>4560</v>
      </c>
      <c r="AH384" s="15">
        <v>43312</v>
      </c>
      <c r="AI384" s="8">
        <v>660</v>
      </c>
      <c r="AJ384" s="15">
        <v>43312</v>
      </c>
      <c r="AK384" s="8">
        <v>1720</v>
      </c>
      <c r="AL384" s="15">
        <v>43312</v>
      </c>
      <c r="AM384" s="8">
        <v>1310</v>
      </c>
      <c r="AN384" s="15">
        <v>43312</v>
      </c>
      <c r="AO384" s="8">
        <v>2770</v>
      </c>
      <c r="AR384" s="11">
        <v>43921</v>
      </c>
      <c r="AS384" s="11">
        <v>43921</v>
      </c>
      <c r="AT384" s="10">
        <v>22.74</v>
      </c>
    </row>
    <row r="385" spans="1:46" x14ac:dyDescent="0.25">
      <c r="A385" s="16">
        <v>29920</v>
      </c>
      <c r="B385" s="1">
        <v>8586</v>
      </c>
      <c r="C385" s="13" t="str">
        <f t="shared" si="5"/>
        <v>62014</v>
      </c>
      <c r="D385" s="2">
        <v>41820</v>
      </c>
      <c r="E385" s="1">
        <v>-3155</v>
      </c>
      <c r="F385" s="16">
        <v>45991</v>
      </c>
      <c r="G385" s="1">
        <v>9940</v>
      </c>
      <c r="H385" s="16">
        <v>45991</v>
      </c>
      <c r="I385" s="1">
        <v>4170</v>
      </c>
      <c r="J385" s="16">
        <v>45991</v>
      </c>
      <c r="K385" s="1">
        <v>4391</v>
      </c>
      <c r="L385" s="16">
        <v>45991</v>
      </c>
      <c r="M385" s="1">
        <v>1358</v>
      </c>
      <c r="N385" s="16">
        <v>45991</v>
      </c>
      <c r="O385" s="1">
        <v>1561.7819999999999</v>
      </c>
      <c r="P385" s="16">
        <v>45991</v>
      </c>
      <c r="Q385" s="1">
        <v>10056.249</v>
      </c>
      <c r="R385" s="16">
        <v>45991</v>
      </c>
      <c r="S385" s="1">
        <v>1005</v>
      </c>
      <c r="T385" s="16">
        <v>45991</v>
      </c>
      <c r="U385" s="1">
        <v>4310</v>
      </c>
      <c r="V385" s="16">
        <v>45991</v>
      </c>
      <c r="W385" s="1">
        <v>3772.5479999999998</v>
      </c>
      <c r="X385" s="15">
        <v>43373</v>
      </c>
      <c r="Y385" s="8">
        <v>32900</v>
      </c>
      <c r="Z385" s="15">
        <v>43343</v>
      </c>
      <c r="AA385" s="8">
        <v>10450</v>
      </c>
      <c r="AB385" s="15">
        <v>43343</v>
      </c>
      <c r="AC385" s="8">
        <v>3040</v>
      </c>
      <c r="AD385" s="15">
        <v>43343</v>
      </c>
      <c r="AE385" s="8">
        <v>3500</v>
      </c>
      <c r="AF385" s="15">
        <v>43343</v>
      </c>
      <c r="AG385" s="8">
        <v>4640</v>
      </c>
      <c r="AH385" s="15">
        <v>43343</v>
      </c>
      <c r="AI385" s="8">
        <v>970</v>
      </c>
      <c r="AJ385" s="15">
        <v>43343</v>
      </c>
      <c r="AK385" s="8">
        <v>1760</v>
      </c>
      <c r="AL385" s="15">
        <v>43343</v>
      </c>
      <c r="AM385" s="8">
        <v>1330</v>
      </c>
      <c r="AN385" s="15">
        <v>43343</v>
      </c>
      <c r="AO385" s="8">
        <v>2830</v>
      </c>
      <c r="AR385" s="11">
        <v>43951</v>
      </c>
      <c r="AS385" s="11">
        <v>43951</v>
      </c>
      <c r="AT385" s="10">
        <v>25.27</v>
      </c>
    </row>
    <row r="386" spans="1:46" x14ac:dyDescent="0.25">
      <c r="A386" s="16">
        <v>29951</v>
      </c>
      <c r="B386" s="1">
        <v>8585</v>
      </c>
      <c r="C386" s="13" t="str">
        <f t="shared" si="5"/>
        <v>72014</v>
      </c>
      <c r="D386" s="2">
        <v>41851</v>
      </c>
      <c r="E386" s="1">
        <v>-3697</v>
      </c>
      <c r="F386" s="16">
        <v>46022</v>
      </c>
      <c r="G386" s="1">
        <v>10060</v>
      </c>
      <c r="H386" s="16">
        <v>46022</v>
      </c>
      <c r="I386" s="1">
        <v>4220</v>
      </c>
      <c r="J386" s="16">
        <v>46022</v>
      </c>
      <c r="K386" s="1">
        <v>4321</v>
      </c>
      <c r="L386" s="16">
        <v>46022</v>
      </c>
      <c r="M386" s="1">
        <v>1428</v>
      </c>
      <c r="N386" s="16">
        <v>46022</v>
      </c>
      <c r="O386" s="1">
        <v>1569.7080000000001</v>
      </c>
      <c r="P386" s="16">
        <v>46022</v>
      </c>
      <c r="Q386" s="1">
        <v>9976.5490000000009</v>
      </c>
      <c r="R386" s="16">
        <v>46022</v>
      </c>
      <c r="S386" s="1">
        <v>905</v>
      </c>
      <c r="T386" s="16">
        <v>46022</v>
      </c>
      <c r="U386" s="1">
        <v>4190</v>
      </c>
      <c r="V386" s="16">
        <v>46022</v>
      </c>
      <c r="W386" s="1">
        <v>4014.8249999999998</v>
      </c>
      <c r="X386" s="15">
        <v>43404</v>
      </c>
      <c r="Y386" s="8">
        <v>33140</v>
      </c>
      <c r="Z386" s="15">
        <v>43373</v>
      </c>
      <c r="AA386" s="8">
        <v>10530</v>
      </c>
      <c r="AB386" s="15">
        <v>43373</v>
      </c>
      <c r="AC386" s="8">
        <v>3040</v>
      </c>
      <c r="AD386" s="15">
        <v>43373</v>
      </c>
      <c r="AE386" s="8">
        <v>3430</v>
      </c>
      <c r="AF386" s="15">
        <v>43373</v>
      </c>
      <c r="AG386" s="8">
        <v>4660</v>
      </c>
      <c r="AH386" s="15">
        <v>43373</v>
      </c>
      <c r="AI386" s="8">
        <v>1050</v>
      </c>
      <c r="AJ386" s="15">
        <v>43373</v>
      </c>
      <c r="AK386" s="8">
        <v>1800</v>
      </c>
      <c r="AL386" s="15">
        <v>43373</v>
      </c>
      <c r="AM386" s="8">
        <v>1260</v>
      </c>
      <c r="AN386" s="15">
        <v>43373</v>
      </c>
      <c r="AO386" s="8">
        <v>2800</v>
      </c>
      <c r="AR386" s="11">
        <v>43980</v>
      </c>
      <c r="AS386" s="11">
        <v>43980</v>
      </c>
      <c r="AT386" s="10">
        <v>35.33</v>
      </c>
    </row>
    <row r="387" spans="1:46" x14ac:dyDescent="0.25">
      <c r="A387" s="16">
        <v>29982</v>
      </c>
      <c r="B387" s="1">
        <v>8509</v>
      </c>
      <c r="C387" s="13" t="str">
        <f t="shared" si="5"/>
        <v>82014</v>
      </c>
      <c r="D387" s="2">
        <v>41880</v>
      </c>
      <c r="E387" s="1">
        <v>-905</v>
      </c>
      <c r="X387" s="15">
        <v>43434</v>
      </c>
      <c r="Y387" s="8">
        <v>33150</v>
      </c>
      <c r="Z387" s="15">
        <v>43404</v>
      </c>
      <c r="AA387" s="8">
        <v>10680</v>
      </c>
      <c r="AB387" s="15">
        <v>43404</v>
      </c>
      <c r="AC387" s="8">
        <v>3120</v>
      </c>
      <c r="AD387" s="15">
        <v>43404</v>
      </c>
      <c r="AE387" s="8">
        <v>3320</v>
      </c>
      <c r="AF387" s="15">
        <v>43404</v>
      </c>
      <c r="AG387" s="8">
        <v>4660</v>
      </c>
      <c r="AH387" s="15">
        <v>43404</v>
      </c>
      <c r="AI387" s="8">
        <v>1200</v>
      </c>
      <c r="AJ387" s="15">
        <v>43404</v>
      </c>
      <c r="AK387" s="8">
        <v>1800</v>
      </c>
      <c r="AL387" s="15">
        <v>43404</v>
      </c>
      <c r="AM387" s="8">
        <v>1220</v>
      </c>
      <c r="AN387" s="15">
        <v>43404</v>
      </c>
      <c r="AO387" s="8">
        <v>2790</v>
      </c>
      <c r="AR387" s="11">
        <v>44012</v>
      </c>
      <c r="AS387" s="11">
        <v>44012</v>
      </c>
      <c r="AT387" s="10">
        <v>41.15</v>
      </c>
    </row>
    <row r="388" spans="1:46" x14ac:dyDescent="0.25">
      <c r="A388" s="16">
        <v>30010</v>
      </c>
      <c r="B388" s="1">
        <v>8702</v>
      </c>
      <c r="C388" s="13" t="str">
        <f t="shared" si="5"/>
        <v>92014</v>
      </c>
      <c r="D388" s="2">
        <v>41912</v>
      </c>
      <c r="E388" s="1">
        <v>-1363</v>
      </c>
      <c r="X388" s="15">
        <v>43465</v>
      </c>
      <c r="Y388" s="8">
        <v>32550</v>
      </c>
      <c r="Z388" s="15">
        <v>43434</v>
      </c>
      <c r="AA388" s="8">
        <v>11070</v>
      </c>
      <c r="AB388" s="15">
        <v>43434</v>
      </c>
      <c r="AC388" s="8">
        <v>3270</v>
      </c>
      <c r="AD388" s="15">
        <v>43434</v>
      </c>
      <c r="AE388" s="8">
        <v>3040</v>
      </c>
      <c r="AF388" s="15">
        <v>43434</v>
      </c>
      <c r="AG388" s="8">
        <v>4570</v>
      </c>
      <c r="AH388" s="15">
        <v>43434</v>
      </c>
      <c r="AI388" s="8">
        <v>1110</v>
      </c>
      <c r="AJ388" s="15">
        <v>43434</v>
      </c>
      <c r="AK388" s="8">
        <v>1760</v>
      </c>
      <c r="AL388" s="15">
        <v>43434</v>
      </c>
      <c r="AM388" s="8">
        <v>1230</v>
      </c>
      <c r="AN388" s="15">
        <v>43434</v>
      </c>
      <c r="AO388" s="8">
        <v>2800</v>
      </c>
      <c r="AR388" s="11">
        <v>44043</v>
      </c>
      <c r="AS388" s="11">
        <v>44043</v>
      </c>
      <c r="AT388" s="10">
        <v>43.3</v>
      </c>
    </row>
    <row r="389" spans="1:46" x14ac:dyDescent="0.25">
      <c r="A389" s="16">
        <v>30041</v>
      </c>
      <c r="B389" s="1">
        <v>8667</v>
      </c>
      <c r="C389" s="13" t="str">
        <f t="shared" ref="C389:C452" si="6">MONTH(D389)&amp;YEAR(D389)</f>
        <v>102014</v>
      </c>
      <c r="D389" s="2">
        <v>41943</v>
      </c>
      <c r="E389" s="1">
        <v>460</v>
      </c>
      <c r="X389" s="15">
        <v>43496</v>
      </c>
      <c r="Y389" s="8">
        <v>31060</v>
      </c>
      <c r="Z389" s="15">
        <v>43465</v>
      </c>
      <c r="AA389" s="8">
        <v>10650</v>
      </c>
      <c r="AB389" s="15">
        <v>43465</v>
      </c>
      <c r="AC389" s="8">
        <v>3260</v>
      </c>
      <c r="AD389" s="15">
        <v>43465</v>
      </c>
      <c r="AE389" s="8">
        <v>2890</v>
      </c>
      <c r="AF389" s="15">
        <v>43465</v>
      </c>
      <c r="AG389" s="8">
        <v>4700</v>
      </c>
      <c r="AH389" s="15">
        <v>43465</v>
      </c>
      <c r="AI389" s="8">
        <v>1000</v>
      </c>
      <c r="AJ389" s="15">
        <v>43465</v>
      </c>
      <c r="AK389" s="8">
        <v>1770</v>
      </c>
      <c r="AL389" s="15">
        <v>43465</v>
      </c>
      <c r="AM389" s="8">
        <v>1220</v>
      </c>
      <c r="AN389" s="15">
        <v>43465</v>
      </c>
      <c r="AO389" s="8">
        <v>2810</v>
      </c>
      <c r="AR389" s="11">
        <v>44074</v>
      </c>
      <c r="AS389" s="11">
        <v>44074</v>
      </c>
      <c r="AT389" s="10">
        <v>45.28</v>
      </c>
    </row>
    <row r="390" spans="1:46" x14ac:dyDescent="0.25">
      <c r="A390" s="16">
        <v>30071</v>
      </c>
      <c r="B390" s="1">
        <v>8591</v>
      </c>
      <c r="C390" s="13" t="str">
        <f t="shared" si="6"/>
        <v>112014</v>
      </c>
      <c r="D390" s="2">
        <v>41971</v>
      </c>
      <c r="E390" s="1">
        <v>-3689</v>
      </c>
      <c r="X390" s="15">
        <v>43524</v>
      </c>
      <c r="Y390" s="8">
        <v>30680</v>
      </c>
      <c r="Z390" s="15">
        <v>43496</v>
      </c>
      <c r="AA390" s="8">
        <v>10200</v>
      </c>
      <c r="AB390" s="15">
        <v>43496</v>
      </c>
      <c r="AC390" s="8">
        <v>3090</v>
      </c>
      <c r="AD390" s="15">
        <v>43496</v>
      </c>
      <c r="AE390" s="8">
        <v>2740</v>
      </c>
      <c r="AF390" s="15">
        <v>43496</v>
      </c>
      <c r="AG390" s="8">
        <v>4690</v>
      </c>
      <c r="AH390" s="15">
        <v>43496</v>
      </c>
      <c r="AI390" s="8">
        <v>900</v>
      </c>
      <c r="AJ390" s="15">
        <v>43496</v>
      </c>
      <c r="AK390" s="8">
        <v>1790</v>
      </c>
      <c r="AL390" s="15">
        <v>43496</v>
      </c>
      <c r="AM390" s="8">
        <v>1230</v>
      </c>
      <c r="AN390" s="15">
        <v>43496</v>
      </c>
      <c r="AO390" s="8">
        <v>2750</v>
      </c>
      <c r="AR390" s="11">
        <v>44104</v>
      </c>
      <c r="AS390" s="11">
        <v>44104</v>
      </c>
      <c r="AT390" s="10">
        <v>40.950000000000003</v>
      </c>
    </row>
    <row r="391" spans="1:46" x14ac:dyDescent="0.25">
      <c r="A391" s="16">
        <v>30102</v>
      </c>
      <c r="B391" s="1">
        <v>8683</v>
      </c>
      <c r="C391" s="13" t="str">
        <f t="shared" si="6"/>
        <v>122014</v>
      </c>
      <c r="D391" s="2">
        <v>42004</v>
      </c>
      <c r="E391" s="1">
        <v>-1754</v>
      </c>
      <c r="X391" s="15">
        <v>43555</v>
      </c>
      <c r="Y391" s="8">
        <v>30275</v>
      </c>
      <c r="Z391" s="15">
        <v>43524</v>
      </c>
      <c r="AA391" s="8">
        <v>10100</v>
      </c>
      <c r="AB391" s="15">
        <v>43524</v>
      </c>
      <c r="AC391" s="8">
        <v>3070</v>
      </c>
      <c r="AD391" s="15">
        <v>43524</v>
      </c>
      <c r="AE391" s="8">
        <v>2740</v>
      </c>
      <c r="AF391" s="15">
        <v>43524</v>
      </c>
      <c r="AG391" s="8">
        <v>4620</v>
      </c>
      <c r="AH391" s="15">
        <v>43524</v>
      </c>
      <c r="AI391" s="8">
        <v>900</v>
      </c>
      <c r="AJ391" s="15">
        <v>43524</v>
      </c>
      <c r="AK391" s="8">
        <v>1830</v>
      </c>
      <c r="AL391" s="15">
        <v>43524</v>
      </c>
      <c r="AM391" s="8">
        <v>1070</v>
      </c>
      <c r="AN391" s="15">
        <v>43524</v>
      </c>
      <c r="AO391" s="8">
        <v>2710</v>
      </c>
      <c r="AR391" s="11">
        <v>44134</v>
      </c>
      <c r="AS391" s="11">
        <v>44134</v>
      </c>
      <c r="AT391" s="10">
        <v>37.46</v>
      </c>
    </row>
    <row r="392" spans="1:46" x14ac:dyDescent="0.25">
      <c r="A392" s="16">
        <v>30132</v>
      </c>
      <c r="B392" s="1">
        <v>8646</v>
      </c>
      <c r="C392" s="13" t="str">
        <f t="shared" si="6"/>
        <v>12015</v>
      </c>
      <c r="D392" s="2">
        <v>42034</v>
      </c>
      <c r="E392" s="1">
        <v>6333</v>
      </c>
      <c r="X392" s="15">
        <v>43585</v>
      </c>
      <c r="Y392" s="8">
        <v>30260</v>
      </c>
      <c r="Z392" s="15">
        <v>43555</v>
      </c>
      <c r="AA392" s="8">
        <v>9820</v>
      </c>
      <c r="AB392" s="15">
        <v>43555</v>
      </c>
      <c r="AC392" s="8">
        <v>3050</v>
      </c>
      <c r="AD392" s="15">
        <v>43555</v>
      </c>
      <c r="AE392" s="8">
        <v>2710</v>
      </c>
      <c r="AF392" s="15">
        <v>43555</v>
      </c>
      <c r="AG392" s="8">
        <v>4550</v>
      </c>
      <c r="AH392" s="15">
        <v>43555</v>
      </c>
      <c r="AI392" s="8">
        <v>1100</v>
      </c>
      <c r="AJ392" s="15">
        <v>43555</v>
      </c>
      <c r="AK392" s="8">
        <v>1870</v>
      </c>
      <c r="AL392" s="15">
        <v>43555</v>
      </c>
      <c r="AM392" s="8">
        <v>830</v>
      </c>
      <c r="AN392" s="15">
        <v>43555</v>
      </c>
      <c r="AO392" s="8">
        <v>2700</v>
      </c>
      <c r="AR392" s="11">
        <v>44165</v>
      </c>
      <c r="AS392" s="11">
        <v>44165</v>
      </c>
      <c r="AT392" s="10">
        <v>47.59</v>
      </c>
    </row>
    <row r="393" spans="1:46" x14ac:dyDescent="0.25">
      <c r="A393" s="16">
        <v>30163</v>
      </c>
      <c r="B393" s="1">
        <v>8658</v>
      </c>
      <c r="C393" s="13" t="str">
        <f t="shared" si="6"/>
        <v>22015</v>
      </c>
      <c r="D393" s="2">
        <v>42062</v>
      </c>
      <c r="E393" s="1">
        <v>10303</v>
      </c>
      <c r="X393" s="15">
        <v>43616</v>
      </c>
      <c r="Y393" s="8">
        <v>30130</v>
      </c>
      <c r="Z393" s="15">
        <v>43585</v>
      </c>
      <c r="AA393" s="8">
        <v>9790</v>
      </c>
      <c r="AB393" s="15">
        <v>43585</v>
      </c>
      <c r="AC393" s="8">
        <v>3070</v>
      </c>
      <c r="AD393" s="15">
        <v>43585</v>
      </c>
      <c r="AE393" s="8">
        <v>2550</v>
      </c>
      <c r="AF393" s="15">
        <v>43585</v>
      </c>
      <c r="AG393" s="8">
        <v>4630</v>
      </c>
      <c r="AH393" s="15">
        <v>43585</v>
      </c>
      <c r="AI393" s="8">
        <v>1190</v>
      </c>
      <c r="AJ393" s="15">
        <v>43585</v>
      </c>
      <c r="AK393" s="8">
        <v>1900</v>
      </c>
      <c r="AL393" s="15">
        <v>43585</v>
      </c>
      <c r="AM393" s="8">
        <v>840</v>
      </c>
      <c r="AN393" s="15">
        <v>43585</v>
      </c>
      <c r="AO393" s="8">
        <v>2720</v>
      </c>
      <c r="AR393" s="11">
        <v>44196</v>
      </c>
      <c r="AS393" s="11">
        <v>44196</v>
      </c>
      <c r="AT393" s="10">
        <v>51.8</v>
      </c>
    </row>
    <row r="394" spans="1:46" x14ac:dyDescent="0.25">
      <c r="A394" s="16">
        <v>30194</v>
      </c>
      <c r="B394" s="1">
        <v>8634</v>
      </c>
      <c r="C394" s="13" t="str">
        <f t="shared" si="6"/>
        <v>32015</v>
      </c>
      <c r="D394" s="2">
        <v>42094</v>
      </c>
      <c r="E394" s="1">
        <v>4766</v>
      </c>
      <c r="X394" s="15">
        <v>43646</v>
      </c>
      <c r="Y394" s="8">
        <v>30000</v>
      </c>
      <c r="Z394" s="15">
        <v>43616</v>
      </c>
      <c r="AA394" s="8">
        <v>9830</v>
      </c>
      <c r="AB394" s="15">
        <v>43616</v>
      </c>
      <c r="AC394" s="8">
        <v>3070</v>
      </c>
      <c r="AD394" s="15">
        <v>43616</v>
      </c>
      <c r="AE394" s="8">
        <v>2380</v>
      </c>
      <c r="AF394" s="15">
        <v>43616</v>
      </c>
      <c r="AG394" s="8">
        <v>4730</v>
      </c>
      <c r="AH394" s="15">
        <v>43616</v>
      </c>
      <c r="AI394" s="8">
        <v>1150</v>
      </c>
      <c r="AJ394" s="15">
        <v>43616</v>
      </c>
      <c r="AK394" s="8">
        <v>1860</v>
      </c>
      <c r="AL394" s="15">
        <v>43616</v>
      </c>
      <c r="AM394" s="8">
        <v>780</v>
      </c>
      <c r="AN394" s="15">
        <v>43616</v>
      </c>
      <c r="AO394" s="8">
        <v>2700</v>
      </c>
      <c r="AR394" s="11">
        <v>44225</v>
      </c>
      <c r="AS394" s="11">
        <v>44225</v>
      </c>
      <c r="AT394" s="10">
        <v>55.88</v>
      </c>
    </row>
    <row r="395" spans="1:46" x14ac:dyDescent="0.25">
      <c r="A395" s="16">
        <v>30224</v>
      </c>
      <c r="B395" s="1">
        <v>8701</v>
      </c>
      <c r="C395" s="13" t="str">
        <f t="shared" si="6"/>
        <v>42015</v>
      </c>
      <c r="D395" s="2">
        <v>42124</v>
      </c>
      <c r="E395" s="1">
        <v>1910</v>
      </c>
      <c r="X395" s="15">
        <v>43677</v>
      </c>
      <c r="Y395" s="8">
        <v>29790</v>
      </c>
      <c r="Z395" s="15">
        <v>43646</v>
      </c>
      <c r="AA395" s="8">
        <v>9820</v>
      </c>
      <c r="AB395" s="15">
        <v>43646</v>
      </c>
      <c r="AC395" s="8">
        <v>3060</v>
      </c>
      <c r="AD395" s="15">
        <v>43646</v>
      </c>
      <c r="AE395" s="8">
        <v>2280</v>
      </c>
      <c r="AF395" s="15">
        <v>43646</v>
      </c>
      <c r="AG395" s="8">
        <v>4750</v>
      </c>
      <c r="AH395" s="15">
        <v>43646</v>
      </c>
      <c r="AI395" s="8">
        <v>1150</v>
      </c>
      <c r="AJ395" s="15">
        <v>43646</v>
      </c>
      <c r="AK395" s="8">
        <v>1890</v>
      </c>
      <c r="AL395" s="15">
        <v>43646</v>
      </c>
      <c r="AM395" s="8">
        <v>770</v>
      </c>
      <c r="AN395" s="15">
        <v>43646</v>
      </c>
      <c r="AO395" s="8">
        <v>2690</v>
      </c>
      <c r="AR395" s="11">
        <v>44253</v>
      </c>
      <c r="AS395" s="11">
        <v>44253</v>
      </c>
      <c r="AT395" s="10">
        <v>66.13</v>
      </c>
    </row>
    <row r="396" spans="1:46" x14ac:dyDescent="0.25">
      <c r="A396" s="16">
        <v>30255</v>
      </c>
      <c r="B396" s="1">
        <v>8701</v>
      </c>
      <c r="C396" s="13" t="str">
        <f t="shared" si="6"/>
        <v>52015</v>
      </c>
      <c r="D396" s="2">
        <v>42153</v>
      </c>
      <c r="E396" s="1">
        <v>-1948</v>
      </c>
      <c r="X396" s="15">
        <v>43708</v>
      </c>
      <c r="Y396" s="8">
        <v>29910</v>
      </c>
      <c r="Z396" s="15">
        <v>43677</v>
      </c>
      <c r="AA396" s="8">
        <v>9780</v>
      </c>
      <c r="AB396" s="15">
        <v>43677</v>
      </c>
      <c r="AC396" s="8">
        <v>3060</v>
      </c>
      <c r="AD396" s="15">
        <v>43677</v>
      </c>
      <c r="AE396" s="8">
        <v>2210</v>
      </c>
      <c r="AF396" s="15">
        <v>43677</v>
      </c>
      <c r="AG396" s="8">
        <v>4750</v>
      </c>
      <c r="AH396" s="15">
        <v>43677</v>
      </c>
      <c r="AI396" s="8">
        <v>1100</v>
      </c>
      <c r="AJ396" s="15">
        <v>43677</v>
      </c>
      <c r="AK396" s="8">
        <v>1890</v>
      </c>
      <c r="AL396" s="15">
        <v>43677</v>
      </c>
      <c r="AM396" s="8">
        <v>780</v>
      </c>
      <c r="AN396" s="15">
        <v>43677</v>
      </c>
      <c r="AO396" s="8">
        <v>2680</v>
      </c>
      <c r="AR396" s="11">
        <v>44286</v>
      </c>
      <c r="AS396" s="11">
        <v>44286</v>
      </c>
      <c r="AT396" s="10">
        <v>63.54</v>
      </c>
    </row>
    <row r="397" spans="1:46" x14ac:dyDescent="0.25">
      <c r="A397" s="16">
        <v>30285</v>
      </c>
      <c r="B397" s="1">
        <v>8697</v>
      </c>
      <c r="C397" s="13" t="str">
        <f t="shared" si="6"/>
        <v>62015</v>
      </c>
      <c r="D397" s="2">
        <v>42185</v>
      </c>
      <c r="E397" s="1">
        <v>2386</v>
      </c>
      <c r="X397" s="15">
        <v>43738</v>
      </c>
      <c r="Y397" s="8">
        <v>28590</v>
      </c>
      <c r="Z397" s="15">
        <v>43708</v>
      </c>
      <c r="AA397" s="8">
        <v>9830</v>
      </c>
      <c r="AB397" s="15">
        <v>43708</v>
      </c>
      <c r="AC397" s="8">
        <v>3070</v>
      </c>
      <c r="AD397" s="15">
        <v>43708</v>
      </c>
      <c r="AE397" s="8">
        <v>2210</v>
      </c>
      <c r="AF397" s="15">
        <v>43708</v>
      </c>
      <c r="AG397" s="8">
        <v>4780</v>
      </c>
      <c r="AH397" s="15">
        <v>43708</v>
      </c>
      <c r="AI397" s="8">
        <v>1070</v>
      </c>
      <c r="AJ397" s="15">
        <v>43708</v>
      </c>
      <c r="AK397" s="8">
        <v>1950</v>
      </c>
      <c r="AL397" s="15">
        <v>43708</v>
      </c>
      <c r="AM397" s="8">
        <v>760</v>
      </c>
      <c r="AN397" s="15">
        <v>43708</v>
      </c>
      <c r="AO397" s="8">
        <v>2640</v>
      </c>
      <c r="AR397" s="11">
        <v>44316</v>
      </c>
      <c r="AS397" s="11">
        <v>44316</v>
      </c>
      <c r="AT397" s="10">
        <v>67.25</v>
      </c>
    </row>
    <row r="398" spans="1:46" x14ac:dyDescent="0.25">
      <c r="A398" s="16">
        <v>30316</v>
      </c>
      <c r="B398" s="1">
        <v>8598</v>
      </c>
      <c r="C398" s="13" t="str">
        <f t="shared" si="6"/>
        <v>72015</v>
      </c>
      <c r="D398" s="2">
        <v>42216</v>
      </c>
      <c r="E398" s="1">
        <v>-4407</v>
      </c>
      <c r="X398" s="15">
        <v>43769</v>
      </c>
      <c r="Y398" s="8">
        <v>29810</v>
      </c>
      <c r="Z398" s="15">
        <v>43738</v>
      </c>
      <c r="AA398" s="8">
        <v>8650</v>
      </c>
      <c r="AB398" s="15">
        <v>43738</v>
      </c>
      <c r="AC398" s="8">
        <v>3070</v>
      </c>
      <c r="AD398" s="15">
        <v>43738</v>
      </c>
      <c r="AE398" s="8">
        <v>2130</v>
      </c>
      <c r="AF398" s="15">
        <v>43738</v>
      </c>
      <c r="AG398" s="8">
        <v>4780</v>
      </c>
      <c r="AH398" s="15">
        <v>43738</v>
      </c>
      <c r="AI398" s="8">
        <v>1120</v>
      </c>
      <c r="AJ398" s="15">
        <v>43738</v>
      </c>
      <c r="AK398" s="8">
        <v>1930</v>
      </c>
      <c r="AL398" s="15">
        <v>43738</v>
      </c>
      <c r="AM398" s="8">
        <v>660</v>
      </c>
      <c r="AN398" s="15">
        <v>43738</v>
      </c>
      <c r="AO398" s="8">
        <v>2690</v>
      </c>
      <c r="AR398" s="11">
        <v>44347</v>
      </c>
      <c r="AS398" s="11">
        <v>44347</v>
      </c>
      <c r="AT398" s="10">
        <v>69.319999999999993</v>
      </c>
    </row>
    <row r="399" spans="1:46" x14ac:dyDescent="0.25">
      <c r="A399" s="16">
        <v>30347</v>
      </c>
      <c r="B399" s="1">
        <v>8697</v>
      </c>
      <c r="C399" s="13" t="str">
        <f t="shared" si="6"/>
        <v>82015</v>
      </c>
      <c r="D399" s="2">
        <v>42247</v>
      </c>
      <c r="E399" s="1">
        <v>4667</v>
      </c>
      <c r="X399" s="15">
        <v>43799</v>
      </c>
      <c r="Y399" s="8">
        <v>29640</v>
      </c>
      <c r="Z399" s="15">
        <v>43769</v>
      </c>
      <c r="AA399" s="8">
        <v>10020</v>
      </c>
      <c r="AB399" s="15">
        <v>43769</v>
      </c>
      <c r="AC399" s="8">
        <v>3070</v>
      </c>
      <c r="AD399" s="15">
        <v>43769</v>
      </c>
      <c r="AE399" s="8">
        <v>2110</v>
      </c>
      <c r="AF399" s="15">
        <v>43769</v>
      </c>
      <c r="AG399" s="8">
        <v>4680</v>
      </c>
      <c r="AH399" s="15">
        <v>43769</v>
      </c>
      <c r="AI399" s="8">
        <v>1180</v>
      </c>
      <c r="AJ399" s="15">
        <v>43769</v>
      </c>
      <c r="AK399" s="8">
        <v>1910</v>
      </c>
      <c r="AL399" s="15">
        <v>43769</v>
      </c>
      <c r="AM399" s="8">
        <v>690</v>
      </c>
      <c r="AN399" s="15">
        <v>43769</v>
      </c>
      <c r="AO399" s="8">
        <v>2670</v>
      </c>
      <c r="AR399" s="11">
        <v>44377</v>
      </c>
      <c r="AS399" s="11">
        <v>44377</v>
      </c>
      <c r="AT399" s="10">
        <v>75.13</v>
      </c>
    </row>
    <row r="400" spans="1:46" x14ac:dyDescent="0.25">
      <c r="A400" s="16">
        <v>30375</v>
      </c>
      <c r="B400" s="1">
        <v>8758</v>
      </c>
      <c r="C400" s="13" t="str">
        <f t="shared" si="6"/>
        <v>92015</v>
      </c>
      <c r="D400" s="2">
        <v>42277</v>
      </c>
      <c r="E400" s="1">
        <v>3955</v>
      </c>
      <c r="X400" s="15">
        <v>43830</v>
      </c>
      <c r="Y400" s="8">
        <v>28870</v>
      </c>
      <c r="Z400" s="15">
        <v>43799</v>
      </c>
      <c r="AA400" s="8">
        <v>9870</v>
      </c>
      <c r="AB400" s="15">
        <v>43799</v>
      </c>
      <c r="AC400" s="8">
        <v>3100</v>
      </c>
      <c r="AD400" s="15">
        <v>43799</v>
      </c>
      <c r="AE400" s="8">
        <v>2070</v>
      </c>
      <c r="AF400" s="15">
        <v>43799</v>
      </c>
      <c r="AG400" s="8">
        <v>4710</v>
      </c>
      <c r="AH400" s="15">
        <v>43799</v>
      </c>
      <c r="AI400" s="8">
        <v>1170</v>
      </c>
      <c r="AJ400" s="15">
        <v>43799</v>
      </c>
      <c r="AK400" s="8">
        <v>1890</v>
      </c>
      <c r="AL400" s="15">
        <v>43799</v>
      </c>
      <c r="AM400" s="8">
        <v>700</v>
      </c>
      <c r="AN400" s="15">
        <v>43799</v>
      </c>
      <c r="AO400" s="8">
        <v>2700</v>
      </c>
      <c r="AR400" s="11">
        <v>44407</v>
      </c>
      <c r="AS400" s="11">
        <v>44407</v>
      </c>
      <c r="AT400" s="10">
        <v>76.33</v>
      </c>
    </row>
    <row r="401" spans="1:46" x14ac:dyDescent="0.25">
      <c r="A401" s="16">
        <v>30406</v>
      </c>
      <c r="B401" s="1">
        <v>8700</v>
      </c>
      <c r="C401" s="13" t="str">
        <f t="shared" si="6"/>
        <v>102015</v>
      </c>
      <c r="D401" s="2">
        <v>42307</v>
      </c>
      <c r="E401" s="1">
        <v>2847</v>
      </c>
      <c r="X401" s="15">
        <v>43861</v>
      </c>
      <c r="Y401" s="8">
        <v>28370</v>
      </c>
      <c r="Z401" s="15">
        <v>43830</v>
      </c>
      <c r="AA401" s="8">
        <v>9730</v>
      </c>
      <c r="AB401" s="15">
        <v>43830</v>
      </c>
      <c r="AC401" s="8">
        <v>3040</v>
      </c>
      <c r="AD401" s="15">
        <v>43830</v>
      </c>
      <c r="AE401" s="8">
        <v>2080</v>
      </c>
      <c r="AF401" s="15">
        <v>43830</v>
      </c>
      <c r="AG401" s="8">
        <v>4610</v>
      </c>
      <c r="AH401" s="15">
        <v>43830</v>
      </c>
      <c r="AI401" s="8">
        <v>1110</v>
      </c>
      <c r="AJ401" s="15">
        <v>43830</v>
      </c>
      <c r="AK401" s="8">
        <v>1820</v>
      </c>
      <c r="AL401" s="15">
        <v>43830</v>
      </c>
      <c r="AM401" s="8">
        <v>730</v>
      </c>
      <c r="AN401" s="15">
        <v>43830</v>
      </c>
      <c r="AO401" s="8">
        <v>2710</v>
      </c>
      <c r="AR401" s="11">
        <v>44439</v>
      </c>
      <c r="AS401" s="11">
        <v>44439</v>
      </c>
      <c r="AT401" s="10">
        <v>72.989999999999995</v>
      </c>
    </row>
    <row r="402" spans="1:46" x14ac:dyDescent="0.25">
      <c r="A402" s="16">
        <v>30436</v>
      </c>
      <c r="B402" s="1">
        <v>8776</v>
      </c>
      <c r="C402" s="13" t="str">
        <f t="shared" si="6"/>
        <v>112015</v>
      </c>
      <c r="D402" s="2">
        <v>42338</v>
      </c>
      <c r="E402" s="1">
        <v>1177</v>
      </c>
      <c r="X402" s="15">
        <v>43890</v>
      </c>
      <c r="Y402" s="8">
        <v>27910</v>
      </c>
      <c r="Z402" s="15">
        <v>43861</v>
      </c>
      <c r="AA402" s="8">
        <v>9700</v>
      </c>
      <c r="AB402" s="15">
        <v>43861</v>
      </c>
      <c r="AC402" s="8">
        <v>3010</v>
      </c>
      <c r="AD402" s="15">
        <v>43861</v>
      </c>
      <c r="AE402" s="8">
        <v>1990</v>
      </c>
      <c r="AF402" s="15">
        <v>43861</v>
      </c>
      <c r="AG402" s="8">
        <v>4580</v>
      </c>
      <c r="AH402" s="15">
        <v>43861</v>
      </c>
      <c r="AI402" s="8">
        <v>790</v>
      </c>
      <c r="AJ402" s="15">
        <v>43861</v>
      </c>
      <c r="AK402" s="8">
        <v>1830</v>
      </c>
      <c r="AL402" s="15">
        <v>43861</v>
      </c>
      <c r="AM402" s="8">
        <v>840</v>
      </c>
      <c r="AN402" s="15">
        <v>43861</v>
      </c>
      <c r="AO402" s="8">
        <v>2670</v>
      </c>
      <c r="AR402" s="11">
        <v>44469</v>
      </c>
      <c r="AS402" s="11">
        <v>44469</v>
      </c>
      <c r="AT402" s="10">
        <v>78.52</v>
      </c>
    </row>
    <row r="403" spans="1:46" x14ac:dyDescent="0.25">
      <c r="A403" s="16">
        <v>30467</v>
      </c>
      <c r="B403" s="1">
        <v>8631</v>
      </c>
      <c r="C403" s="13" t="str">
        <f t="shared" si="6"/>
        <v>122015</v>
      </c>
      <c r="D403" s="2">
        <v>42369</v>
      </c>
      <c r="E403" s="1">
        <v>2629</v>
      </c>
      <c r="X403" s="15">
        <v>43921</v>
      </c>
      <c r="Y403" s="8">
        <v>28630</v>
      </c>
      <c r="Z403" s="15">
        <v>43890</v>
      </c>
      <c r="AA403" s="8">
        <v>9740</v>
      </c>
      <c r="AB403" s="15">
        <v>43890</v>
      </c>
      <c r="AC403" s="8">
        <v>3000</v>
      </c>
      <c r="AD403" s="15">
        <v>43890</v>
      </c>
      <c r="AE403" s="8">
        <v>2050</v>
      </c>
      <c r="AF403" s="15">
        <v>43890</v>
      </c>
      <c r="AG403" s="8">
        <v>4610</v>
      </c>
      <c r="AH403" s="15">
        <v>43890</v>
      </c>
      <c r="AI403" s="8">
        <v>150</v>
      </c>
      <c r="AJ403" s="15">
        <v>43890</v>
      </c>
      <c r="AK403" s="8">
        <v>1930</v>
      </c>
      <c r="AL403" s="15">
        <v>43890</v>
      </c>
      <c r="AM403" s="8">
        <v>750</v>
      </c>
      <c r="AN403" s="15">
        <v>43890</v>
      </c>
      <c r="AO403" s="8">
        <v>2680</v>
      </c>
      <c r="AR403" s="11">
        <v>44498</v>
      </c>
      <c r="AS403" s="11">
        <v>44498</v>
      </c>
      <c r="AT403" s="10">
        <v>84.38</v>
      </c>
    </row>
    <row r="404" spans="1:46" x14ac:dyDescent="0.25">
      <c r="A404" s="16">
        <v>30497</v>
      </c>
      <c r="B404" s="1">
        <v>8667</v>
      </c>
      <c r="C404" s="13" t="str">
        <f t="shared" si="6"/>
        <v>12016</v>
      </c>
      <c r="D404" s="2">
        <v>42398</v>
      </c>
      <c r="E404" s="1">
        <v>7792</v>
      </c>
      <c r="X404" s="15">
        <v>43951</v>
      </c>
      <c r="Y404" s="8">
        <v>30440</v>
      </c>
      <c r="Z404" s="15">
        <v>43921</v>
      </c>
      <c r="AA404" s="8">
        <v>9990</v>
      </c>
      <c r="AB404" s="15">
        <v>43921</v>
      </c>
      <c r="AC404" s="8">
        <v>3430</v>
      </c>
      <c r="AD404" s="15">
        <v>43921</v>
      </c>
      <c r="AE404" s="8">
        <v>2030</v>
      </c>
      <c r="AF404" s="15">
        <v>43921</v>
      </c>
      <c r="AG404" s="8">
        <v>4620</v>
      </c>
      <c r="AH404" s="15">
        <v>43921</v>
      </c>
      <c r="AI404" s="8">
        <v>100</v>
      </c>
      <c r="AJ404" s="15">
        <v>43921</v>
      </c>
      <c r="AK404" s="8">
        <v>1930</v>
      </c>
      <c r="AL404" s="15">
        <v>43921</v>
      </c>
      <c r="AM404" s="8">
        <v>750</v>
      </c>
      <c r="AN404" s="15">
        <v>43921</v>
      </c>
      <c r="AO404" s="8">
        <v>2750</v>
      </c>
      <c r="AR404" s="11">
        <v>44530</v>
      </c>
      <c r="AS404" s="11">
        <v>44530</v>
      </c>
      <c r="AT404" s="10">
        <v>70.569999999999993</v>
      </c>
    </row>
    <row r="405" spans="1:46" x14ac:dyDescent="0.25">
      <c r="A405" s="16">
        <v>30528</v>
      </c>
      <c r="B405" s="1">
        <v>8636</v>
      </c>
      <c r="C405" s="13" t="str">
        <f t="shared" si="6"/>
        <v>22016</v>
      </c>
      <c r="D405" s="2">
        <v>42429</v>
      </c>
      <c r="E405" s="1">
        <v>10374</v>
      </c>
      <c r="X405" s="15">
        <v>43982</v>
      </c>
      <c r="Y405" s="8">
        <v>24550</v>
      </c>
      <c r="Z405" s="15">
        <v>43951</v>
      </c>
      <c r="AA405" s="8">
        <v>11590</v>
      </c>
      <c r="AB405" s="15">
        <v>43951</v>
      </c>
      <c r="AC405" s="8">
        <v>3680</v>
      </c>
      <c r="AD405" s="15">
        <v>43951</v>
      </c>
      <c r="AE405" s="8">
        <v>1960</v>
      </c>
      <c r="AF405" s="15">
        <v>43951</v>
      </c>
      <c r="AG405" s="8">
        <v>4600</v>
      </c>
      <c r="AH405" s="15">
        <v>43951</v>
      </c>
      <c r="AI405" s="8">
        <v>90</v>
      </c>
      <c r="AJ405" s="15">
        <v>43951</v>
      </c>
      <c r="AK405" s="8">
        <v>1910</v>
      </c>
      <c r="AL405" s="15">
        <v>43951</v>
      </c>
      <c r="AM405" s="8">
        <v>660</v>
      </c>
      <c r="AN405" s="15">
        <v>43951</v>
      </c>
      <c r="AO405" s="8">
        <v>2900</v>
      </c>
      <c r="AR405" s="11">
        <v>44561</v>
      </c>
      <c r="AS405" s="11">
        <v>44561</v>
      </c>
      <c r="AT405" s="10">
        <v>77.78</v>
      </c>
    </row>
    <row r="406" spans="1:46" x14ac:dyDescent="0.25">
      <c r="A406" s="16">
        <v>30559</v>
      </c>
      <c r="B406" s="1">
        <v>8679</v>
      </c>
      <c r="C406" s="13" t="str">
        <f t="shared" si="6"/>
        <v>32016</v>
      </c>
      <c r="D406" s="2">
        <v>42460</v>
      </c>
      <c r="E406" s="1">
        <v>2299</v>
      </c>
      <c r="X406" s="15">
        <v>44012</v>
      </c>
      <c r="Y406" s="8">
        <v>22530</v>
      </c>
      <c r="Z406" s="15">
        <v>43982</v>
      </c>
      <c r="AA406" s="8">
        <v>8660</v>
      </c>
      <c r="AB406" s="15">
        <v>43982</v>
      </c>
      <c r="AC406" s="8">
        <v>2500</v>
      </c>
      <c r="AD406" s="15">
        <v>43982</v>
      </c>
      <c r="AE406" s="8">
        <v>1950</v>
      </c>
      <c r="AF406" s="15">
        <v>43982</v>
      </c>
      <c r="AG406" s="8">
        <v>4210</v>
      </c>
      <c r="AH406" s="15">
        <v>43982</v>
      </c>
      <c r="AI406" s="8">
        <v>90</v>
      </c>
      <c r="AJ406" s="15">
        <v>43982</v>
      </c>
      <c r="AK406" s="8">
        <v>1630</v>
      </c>
      <c r="AL406" s="15">
        <v>43982</v>
      </c>
      <c r="AM406" s="8">
        <v>550</v>
      </c>
      <c r="AN406" s="15">
        <v>43982</v>
      </c>
      <c r="AO406" s="8">
        <v>2290</v>
      </c>
      <c r="AR406" s="11">
        <v>44592</v>
      </c>
      <c r="AS406" s="11">
        <v>44592</v>
      </c>
      <c r="AT406" s="10">
        <v>91.21</v>
      </c>
    </row>
    <row r="407" spans="1:46" x14ac:dyDescent="0.25">
      <c r="A407" s="16">
        <v>30589</v>
      </c>
      <c r="B407" s="1">
        <v>8784</v>
      </c>
      <c r="C407" s="13" t="str">
        <f t="shared" si="6"/>
        <v>42016</v>
      </c>
      <c r="D407" s="2">
        <v>42489</v>
      </c>
      <c r="E407" s="1">
        <v>2784</v>
      </c>
      <c r="X407" s="15">
        <v>44043</v>
      </c>
      <c r="Y407" s="8">
        <v>23870</v>
      </c>
      <c r="Z407" s="15">
        <v>44012</v>
      </c>
      <c r="AA407" s="8">
        <v>7530</v>
      </c>
      <c r="AB407" s="15">
        <v>44012</v>
      </c>
      <c r="AC407" s="8">
        <v>2430</v>
      </c>
      <c r="AD407" s="15">
        <v>44012</v>
      </c>
      <c r="AE407" s="8">
        <v>1940</v>
      </c>
      <c r="AF407" s="15">
        <v>44012</v>
      </c>
      <c r="AG407" s="8">
        <v>3790</v>
      </c>
      <c r="AH407" s="15">
        <v>44012</v>
      </c>
      <c r="AI407" s="8">
        <v>110</v>
      </c>
      <c r="AJ407" s="15">
        <v>44012</v>
      </c>
      <c r="AK407" s="8">
        <v>1510</v>
      </c>
      <c r="AL407" s="15">
        <v>44012</v>
      </c>
      <c r="AM407" s="8">
        <v>370</v>
      </c>
      <c r="AN407" s="15">
        <v>44012</v>
      </c>
      <c r="AO407" s="8">
        <v>2150</v>
      </c>
      <c r="AR407" s="11">
        <v>44620</v>
      </c>
      <c r="AS407" s="11">
        <v>44620</v>
      </c>
      <c r="AT407" s="10">
        <v>100.99</v>
      </c>
    </row>
    <row r="408" spans="1:46" x14ac:dyDescent="0.25">
      <c r="A408" s="16">
        <v>30620</v>
      </c>
      <c r="B408" s="1">
        <v>8771</v>
      </c>
      <c r="C408" s="13" t="str">
        <f t="shared" si="6"/>
        <v>52016</v>
      </c>
      <c r="D408" s="2">
        <v>42521</v>
      </c>
      <c r="E408" s="1">
        <v>-1366</v>
      </c>
      <c r="X408" s="15">
        <v>44074</v>
      </c>
      <c r="Y408" s="8">
        <v>24390</v>
      </c>
      <c r="Z408" s="15">
        <v>44043</v>
      </c>
      <c r="AA408" s="8">
        <v>8450</v>
      </c>
      <c r="AB408" s="15">
        <v>44043</v>
      </c>
      <c r="AC408" s="8">
        <v>2930</v>
      </c>
      <c r="AD408" s="15">
        <v>44043</v>
      </c>
      <c r="AE408" s="8">
        <v>1960</v>
      </c>
      <c r="AF408" s="15">
        <v>44043</v>
      </c>
      <c r="AG408" s="8">
        <v>3790</v>
      </c>
      <c r="AH408" s="15">
        <v>44043</v>
      </c>
      <c r="AI408" s="8">
        <v>100</v>
      </c>
      <c r="AJ408" s="15">
        <v>44043</v>
      </c>
      <c r="AK408" s="8">
        <v>1510</v>
      </c>
      <c r="AL408" s="15">
        <v>44043</v>
      </c>
      <c r="AM408" s="8">
        <v>360</v>
      </c>
      <c r="AN408" s="15">
        <v>44043</v>
      </c>
      <c r="AO408" s="8">
        <v>2220</v>
      </c>
      <c r="AR408" s="11">
        <v>44651</v>
      </c>
      <c r="AS408" s="11">
        <v>44651</v>
      </c>
      <c r="AT408" s="10">
        <v>107.91</v>
      </c>
    </row>
    <row r="409" spans="1:46" x14ac:dyDescent="0.25">
      <c r="A409" s="16">
        <v>30650</v>
      </c>
      <c r="B409" s="1">
        <v>8770</v>
      </c>
      <c r="C409" s="13" t="str">
        <f t="shared" si="6"/>
        <v>62016</v>
      </c>
      <c r="D409" s="2">
        <v>42551</v>
      </c>
      <c r="E409" s="1">
        <v>-4053</v>
      </c>
      <c r="X409" s="15">
        <v>44104</v>
      </c>
      <c r="Y409" s="8">
        <v>24270</v>
      </c>
      <c r="Z409" s="15">
        <v>44074</v>
      </c>
      <c r="AA409" s="8">
        <v>8920</v>
      </c>
      <c r="AB409" s="15">
        <v>44074</v>
      </c>
      <c r="AC409" s="8">
        <v>2990</v>
      </c>
      <c r="AD409" s="15">
        <v>44074</v>
      </c>
      <c r="AE409" s="8">
        <v>1920</v>
      </c>
      <c r="AF409" s="15">
        <v>44074</v>
      </c>
      <c r="AG409" s="8">
        <v>3690</v>
      </c>
      <c r="AH409" s="15">
        <v>44074</v>
      </c>
      <c r="AI409" s="8">
        <v>80</v>
      </c>
      <c r="AJ409" s="15">
        <v>44074</v>
      </c>
      <c r="AK409" s="8">
        <v>1520</v>
      </c>
      <c r="AL409" s="15">
        <v>44074</v>
      </c>
      <c r="AM409" s="8">
        <v>310</v>
      </c>
      <c r="AN409" s="15">
        <v>44074</v>
      </c>
      <c r="AO409" s="8">
        <v>2270</v>
      </c>
      <c r="AR409" s="11">
        <v>44680</v>
      </c>
      <c r="AS409" s="11">
        <v>44680</v>
      </c>
      <c r="AT409" s="10">
        <v>109.34</v>
      </c>
    </row>
    <row r="410" spans="1:46" x14ac:dyDescent="0.25">
      <c r="A410" s="16">
        <v>30681</v>
      </c>
      <c r="B410" s="1">
        <v>8397</v>
      </c>
      <c r="C410" s="13" t="str">
        <f t="shared" si="6"/>
        <v>72016</v>
      </c>
      <c r="D410" s="2">
        <v>42580</v>
      </c>
      <c r="E410" s="1">
        <v>1413</v>
      </c>
      <c r="X410" s="15">
        <v>44135</v>
      </c>
      <c r="Y410" s="8">
        <v>24650</v>
      </c>
      <c r="Z410" s="15">
        <v>44104</v>
      </c>
      <c r="AA410" s="8">
        <v>8940</v>
      </c>
      <c r="AB410" s="15">
        <v>44104</v>
      </c>
      <c r="AC410" s="8">
        <v>2680</v>
      </c>
      <c r="AD410" s="15">
        <v>44104</v>
      </c>
      <c r="AE410" s="8">
        <v>1950</v>
      </c>
      <c r="AF410" s="15">
        <v>44104</v>
      </c>
      <c r="AG410" s="8">
        <v>3710</v>
      </c>
      <c r="AH410" s="15">
        <v>44104</v>
      </c>
      <c r="AI410" s="8">
        <v>150</v>
      </c>
      <c r="AJ410" s="15">
        <v>44104</v>
      </c>
      <c r="AK410" s="8">
        <v>1490</v>
      </c>
      <c r="AL410" s="15">
        <v>44104</v>
      </c>
      <c r="AM410" s="8">
        <v>310</v>
      </c>
      <c r="AN410" s="15">
        <v>44104</v>
      </c>
      <c r="AO410" s="8">
        <v>2310</v>
      </c>
      <c r="AR410" s="11">
        <v>44712</v>
      </c>
      <c r="AS410" s="11">
        <v>44712</v>
      </c>
      <c r="AT410" s="10">
        <v>122.84</v>
      </c>
    </row>
    <row r="411" spans="1:46" x14ac:dyDescent="0.25">
      <c r="A411" s="16">
        <v>30712</v>
      </c>
      <c r="B411" s="1">
        <v>8868</v>
      </c>
      <c r="C411" s="13" t="str">
        <f t="shared" si="6"/>
        <v>82016</v>
      </c>
      <c r="D411" s="2">
        <v>42613</v>
      </c>
      <c r="E411" s="1">
        <v>2276</v>
      </c>
      <c r="X411" s="15">
        <v>44165</v>
      </c>
      <c r="Y411" s="8">
        <v>25260</v>
      </c>
      <c r="Z411" s="15">
        <v>44135</v>
      </c>
      <c r="AA411" s="8">
        <v>8990</v>
      </c>
      <c r="AB411" s="15">
        <v>44135</v>
      </c>
      <c r="AC411" s="8">
        <v>2490</v>
      </c>
      <c r="AD411" s="15">
        <v>44135</v>
      </c>
      <c r="AE411" s="8">
        <v>1930</v>
      </c>
      <c r="AF411" s="15">
        <v>44135</v>
      </c>
      <c r="AG411" s="8">
        <v>3870</v>
      </c>
      <c r="AH411" s="15">
        <v>44135</v>
      </c>
      <c r="AI411" s="8">
        <v>450</v>
      </c>
      <c r="AJ411" s="15">
        <v>44135</v>
      </c>
      <c r="AK411" s="8">
        <v>1610</v>
      </c>
      <c r="AL411" s="15">
        <v>44135</v>
      </c>
      <c r="AM411" s="8">
        <v>340</v>
      </c>
      <c r="AN411" s="15">
        <v>44135</v>
      </c>
      <c r="AO411" s="8">
        <v>2300</v>
      </c>
      <c r="AR411" s="11">
        <v>44742</v>
      </c>
      <c r="AS411" s="11">
        <v>44742</v>
      </c>
      <c r="AT411" s="10">
        <v>114.81</v>
      </c>
    </row>
    <row r="412" spans="1:46" x14ac:dyDescent="0.25">
      <c r="A412" s="16">
        <v>30741</v>
      </c>
      <c r="B412" s="1">
        <v>8874</v>
      </c>
      <c r="C412" s="13" t="str">
        <f t="shared" si="6"/>
        <v>92016</v>
      </c>
      <c r="D412" s="2">
        <v>42643</v>
      </c>
      <c r="E412" s="1">
        <v>-2976</v>
      </c>
      <c r="X412" s="15">
        <v>44196</v>
      </c>
      <c r="Y412" s="8">
        <v>25480</v>
      </c>
      <c r="Z412" s="15">
        <v>44165</v>
      </c>
      <c r="AA412" s="8">
        <v>8990</v>
      </c>
      <c r="AB412" s="15">
        <v>44165</v>
      </c>
      <c r="AC412" s="8">
        <v>2560</v>
      </c>
      <c r="AD412" s="15">
        <v>44165</v>
      </c>
      <c r="AE412" s="8">
        <v>1970</v>
      </c>
      <c r="AF412" s="15">
        <v>44165</v>
      </c>
      <c r="AG412" s="8">
        <v>3810</v>
      </c>
      <c r="AH412" s="15">
        <v>44165</v>
      </c>
      <c r="AI412" s="8">
        <v>1090</v>
      </c>
      <c r="AJ412" s="15">
        <v>44165</v>
      </c>
      <c r="AK412" s="8">
        <v>1540</v>
      </c>
      <c r="AL412" s="15">
        <v>44165</v>
      </c>
      <c r="AM412" s="8">
        <v>430</v>
      </c>
      <c r="AN412" s="15">
        <v>44165</v>
      </c>
      <c r="AO412" s="8">
        <v>2240</v>
      </c>
      <c r="AR412" s="11">
        <v>44771</v>
      </c>
      <c r="AS412" s="11">
        <v>44771</v>
      </c>
      <c r="AT412" s="10">
        <v>110.01</v>
      </c>
    </row>
    <row r="413" spans="1:46" x14ac:dyDescent="0.25">
      <c r="A413" s="16">
        <v>30772</v>
      </c>
      <c r="B413" s="1">
        <v>8672</v>
      </c>
      <c r="C413" s="13" t="str">
        <f t="shared" si="6"/>
        <v>102016</v>
      </c>
      <c r="D413" s="2">
        <v>42674</v>
      </c>
      <c r="E413" s="1">
        <v>14420</v>
      </c>
      <c r="X413" s="15">
        <v>44227</v>
      </c>
      <c r="Y413" s="8">
        <v>25790</v>
      </c>
      <c r="Z413" s="15">
        <v>44196</v>
      </c>
      <c r="AA413" s="8">
        <v>9000</v>
      </c>
      <c r="AB413" s="15">
        <v>44196</v>
      </c>
      <c r="AC413" s="8">
        <v>2540</v>
      </c>
      <c r="AD413" s="15">
        <v>44196</v>
      </c>
      <c r="AE413" s="8">
        <v>2020</v>
      </c>
      <c r="AF413" s="15">
        <v>44196</v>
      </c>
      <c r="AG413" s="8">
        <v>3880</v>
      </c>
      <c r="AH413" s="15">
        <v>44196</v>
      </c>
      <c r="AI413" s="8">
        <v>1210</v>
      </c>
      <c r="AJ413" s="15">
        <v>44196</v>
      </c>
      <c r="AK413" s="8">
        <v>1520</v>
      </c>
      <c r="AL413" s="15">
        <v>44196</v>
      </c>
      <c r="AM413" s="8">
        <v>410</v>
      </c>
      <c r="AN413" s="15">
        <v>44196</v>
      </c>
      <c r="AO413" s="8">
        <v>2270</v>
      </c>
      <c r="AR413" s="11">
        <v>44804</v>
      </c>
      <c r="AS413" s="11">
        <v>44804</v>
      </c>
      <c r="AT413" s="10">
        <v>96.49</v>
      </c>
    </row>
    <row r="414" spans="1:46" x14ac:dyDescent="0.25">
      <c r="A414" s="16">
        <v>30802</v>
      </c>
      <c r="B414" s="1">
        <v>8862</v>
      </c>
      <c r="C414" s="13" t="str">
        <f t="shared" si="6"/>
        <v>112016</v>
      </c>
      <c r="D414" s="2">
        <v>42704</v>
      </c>
      <c r="E414" s="1">
        <v>-884</v>
      </c>
      <c r="X414" s="15">
        <v>44255</v>
      </c>
      <c r="Y414" s="8">
        <v>25030</v>
      </c>
      <c r="Z414" s="15">
        <v>44227</v>
      </c>
      <c r="AA414" s="8">
        <v>9120</v>
      </c>
      <c r="AB414" s="15">
        <v>44227</v>
      </c>
      <c r="AC414" s="8">
        <v>2610</v>
      </c>
      <c r="AD414" s="15">
        <v>44227</v>
      </c>
      <c r="AE414" s="8">
        <v>2140</v>
      </c>
      <c r="AF414" s="15">
        <v>44227</v>
      </c>
      <c r="AG414" s="8">
        <v>3870</v>
      </c>
      <c r="AH414" s="15">
        <v>44227</v>
      </c>
      <c r="AI414" s="8">
        <v>1160</v>
      </c>
      <c r="AJ414" s="15">
        <v>44227</v>
      </c>
      <c r="AK414" s="8">
        <v>1470</v>
      </c>
      <c r="AL414" s="15">
        <v>44227</v>
      </c>
      <c r="AM414" s="8">
        <v>460</v>
      </c>
      <c r="AN414" s="15">
        <v>44227</v>
      </c>
      <c r="AO414" s="8">
        <v>2330</v>
      </c>
      <c r="AR414" s="11">
        <v>44834</v>
      </c>
      <c r="AS414" s="11">
        <v>44834</v>
      </c>
      <c r="AT414" s="10">
        <v>87.96</v>
      </c>
    </row>
    <row r="415" spans="1:46" x14ac:dyDescent="0.25">
      <c r="A415" s="16">
        <v>30833</v>
      </c>
      <c r="B415" s="1">
        <v>8955</v>
      </c>
      <c r="C415" s="13" t="str">
        <f t="shared" si="6"/>
        <v>122016</v>
      </c>
      <c r="D415" s="2">
        <v>42734</v>
      </c>
      <c r="E415" s="1">
        <v>-7051</v>
      </c>
      <c r="X415" s="15">
        <v>44286</v>
      </c>
      <c r="Y415" s="8">
        <v>25320</v>
      </c>
      <c r="Z415" s="15">
        <v>44255</v>
      </c>
      <c r="AA415" s="8">
        <v>8210</v>
      </c>
      <c r="AB415" s="15">
        <v>44255</v>
      </c>
      <c r="AC415" s="8">
        <v>2630</v>
      </c>
      <c r="AD415" s="15">
        <v>44255</v>
      </c>
      <c r="AE415" s="8">
        <v>2180</v>
      </c>
      <c r="AF415" s="15">
        <v>44255</v>
      </c>
      <c r="AG415" s="8">
        <v>3910</v>
      </c>
      <c r="AH415" s="15">
        <v>44255</v>
      </c>
      <c r="AI415" s="8">
        <v>1150</v>
      </c>
      <c r="AJ415" s="15">
        <v>44255</v>
      </c>
      <c r="AK415" s="8">
        <v>1600</v>
      </c>
      <c r="AL415" s="15">
        <v>44255</v>
      </c>
      <c r="AM415" s="8">
        <v>470</v>
      </c>
      <c r="AN415" s="15">
        <v>44255</v>
      </c>
      <c r="AO415" s="8">
        <v>2350</v>
      </c>
      <c r="AR415" s="11">
        <v>44865</v>
      </c>
      <c r="AS415" s="11">
        <v>44865</v>
      </c>
      <c r="AT415" s="10">
        <v>94.83</v>
      </c>
    </row>
    <row r="416" spans="1:46" x14ac:dyDescent="0.25">
      <c r="A416" s="16">
        <v>30863</v>
      </c>
      <c r="B416" s="1">
        <v>8852</v>
      </c>
      <c r="C416" s="13" t="str">
        <f t="shared" si="6"/>
        <v>12017</v>
      </c>
      <c r="D416" s="2">
        <v>42766</v>
      </c>
      <c r="E416" s="1">
        <v>6466</v>
      </c>
      <c r="X416" s="15">
        <v>44316</v>
      </c>
      <c r="Y416" s="8">
        <v>25240</v>
      </c>
      <c r="Z416" s="15">
        <v>44286</v>
      </c>
      <c r="AA416" s="8">
        <v>8150</v>
      </c>
      <c r="AB416" s="15">
        <v>44286</v>
      </c>
      <c r="AC416" s="8">
        <v>2630</v>
      </c>
      <c r="AD416" s="15">
        <v>44286</v>
      </c>
      <c r="AE416" s="8">
        <v>2350</v>
      </c>
      <c r="AF416" s="15">
        <v>44286</v>
      </c>
      <c r="AG416" s="8">
        <v>3940</v>
      </c>
      <c r="AH416" s="15">
        <v>44286</v>
      </c>
      <c r="AI416" s="8">
        <v>1220</v>
      </c>
      <c r="AJ416" s="15">
        <v>44286</v>
      </c>
      <c r="AK416" s="8">
        <v>1550</v>
      </c>
      <c r="AL416" s="15">
        <v>44286</v>
      </c>
      <c r="AM416" s="8">
        <v>490</v>
      </c>
      <c r="AN416" s="15">
        <v>44286</v>
      </c>
      <c r="AO416" s="8">
        <v>2320</v>
      </c>
      <c r="AR416" s="11">
        <v>44895</v>
      </c>
      <c r="AS416" s="11">
        <v>44895</v>
      </c>
      <c r="AT416" s="10">
        <v>85.43</v>
      </c>
    </row>
    <row r="417" spans="1:46" x14ac:dyDescent="0.25">
      <c r="A417" s="16">
        <v>30894</v>
      </c>
      <c r="B417" s="1">
        <v>8885</v>
      </c>
      <c r="C417" s="13" t="str">
        <f t="shared" si="6"/>
        <v>22017</v>
      </c>
      <c r="D417" s="2">
        <v>42794</v>
      </c>
      <c r="E417" s="1">
        <v>1501</v>
      </c>
      <c r="X417" s="15">
        <v>44347</v>
      </c>
      <c r="Y417" s="8">
        <v>25610</v>
      </c>
      <c r="Z417" s="15">
        <v>44316</v>
      </c>
      <c r="AA417" s="8">
        <v>8110</v>
      </c>
      <c r="AB417" s="15">
        <v>44316</v>
      </c>
      <c r="AC417" s="8">
        <v>2620</v>
      </c>
      <c r="AD417" s="15">
        <v>44316</v>
      </c>
      <c r="AE417" s="8">
        <v>2410</v>
      </c>
      <c r="AF417" s="15">
        <v>44316</v>
      </c>
      <c r="AG417" s="8">
        <v>3950</v>
      </c>
      <c r="AH417" s="15">
        <v>44316</v>
      </c>
      <c r="AI417" s="8">
        <v>1140</v>
      </c>
      <c r="AJ417" s="15">
        <v>44316</v>
      </c>
      <c r="AK417" s="8">
        <v>1590</v>
      </c>
      <c r="AL417" s="15">
        <v>44316</v>
      </c>
      <c r="AM417" s="8">
        <v>490</v>
      </c>
      <c r="AN417" s="15">
        <v>44316</v>
      </c>
      <c r="AO417" s="8">
        <v>2320</v>
      </c>
      <c r="AR417" s="11">
        <v>44925</v>
      </c>
      <c r="AS417" s="11">
        <v>44925</v>
      </c>
      <c r="AT417" s="10">
        <v>85.91</v>
      </c>
    </row>
    <row r="418" spans="1:46" x14ac:dyDescent="0.25">
      <c r="A418" s="16">
        <v>30925</v>
      </c>
      <c r="B418" s="1">
        <v>8809</v>
      </c>
      <c r="C418" s="13" t="str">
        <f t="shared" si="6"/>
        <v>32017</v>
      </c>
      <c r="D418" s="2">
        <v>42825</v>
      </c>
      <c r="E418" s="1">
        <v>1566</v>
      </c>
      <c r="X418" s="15">
        <v>44377</v>
      </c>
      <c r="Y418" s="8">
        <v>26400</v>
      </c>
      <c r="Z418" s="15">
        <v>44347</v>
      </c>
      <c r="AA418" s="8">
        <v>8460</v>
      </c>
      <c r="AB418" s="15">
        <v>44347</v>
      </c>
      <c r="AC418" s="8">
        <v>2650</v>
      </c>
      <c r="AD418" s="15">
        <v>44347</v>
      </c>
      <c r="AE418" s="8">
        <v>2460</v>
      </c>
      <c r="AF418" s="15">
        <v>44347</v>
      </c>
      <c r="AG418" s="8">
        <v>3960</v>
      </c>
      <c r="AH418" s="15">
        <v>44347</v>
      </c>
      <c r="AI418" s="8">
        <v>1140</v>
      </c>
      <c r="AJ418" s="15">
        <v>44347</v>
      </c>
      <c r="AK418" s="8">
        <v>1530</v>
      </c>
      <c r="AL418" s="15">
        <v>44347</v>
      </c>
      <c r="AM418" s="8">
        <v>500</v>
      </c>
      <c r="AN418" s="15">
        <v>44347</v>
      </c>
      <c r="AO418" s="8">
        <v>2350</v>
      </c>
      <c r="AR418" s="11">
        <v>44957</v>
      </c>
      <c r="AS418" s="11">
        <v>44957</v>
      </c>
      <c r="AT418" s="10">
        <v>84.49</v>
      </c>
    </row>
    <row r="419" spans="1:46" x14ac:dyDescent="0.25">
      <c r="A419" s="16">
        <v>30955</v>
      </c>
      <c r="B419" s="1">
        <v>8993</v>
      </c>
      <c r="C419" s="13" t="str">
        <f t="shared" si="6"/>
        <v>42017</v>
      </c>
      <c r="D419" s="2">
        <v>42853</v>
      </c>
      <c r="E419" s="1">
        <v>-930</v>
      </c>
      <c r="X419" s="15">
        <v>44408</v>
      </c>
      <c r="Y419" s="8">
        <v>26820</v>
      </c>
      <c r="Z419" s="15">
        <v>44377</v>
      </c>
      <c r="AA419" s="8">
        <v>8950</v>
      </c>
      <c r="AB419" s="15">
        <v>44377</v>
      </c>
      <c r="AC419" s="8">
        <v>2740</v>
      </c>
      <c r="AD419" s="15">
        <v>44377</v>
      </c>
      <c r="AE419" s="8">
        <v>2490</v>
      </c>
      <c r="AF419" s="15">
        <v>44377</v>
      </c>
      <c r="AG419" s="8">
        <v>3940</v>
      </c>
      <c r="AH419" s="15">
        <v>44377</v>
      </c>
      <c r="AI419" s="8">
        <v>1170</v>
      </c>
      <c r="AJ419" s="15">
        <v>44377</v>
      </c>
      <c r="AK419" s="8">
        <v>1570</v>
      </c>
      <c r="AL419" s="15">
        <v>44377</v>
      </c>
      <c r="AM419" s="8">
        <v>540</v>
      </c>
      <c r="AN419" s="15">
        <v>44377</v>
      </c>
      <c r="AO419" s="8">
        <v>2380</v>
      </c>
      <c r="AR419" s="11">
        <v>44985</v>
      </c>
      <c r="AS419" s="11">
        <v>44985</v>
      </c>
      <c r="AT419" s="10">
        <v>83.89</v>
      </c>
    </row>
    <row r="420" spans="1:46" x14ac:dyDescent="0.25">
      <c r="A420" s="16">
        <v>30986</v>
      </c>
      <c r="B420" s="1">
        <v>8906</v>
      </c>
      <c r="C420" s="13" t="str">
        <f t="shared" si="6"/>
        <v>52017</v>
      </c>
      <c r="D420" s="2">
        <v>42886</v>
      </c>
      <c r="E420" s="1">
        <v>-6428</v>
      </c>
      <c r="X420" s="15">
        <v>44439</v>
      </c>
      <c r="Y420" s="8">
        <v>27130</v>
      </c>
      <c r="Z420" s="15">
        <v>44408</v>
      </c>
      <c r="AA420" s="8">
        <v>9430</v>
      </c>
      <c r="AB420" s="15">
        <v>44408</v>
      </c>
      <c r="AC420" s="8">
        <v>2750</v>
      </c>
      <c r="AD420" s="15">
        <v>44408</v>
      </c>
      <c r="AE420" s="8">
        <v>2520</v>
      </c>
      <c r="AF420" s="15">
        <v>44408</v>
      </c>
      <c r="AG420" s="8">
        <v>3970</v>
      </c>
      <c r="AH420" s="15">
        <v>44408</v>
      </c>
      <c r="AI420" s="8">
        <v>1170</v>
      </c>
      <c r="AJ420" s="15">
        <v>44408</v>
      </c>
      <c r="AK420" s="8">
        <v>1520</v>
      </c>
      <c r="AL420" s="15">
        <v>44408</v>
      </c>
      <c r="AM420" s="8">
        <v>490</v>
      </c>
      <c r="AN420" s="15">
        <v>44408</v>
      </c>
      <c r="AO420" s="8">
        <v>2410</v>
      </c>
      <c r="AR420" s="11">
        <v>45016</v>
      </c>
      <c r="AS420" s="11">
        <v>45016</v>
      </c>
      <c r="AT420" s="10">
        <v>79.77</v>
      </c>
    </row>
    <row r="421" spans="1:46" x14ac:dyDescent="0.25">
      <c r="A421" s="16">
        <v>31016</v>
      </c>
      <c r="B421" s="1">
        <v>8979</v>
      </c>
      <c r="C421" s="13" t="str">
        <f t="shared" si="6"/>
        <v>62017</v>
      </c>
      <c r="D421" s="2">
        <v>42916</v>
      </c>
      <c r="E421" s="1">
        <v>-6299</v>
      </c>
      <c r="X421" s="15">
        <v>44469</v>
      </c>
      <c r="Y421" s="8">
        <v>27440</v>
      </c>
      <c r="Z421" s="15">
        <v>44439</v>
      </c>
      <c r="AA421" s="8">
        <v>9630</v>
      </c>
      <c r="AB421" s="15">
        <v>44439</v>
      </c>
      <c r="AC421" s="8">
        <v>2770</v>
      </c>
      <c r="AD421" s="15">
        <v>44439</v>
      </c>
      <c r="AE421" s="8">
        <v>2520</v>
      </c>
      <c r="AF421" s="15">
        <v>44439</v>
      </c>
      <c r="AG421" s="8">
        <v>4080</v>
      </c>
      <c r="AH421" s="15">
        <v>44439</v>
      </c>
      <c r="AI421" s="8">
        <v>1130</v>
      </c>
      <c r="AJ421" s="15">
        <v>44439</v>
      </c>
      <c r="AK421" s="8">
        <v>1430</v>
      </c>
      <c r="AL421" s="15">
        <v>44439</v>
      </c>
      <c r="AM421" s="8">
        <v>540</v>
      </c>
      <c r="AN421" s="15">
        <v>44439</v>
      </c>
      <c r="AO421" s="8">
        <v>2450</v>
      </c>
      <c r="AR421" s="11">
        <v>45044</v>
      </c>
      <c r="AS421" s="11">
        <v>45044</v>
      </c>
      <c r="AT421" s="10">
        <v>79.540000000000006</v>
      </c>
    </row>
    <row r="422" spans="1:46" x14ac:dyDescent="0.25">
      <c r="A422" s="16">
        <v>31047</v>
      </c>
      <c r="B422" s="1">
        <v>8897</v>
      </c>
      <c r="C422" s="13" t="str">
        <f t="shared" si="6"/>
        <v>72017</v>
      </c>
      <c r="D422" s="2">
        <v>42947</v>
      </c>
      <c r="E422" s="1">
        <v>-1527</v>
      </c>
      <c r="X422" s="15">
        <v>44500</v>
      </c>
      <c r="Y422" s="8">
        <v>27650</v>
      </c>
      <c r="Z422" s="15">
        <v>44469</v>
      </c>
      <c r="AA422" s="8">
        <v>9690</v>
      </c>
      <c r="AB422" s="15">
        <v>44469</v>
      </c>
      <c r="AC422" s="8">
        <v>2800</v>
      </c>
      <c r="AD422" s="15">
        <v>44469</v>
      </c>
      <c r="AE422" s="8">
        <v>2500</v>
      </c>
      <c r="AF422" s="15">
        <v>44469</v>
      </c>
      <c r="AG422" s="8">
        <v>4130</v>
      </c>
      <c r="AH422" s="15">
        <v>44469</v>
      </c>
      <c r="AI422" s="8">
        <v>1140</v>
      </c>
      <c r="AJ422" s="15">
        <v>44469</v>
      </c>
      <c r="AK422" s="8">
        <v>1500</v>
      </c>
      <c r="AL422" s="15">
        <v>44469</v>
      </c>
      <c r="AM422" s="8">
        <v>540</v>
      </c>
      <c r="AN422" s="15">
        <v>44469</v>
      </c>
      <c r="AO422" s="8">
        <v>2480</v>
      </c>
      <c r="AR422" s="11">
        <v>45077</v>
      </c>
      <c r="AS422" s="11">
        <v>45077</v>
      </c>
      <c r="AT422" s="10">
        <v>72.66</v>
      </c>
    </row>
    <row r="423" spans="1:46" x14ac:dyDescent="0.25">
      <c r="A423" s="16">
        <v>31078</v>
      </c>
      <c r="B423" s="1">
        <v>8740</v>
      </c>
      <c r="C423" s="13" t="str">
        <f t="shared" si="6"/>
        <v>82017</v>
      </c>
      <c r="D423" s="2">
        <v>42978</v>
      </c>
      <c r="E423" s="1">
        <v>-5392</v>
      </c>
      <c r="X423" s="15">
        <v>44530</v>
      </c>
      <c r="Y423" s="8">
        <v>28000</v>
      </c>
      <c r="Z423" s="15">
        <v>44500</v>
      </c>
      <c r="AA423" s="8">
        <v>9810</v>
      </c>
      <c r="AB423" s="15">
        <v>44500</v>
      </c>
      <c r="AC423" s="8">
        <v>2840</v>
      </c>
      <c r="AD423" s="15">
        <v>44500</v>
      </c>
      <c r="AE423" s="8">
        <v>2530</v>
      </c>
      <c r="AF423" s="15">
        <v>44500</v>
      </c>
      <c r="AG423" s="8">
        <v>4180</v>
      </c>
      <c r="AH423" s="15">
        <v>44500</v>
      </c>
      <c r="AI423" s="8">
        <v>1150</v>
      </c>
      <c r="AJ423" s="15">
        <v>44500</v>
      </c>
      <c r="AK423" s="8">
        <v>1440</v>
      </c>
      <c r="AL423" s="15">
        <v>44500</v>
      </c>
      <c r="AM423" s="8">
        <v>580</v>
      </c>
      <c r="AN423" s="15">
        <v>44500</v>
      </c>
      <c r="AO423" s="8">
        <v>2500</v>
      </c>
      <c r="AR423" s="11">
        <v>45107</v>
      </c>
      <c r="AS423" s="11">
        <v>45107</v>
      </c>
      <c r="AT423" s="10">
        <v>74.900000000000006</v>
      </c>
    </row>
    <row r="424" spans="1:46" x14ac:dyDescent="0.25">
      <c r="A424" s="16">
        <v>31106</v>
      </c>
      <c r="B424" s="1">
        <v>9025</v>
      </c>
      <c r="C424" s="13" t="str">
        <f t="shared" si="6"/>
        <v>92017</v>
      </c>
      <c r="D424" s="2">
        <v>43007</v>
      </c>
      <c r="E424" s="1">
        <v>-6023</v>
      </c>
      <c r="X424" s="15">
        <v>44561</v>
      </c>
      <c r="Y424" s="8">
        <v>28090</v>
      </c>
      <c r="Z424" s="15">
        <v>44530</v>
      </c>
      <c r="AA424" s="8">
        <v>9880</v>
      </c>
      <c r="AB424" s="15">
        <v>44530</v>
      </c>
      <c r="AC424" s="8">
        <v>2870</v>
      </c>
      <c r="AD424" s="15">
        <v>44530</v>
      </c>
      <c r="AE424" s="8">
        <v>2520</v>
      </c>
      <c r="AF424" s="15">
        <v>44530</v>
      </c>
      <c r="AG424" s="8">
        <v>4280</v>
      </c>
      <c r="AH424" s="15">
        <v>44530</v>
      </c>
      <c r="AI424" s="8">
        <v>1130</v>
      </c>
      <c r="AJ424" s="15">
        <v>44530</v>
      </c>
      <c r="AK424" s="8">
        <v>1530</v>
      </c>
      <c r="AL424" s="15">
        <v>44530</v>
      </c>
      <c r="AM424" s="8">
        <v>630</v>
      </c>
      <c r="AN424" s="15">
        <v>44530</v>
      </c>
      <c r="AO424" s="8">
        <v>2530</v>
      </c>
      <c r="AR424" s="11">
        <v>45138</v>
      </c>
      <c r="AS424" s="11">
        <v>45138</v>
      </c>
      <c r="AT424" s="10">
        <v>85.56</v>
      </c>
    </row>
    <row r="425" spans="1:46" x14ac:dyDescent="0.25">
      <c r="A425" s="16">
        <v>31137</v>
      </c>
      <c r="B425" s="1">
        <v>9095</v>
      </c>
      <c r="C425" s="13" t="str">
        <f t="shared" si="6"/>
        <v>102017</v>
      </c>
      <c r="D425" s="2">
        <v>43039</v>
      </c>
      <c r="E425" s="1">
        <v>-2435</v>
      </c>
      <c r="X425" s="15">
        <v>44592</v>
      </c>
      <c r="Y425" s="8">
        <v>28170</v>
      </c>
      <c r="Z425" s="15">
        <v>44561</v>
      </c>
      <c r="AA425" s="8">
        <v>10030</v>
      </c>
      <c r="AB425" s="15">
        <v>44561</v>
      </c>
      <c r="AC425" s="8">
        <v>2890</v>
      </c>
      <c r="AD425" s="15">
        <v>44561</v>
      </c>
      <c r="AE425" s="8">
        <v>2510</v>
      </c>
      <c r="AF425" s="15">
        <v>44561</v>
      </c>
      <c r="AG425" s="8">
        <v>4280</v>
      </c>
      <c r="AH425" s="15">
        <v>44561</v>
      </c>
      <c r="AI425" s="8">
        <v>1060</v>
      </c>
      <c r="AJ425" s="15">
        <v>44561</v>
      </c>
      <c r="AK425" s="8">
        <v>1420</v>
      </c>
      <c r="AL425" s="15">
        <v>44561</v>
      </c>
      <c r="AM425" s="8">
        <v>650</v>
      </c>
      <c r="AN425" s="15">
        <v>44561</v>
      </c>
      <c r="AO425" s="8">
        <v>2550</v>
      </c>
      <c r="AR425" s="11">
        <v>45169</v>
      </c>
      <c r="AS425" s="11">
        <v>45169</v>
      </c>
      <c r="AT425" s="10">
        <v>86.86</v>
      </c>
    </row>
    <row r="426" spans="1:46" x14ac:dyDescent="0.25">
      <c r="A426" s="16">
        <v>31167</v>
      </c>
      <c r="B426" s="1">
        <v>9043</v>
      </c>
      <c r="C426" s="13" t="str">
        <f t="shared" si="6"/>
        <v>112017</v>
      </c>
      <c r="D426" s="2">
        <v>43069</v>
      </c>
      <c r="E426" s="1">
        <v>-3429</v>
      </c>
      <c r="X426" s="15">
        <v>44620</v>
      </c>
      <c r="Y426" s="8">
        <v>28510</v>
      </c>
      <c r="Z426" s="15">
        <v>44592</v>
      </c>
      <c r="AA426" s="8">
        <v>10060</v>
      </c>
      <c r="AB426" s="15">
        <v>44592</v>
      </c>
      <c r="AC426" s="8">
        <v>2910</v>
      </c>
      <c r="AD426" s="15">
        <v>44592</v>
      </c>
      <c r="AE426" s="8">
        <v>2520</v>
      </c>
      <c r="AF426" s="15">
        <v>44592</v>
      </c>
      <c r="AG426" s="8">
        <v>4310</v>
      </c>
      <c r="AH426" s="15">
        <v>44592</v>
      </c>
      <c r="AI426" s="8">
        <v>950</v>
      </c>
      <c r="AJ426" s="15">
        <v>44592</v>
      </c>
      <c r="AK426" s="8">
        <v>1520</v>
      </c>
      <c r="AL426" s="15">
        <v>44592</v>
      </c>
      <c r="AM426" s="8">
        <v>670</v>
      </c>
      <c r="AN426" s="15">
        <v>44592</v>
      </c>
      <c r="AO426" s="8">
        <v>2580</v>
      </c>
      <c r="AR426" s="11">
        <v>45198</v>
      </c>
      <c r="AS426" s="11">
        <v>45198</v>
      </c>
      <c r="AT426" s="10">
        <v>95.31</v>
      </c>
    </row>
    <row r="427" spans="1:46" x14ac:dyDescent="0.25">
      <c r="A427" s="16">
        <v>31198</v>
      </c>
      <c r="B427" s="1">
        <v>9132</v>
      </c>
      <c r="C427" s="13" t="str">
        <f t="shared" si="6"/>
        <v>122017</v>
      </c>
      <c r="D427" s="2">
        <v>43098</v>
      </c>
      <c r="E427" s="1">
        <v>-7419</v>
      </c>
      <c r="X427" s="15">
        <v>44651</v>
      </c>
      <c r="Y427" s="8">
        <v>28690</v>
      </c>
      <c r="Z427" s="15">
        <v>44620</v>
      </c>
      <c r="AA427" s="8">
        <v>10170</v>
      </c>
      <c r="AB427" s="15">
        <v>44620</v>
      </c>
      <c r="AC427" s="8">
        <v>2960</v>
      </c>
      <c r="AD427" s="15">
        <v>44620</v>
      </c>
      <c r="AE427" s="8">
        <v>2550</v>
      </c>
      <c r="AF427" s="15">
        <v>44620</v>
      </c>
      <c r="AG427" s="8">
        <v>4280</v>
      </c>
      <c r="AH427" s="15">
        <v>44620</v>
      </c>
      <c r="AI427" s="8">
        <v>1120</v>
      </c>
      <c r="AJ427" s="15">
        <v>44620</v>
      </c>
      <c r="AK427" s="8">
        <v>1500</v>
      </c>
      <c r="AL427" s="15">
        <v>44620</v>
      </c>
      <c r="AM427" s="8">
        <v>620</v>
      </c>
      <c r="AN427" s="15">
        <v>44620</v>
      </c>
      <c r="AO427" s="8">
        <v>2620</v>
      </c>
      <c r="AR427" s="11">
        <v>45230</v>
      </c>
      <c r="AS427" s="11">
        <v>45230</v>
      </c>
      <c r="AT427" s="10">
        <v>87.41</v>
      </c>
    </row>
    <row r="428" spans="1:46" x14ac:dyDescent="0.25">
      <c r="A428" s="16">
        <v>31228</v>
      </c>
      <c r="B428" s="1">
        <v>9022</v>
      </c>
      <c r="C428" s="13" t="str">
        <f t="shared" si="6"/>
        <v>12018</v>
      </c>
      <c r="D428" s="2">
        <v>43131</v>
      </c>
      <c r="E428" s="1">
        <v>6776</v>
      </c>
      <c r="X428" s="15">
        <v>44681</v>
      </c>
      <c r="Y428" s="8">
        <v>28720</v>
      </c>
      <c r="Z428" s="15">
        <v>44651</v>
      </c>
      <c r="AA428" s="8">
        <v>10270</v>
      </c>
      <c r="AB428" s="15">
        <v>44651</v>
      </c>
      <c r="AC428" s="8">
        <v>2980</v>
      </c>
      <c r="AD428" s="15">
        <v>44651</v>
      </c>
      <c r="AE428" s="8">
        <v>2590</v>
      </c>
      <c r="AF428" s="15">
        <v>44651</v>
      </c>
      <c r="AG428" s="8">
        <v>4290</v>
      </c>
      <c r="AH428" s="15">
        <v>44651</v>
      </c>
      <c r="AI428" s="8">
        <v>1050</v>
      </c>
      <c r="AJ428" s="15">
        <v>44651</v>
      </c>
      <c r="AK428" s="8">
        <v>1480</v>
      </c>
      <c r="AL428" s="15">
        <v>44651</v>
      </c>
      <c r="AM428" s="8">
        <v>680</v>
      </c>
      <c r="AN428" s="15">
        <v>44651</v>
      </c>
      <c r="AO428" s="8">
        <v>2640</v>
      </c>
      <c r="AR428" s="11">
        <v>45260</v>
      </c>
      <c r="AS428" s="11">
        <v>45260</v>
      </c>
      <c r="AT428" s="10">
        <v>82.83</v>
      </c>
    </row>
    <row r="429" spans="1:46" x14ac:dyDescent="0.25">
      <c r="A429" s="16">
        <v>31259</v>
      </c>
      <c r="B429" s="1">
        <v>8949</v>
      </c>
      <c r="C429" s="13" t="str">
        <f t="shared" si="6"/>
        <v>22018</v>
      </c>
      <c r="D429" s="2">
        <v>43159</v>
      </c>
      <c r="E429" s="1">
        <v>3019</v>
      </c>
      <c r="X429" s="15">
        <v>44712</v>
      </c>
      <c r="Y429" s="8">
        <v>28720</v>
      </c>
      <c r="Z429" s="15">
        <v>44681</v>
      </c>
      <c r="AA429" s="8">
        <v>10380</v>
      </c>
      <c r="AB429" s="15">
        <v>44681</v>
      </c>
      <c r="AC429" s="8">
        <v>3010</v>
      </c>
      <c r="AD429" s="15">
        <v>44681</v>
      </c>
      <c r="AE429" s="8">
        <v>2580</v>
      </c>
      <c r="AF429" s="15">
        <v>44681</v>
      </c>
      <c r="AG429" s="8">
        <v>4460</v>
      </c>
      <c r="AH429" s="15">
        <v>44681</v>
      </c>
      <c r="AI429" s="8">
        <v>900</v>
      </c>
      <c r="AJ429" s="15">
        <v>44681</v>
      </c>
      <c r="AK429" s="8">
        <v>1370</v>
      </c>
      <c r="AL429" s="15">
        <v>44681</v>
      </c>
      <c r="AM429" s="8">
        <v>700</v>
      </c>
      <c r="AN429" s="15">
        <v>44681</v>
      </c>
      <c r="AO429" s="8">
        <v>2610</v>
      </c>
      <c r="AR429" s="11">
        <v>45289</v>
      </c>
      <c r="AS429" s="11">
        <v>45289</v>
      </c>
      <c r="AT429" s="10">
        <v>77.040000000000006</v>
      </c>
    </row>
    <row r="430" spans="1:46" x14ac:dyDescent="0.25">
      <c r="A430" s="16">
        <v>31290</v>
      </c>
      <c r="B430" s="1">
        <v>8803</v>
      </c>
      <c r="C430" s="13" t="str">
        <f t="shared" si="6"/>
        <v>32018</v>
      </c>
      <c r="D430" s="2">
        <v>43189</v>
      </c>
      <c r="E430" s="1">
        <v>-4617</v>
      </c>
      <c r="X430" s="15">
        <v>44742</v>
      </c>
      <c r="Y430" s="8">
        <v>28780</v>
      </c>
      <c r="Z430" s="15">
        <v>44712</v>
      </c>
      <c r="AA430" s="8">
        <v>10430</v>
      </c>
      <c r="AB430" s="15">
        <v>44712</v>
      </c>
      <c r="AC430" s="8">
        <v>3100</v>
      </c>
      <c r="AD430" s="15">
        <v>44712</v>
      </c>
      <c r="AE430" s="8">
        <v>2580</v>
      </c>
      <c r="AF430" s="15">
        <v>44712</v>
      </c>
      <c r="AG430" s="8">
        <v>4430</v>
      </c>
      <c r="AH430" s="15">
        <v>44712</v>
      </c>
      <c r="AI430" s="8">
        <v>760</v>
      </c>
      <c r="AJ430" s="15">
        <v>44712</v>
      </c>
      <c r="AK430" s="8">
        <v>1300</v>
      </c>
      <c r="AL430" s="15">
        <v>44712</v>
      </c>
      <c r="AM430" s="8">
        <v>680</v>
      </c>
      <c r="AN430" s="15">
        <v>44712</v>
      </c>
      <c r="AO430" s="8">
        <v>2690</v>
      </c>
      <c r="AR430" s="11">
        <v>45322</v>
      </c>
      <c r="AS430" s="11">
        <v>45322</v>
      </c>
      <c r="AT430" s="10">
        <v>81.709999999999994</v>
      </c>
    </row>
    <row r="431" spans="1:46" x14ac:dyDescent="0.25">
      <c r="A431" s="16">
        <v>31320</v>
      </c>
      <c r="B431" s="1">
        <v>8954</v>
      </c>
      <c r="C431" s="13" t="str">
        <f t="shared" si="6"/>
        <v>42018</v>
      </c>
      <c r="D431" s="2">
        <v>43220</v>
      </c>
      <c r="E431" s="1">
        <v>6218</v>
      </c>
      <c r="X431" s="15">
        <v>44773</v>
      </c>
      <c r="Y431" s="8">
        <v>29050</v>
      </c>
      <c r="Z431" s="15">
        <v>44742</v>
      </c>
      <c r="AA431" s="8">
        <v>10600</v>
      </c>
      <c r="AB431" s="15">
        <v>44742</v>
      </c>
      <c r="AC431" s="8">
        <v>3190</v>
      </c>
      <c r="AD431" s="15">
        <v>44742</v>
      </c>
      <c r="AE431" s="8">
        <v>2550</v>
      </c>
      <c r="AF431" s="15">
        <v>44742</v>
      </c>
      <c r="AG431" s="8">
        <v>4420</v>
      </c>
      <c r="AH431" s="15">
        <v>44742</v>
      </c>
      <c r="AI431" s="8">
        <v>670</v>
      </c>
      <c r="AJ431" s="15">
        <v>44742</v>
      </c>
      <c r="AK431" s="8">
        <v>1230</v>
      </c>
      <c r="AL431" s="15">
        <v>44742</v>
      </c>
      <c r="AM431" s="8">
        <v>710</v>
      </c>
      <c r="AN431" s="15">
        <v>44742</v>
      </c>
      <c r="AO431" s="8">
        <v>2640</v>
      </c>
      <c r="AR431" s="11">
        <v>45351</v>
      </c>
      <c r="AS431" s="11">
        <v>45351</v>
      </c>
      <c r="AT431" s="10">
        <v>83.62</v>
      </c>
    </row>
    <row r="432" spans="1:46" x14ac:dyDescent="0.25">
      <c r="A432" s="16">
        <v>31351</v>
      </c>
      <c r="B432" s="1">
        <v>8970</v>
      </c>
      <c r="C432" s="13" t="str">
        <f t="shared" si="6"/>
        <v>52018</v>
      </c>
      <c r="D432" s="2">
        <v>43251</v>
      </c>
      <c r="E432" s="1">
        <v>-3620</v>
      </c>
      <c r="X432" s="15">
        <v>44804</v>
      </c>
      <c r="Y432" s="8">
        <v>29660</v>
      </c>
      <c r="Z432" s="15">
        <v>44773</v>
      </c>
      <c r="AA432" s="8">
        <v>10780</v>
      </c>
      <c r="AB432" s="15">
        <v>44773</v>
      </c>
      <c r="AC432" s="8">
        <v>3240</v>
      </c>
      <c r="AD432" s="15">
        <v>44773</v>
      </c>
      <c r="AE432" s="8">
        <v>2520</v>
      </c>
      <c r="AF432" s="15">
        <v>44773</v>
      </c>
      <c r="AG432" s="8">
        <v>4420</v>
      </c>
      <c r="AH432" s="15">
        <v>44773</v>
      </c>
      <c r="AI432" s="8">
        <v>700</v>
      </c>
      <c r="AJ432" s="15">
        <v>44773</v>
      </c>
      <c r="AK432" s="8">
        <v>1200</v>
      </c>
      <c r="AL432" s="15">
        <v>44773</v>
      </c>
      <c r="AM432" s="8">
        <v>710</v>
      </c>
      <c r="AN432" s="15">
        <v>44773</v>
      </c>
      <c r="AO432" s="8">
        <v>2770</v>
      </c>
      <c r="AR432" s="11">
        <v>45380</v>
      </c>
      <c r="AS432" s="11">
        <v>45380</v>
      </c>
      <c r="AT432" s="10">
        <v>87.48</v>
      </c>
    </row>
    <row r="433" spans="1:46" x14ac:dyDescent="0.25">
      <c r="A433" s="16">
        <v>31381</v>
      </c>
      <c r="B433" s="1">
        <v>8902</v>
      </c>
      <c r="C433" s="13" t="str">
        <f t="shared" si="6"/>
        <v>62018</v>
      </c>
      <c r="D433" s="2">
        <v>43280</v>
      </c>
      <c r="E433" s="1">
        <v>1245</v>
      </c>
      <c r="X433" s="15">
        <v>44834</v>
      </c>
      <c r="Y433" s="8">
        <v>29950</v>
      </c>
      <c r="Z433" s="15">
        <v>44804</v>
      </c>
      <c r="AA433" s="8">
        <v>10930</v>
      </c>
      <c r="AB433" s="15">
        <v>44804</v>
      </c>
      <c r="AC433" s="8">
        <v>3350</v>
      </c>
      <c r="AD433" s="15">
        <v>44804</v>
      </c>
      <c r="AE433" s="8">
        <v>2520</v>
      </c>
      <c r="AF433" s="15">
        <v>44804</v>
      </c>
      <c r="AG433" s="8">
        <v>4430</v>
      </c>
      <c r="AH433" s="15">
        <v>44804</v>
      </c>
      <c r="AI433" s="8">
        <v>1080</v>
      </c>
      <c r="AJ433" s="15">
        <v>44804</v>
      </c>
      <c r="AK433" s="8">
        <v>1130</v>
      </c>
      <c r="AL433" s="15">
        <v>44804</v>
      </c>
      <c r="AM433" s="8">
        <v>640</v>
      </c>
      <c r="AN433" s="15">
        <v>44804</v>
      </c>
      <c r="AO433" s="8">
        <v>2810</v>
      </c>
      <c r="AR433" s="11">
        <v>45412</v>
      </c>
      <c r="AS433" s="11">
        <v>45412</v>
      </c>
      <c r="AT433" s="10">
        <v>87.86</v>
      </c>
    </row>
    <row r="434" spans="1:46" x14ac:dyDescent="0.25">
      <c r="A434" s="16">
        <v>31412</v>
      </c>
      <c r="B434" s="1">
        <v>9030</v>
      </c>
      <c r="C434" s="13" t="str">
        <f t="shared" si="6"/>
        <v>72018</v>
      </c>
      <c r="D434" s="2">
        <v>43312</v>
      </c>
      <c r="E434" s="1">
        <v>3803</v>
      </c>
      <c r="X434" s="15">
        <v>44865</v>
      </c>
      <c r="Y434" s="8">
        <v>29840</v>
      </c>
      <c r="Z434" s="15">
        <v>44834</v>
      </c>
      <c r="AA434" s="8">
        <v>11010</v>
      </c>
      <c r="AB434" s="15">
        <v>44834</v>
      </c>
      <c r="AC434" s="8">
        <v>3350</v>
      </c>
      <c r="AD434" s="15">
        <v>44834</v>
      </c>
      <c r="AE434" s="8">
        <v>2490</v>
      </c>
      <c r="AF434" s="15">
        <v>44834</v>
      </c>
      <c r="AG434" s="8">
        <v>4520</v>
      </c>
      <c r="AH434" s="15">
        <v>44834</v>
      </c>
      <c r="AI434" s="8">
        <v>1200</v>
      </c>
      <c r="AJ434" s="15">
        <v>44834</v>
      </c>
      <c r="AK434" s="8">
        <v>1100</v>
      </c>
      <c r="AL434" s="15">
        <v>44834</v>
      </c>
      <c r="AM434" s="8">
        <v>670</v>
      </c>
      <c r="AN434" s="15">
        <v>44834</v>
      </c>
      <c r="AO434" s="8">
        <v>2820</v>
      </c>
      <c r="AR434" s="11">
        <v>45443</v>
      </c>
      <c r="AS434" s="11">
        <v>45443</v>
      </c>
      <c r="AT434" s="10">
        <v>81.62</v>
      </c>
    </row>
    <row r="435" spans="1:46" x14ac:dyDescent="0.25">
      <c r="A435" s="16">
        <v>31443</v>
      </c>
      <c r="B435" s="1">
        <v>9137</v>
      </c>
      <c r="C435" s="13" t="str">
        <f t="shared" si="6"/>
        <v>82018</v>
      </c>
      <c r="D435" s="2">
        <v>43343</v>
      </c>
      <c r="E435" s="1">
        <v>-4302</v>
      </c>
      <c r="X435" s="15">
        <v>44895</v>
      </c>
      <c r="Y435" s="8">
        <v>28990</v>
      </c>
      <c r="Z435" s="15">
        <v>44865</v>
      </c>
      <c r="AA435" s="8">
        <v>10910</v>
      </c>
      <c r="AB435" s="15">
        <v>44865</v>
      </c>
      <c r="AC435" s="8">
        <v>3420</v>
      </c>
      <c r="AD435" s="15">
        <v>44865</v>
      </c>
      <c r="AE435" s="8">
        <v>2510</v>
      </c>
      <c r="AF435" s="15">
        <v>44865</v>
      </c>
      <c r="AG435" s="8">
        <v>4570</v>
      </c>
      <c r="AH435" s="15">
        <v>44865</v>
      </c>
      <c r="AI435" s="8">
        <v>1170</v>
      </c>
      <c r="AJ435" s="15">
        <v>44865</v>
      </c>
      <c r="AK435" s="8">
        <v>1150</v>
      </c>
      <c r="AL435" s="15">
        <v>44865</v>
      </c>
      <c r="AM435" s="8">
        <v>660</v>
      </c>
      <c r="AN435" s="15">
        <v>44865</v>
      </c>
      <c r="AO435" s="8">
        <v>2810</v>
      </c>
      <c r="AR435" s="11" t="str">
        <f t="shared" ref="AR435:AR452" si="7">MONTH(AS435)&amp;YEAR(AS435)</f>
        <v>62024</v>
      </c>
      <c r="AS435" s="11">
        <v>45471</v>
      </c>
      <c r="AT435" s="10">
        <v>86.41</v>
      </c>
    </row>
    <row r="436" spans="1:46" x14ac:dyDescent="0.25">
      <c r="A436" s="16">
        <v>31471</v>
      </c>
      <c r="B436" s="1">
        <v>9173</v>
      </c>
      <c r="C436" s="13" t="str">
        <f t="shared" si="6"/>
        <v>92018</v>
      </c>
      <c r="D436" s="2">
        <v>43371</v>
      </c>
      <c r="E436" s="1">
        <v>7975</v>
      </c>
      <c r="X436" s="15">
        <v>44926</v>
      </c>
      <c r="Y436" s="8">
        <v>29180</v>
      </c>
      <c r="Z436" s="15">
        <v>44895</v>
      </c>
      <c r="AA436" s="8">
        <v>10470</v>
      </c>
      <c r="AB436" s="15">
        <v>44895</v>
      </c>
      <c r="AC436" s="8">
        <v>3180</v>
      </c>
      <c r="AD436" s="15">
        <v>44895</v>
      </c>
      <c r="AE436" s="8">
        <v>2520</v>
      </c>
      <c r="AF436" s="15">
        <v>44895</v>
      </c>
      <c r="AG436" s="8">
        <v>4480</v>
      </c>
      <c r="AH436" s="15">
        <v>44895</v>
      </c>
      <c r="AI436" s="8">
        <v>1150</v>
      </c>
      <c r="AJ436" s="15">
        <v>44895</v>
      </c>
      <c r="AK436" s="8">
        <v>1200</v>
      </c>
      <c r="AL436" s="15">
        <v>44895</v>
      </c>
      <c r="AM436" s="8">
        <v>690</v>
      </c>
      <c r="AN436" s="15">
        <v>44895</v>
      </c>
      <c r="AO436" s="8">
        <v>2670</v>
      </c>
      <c r="AR436" s="11" t="str">
        <f t="shared" si="7"/>
        <v>72024</v>
      </c>
      <c r="AS436" s="11">
        <v>45504</v>
      </c>
      <c r="AT436" s="10">
        <v>80.72</v>
      </c>
    </row>
    <row r="437" spans="1:46" x14ac:dyDescent="0.25">
      <c r="A437" s="16">
        <v>31502</v>
      </c>
      <c r="B437" s="1">
        <v>9013</v>
      </c>
      <c r="C437" s="13" t="str">
        <f t="shared" si="6"/>
        <v>102018</v>
      </c>
      <c r="D437" s="2">
        <v>43404</v>
      </c>
      <c r="E437" s="1">
        <v>3217</v>
      </c>
      <c r="X437" s="15">
        <v>44957</v>
      </c>
      <c r="Y437" s="8">
        <v>29120</v>
      </c>
      <c r="Z437" s="15">
        <v>44926</v>
      </c>
      <c r="AA437" s="8">
        <v>10480</v>
      </c>
      <c r="AB437" s="15">
        <v>44926</v>
      </c>
      <c r="AC437" s="8">
        <v>3170</v>
      </c>
      <c r="AD437" s="15">
        <v>44926</v>
      </c>
      <c r="AE437" s="8">
        <v>2640</v>
      </c>
      <c r="AF437" s="15">
        <v>44926</v>
      </c>
      <c r="AG437" s="8">
        <v>4480</v>
      </c>
      <c r="AH437" s="15">
        <v>44926</v>
      </c>
      <c r="AI437" s="8">
        <v>1170</v>
      </c>
      <c r="AJ437" s="15">
        <v>44926</v>
      </c>
      <c r="AK437" s="8">
        <v>1330</v>
      </c>
      <c r="AL437" s="15">
        <v>44926</v>
      </c>
      <c r="AM437" s="8">
        <v>660</v>
      </c>
      <c r="AN437" s="15">
        <v>44926</v>
      </c>
      <c r="AO437" s="8">
        <v>2670</v>
      </c>
      <c r="AR437" s="11" t="str">
        <f t="shared" si="7"/>
        <v>82024</v>
      </c>
      <c r="AS437" s="11">
        <v>45534</v>
      </c>
      <c r="AT437" s="10">
        <v>78.8</v>
      </c>
    </row>
    <row r="438" spans="1:46" x14ac:dyDescent="0.25">
      <c r="A438" s="16">
        <v>31532</v>
      </c>
      <c r="B438" s="1">
        <v>8864</v>
      </c>
      <c r="C438" s="13" t="str">
        <f t="shared" si="6"/>
        <v>112018</v>
      </c>
      <c r="D438" s="2">
        <v>43434</v>
      </c>
      <c r="E438" s="1">
        <v>-7323</v>
      </c>
      <c r="X438" s="15">
        <v>44985</v>
      </c>
      <c r="Y438" s="8">
        <v>29240</v>
      </c>
      <c r="Z438" s="15">
        <v>44957</v>
      </c>
      <c r="AA438" s="8">
        <v>10380</v>
      </c>
      <c r="AB438" s="15">
        <v>44957</v>
      </c>
      <c r="AC438" s="8">
        <v>3190</v>
      </c>
      <c r="AD438" s="15">
        <v>44957</v>
      </c>
      <c r="AE438" s="8">
        <v>2600</v>
      </c>
      <c r="AF438" s="15">
        <v>44957</v>
      </c>
      <c r="AG438" s="8">
        <v>4470</v>
      </c>
      <c r="AH438" s="15">
        <v>44957</v>
      </c>
      <c r="AI438" s="8">
        <v>1100</v>
      </c>
      <c r="AJ438" s="15">
        <v>44957</v>
      </c>
      <c r="AK438" s="8">
        <v>1360</v>
      </c>
      <c r="AL438" s="15">
        <v>44957</v>
      </c>
      <c r="AM438" s="8">
        <v>670</v>
      </c>
      <c r="AN438" s="15">
        <v>44957</v>
      </c>
      <c r="AO438" s="8">
        <v>2690</v>
      </c>
      <c r="AR438" s="11" t="str">
        <f t="shared" si="7"/>
        <v>92024</v>
      </c>
      <c r="AS438" s="11">
        <v>45565</v>
      </c>
      <c r="AT438" s="10">
        <v>71.77</v>
      </c>
    </row>
    <row r="439" spans="1:46" x14ac:dyDescent="0.25">
      <c r="A439" s="16">
        <v>31563</v>
      </c>
      <c r="B439" s="1">
        <v>8838</v>
      </c>
      <c r="C439" s="13" t="str">
        <f t="shared" si="6"/>
        <v>122018</v>
      </c>
      <c r="D439" s="2">
        <v>43465</v>
      </c>
      <c r="E439" s="1">
        <v>7</v>
      </c>
      <c r="X439" s="15">
        <v>45016</v>
      </c>
      <c r="Y439" s="8">
        <v>29110</v>
      </c>
      <c r="Z439" s="15">
        <v>44985</v>
      </c>
      <c r="AA439" s="8">
        <v>10370</v>
      </c>
      <c r="AB439" s="15">
        <v>44985</v>
      </c>
      <c r="AC439" s="8">
        <v>3230</v>
      </c>
      <c r="AD439" s="15">
        <v>44985</v>
      </c>
      <c r="AE439" s="8">
        <v>2560</v>
      </c>
      <c r="AF439" s="15">
        <v>44985</v>
      </c>
      <c r="AG439" s="8">
        <v>4460</v>
      </c>
      <c r="AH439" s="15">
        <v>44985</v>
      </c>
      <c r="AI439" s="8">
        <v>1140</v>
      </c>
      <c r="AJ439" s="15">
        <v>44985</v>
      </c>
      <c r="AK439" s="8">
        <v>1440</v>
      </c>
      <c r="AL439" s="15">
        <v>44985</v>
      </c>
      <c r="AM439" s="8">
        <v>700</v>
      </c>
      <c r="AN439" s="15">
        <v>44985</v>
      </c>
      <c r="AO439" s="8">
        <v>2690</v>
      </c>
      <c r="AR439" s="11" t="str">
        <f t="shared" si="7"/>
        <v>102024</v>
      </c>
      <c r="AS439" s="11">
        <v>45596</v>
      </c>
      <c r="AT439" s="10">
        <v>73.16</v>
      </c>
    </row>
    <row r="440" spans="1:46" x14ac:dyDescent="0.25">
      <c r="A440" s="16">
        <v>31593</v>
      </c>
      <c r="B440" s="1">
        <v>8623</v>
      </c>
      <c r="C440" s="13" t="str">
        <f t="shared" si="6"/>
        <v>12019</v>
      </c>
      <c r="D440" s="2">
        <v>43496</v>
      </c>
      <c r="E440" s="1">
        <v>919</v>
      </c>
      <c r="X440" s="15">
        <v>45046</v>
      </c>
      <c r="Y440" s="8">
        <v>28760</v>
      </c>
      <c r="Z440" s="15">
        <v>45016</v>
      </c>
      <c r="AA440" s="8">
        <v>10400</v>
      </c>
      <c r="AB440" s="15">
        <v>45016</v>
      </c>
      <c r="AC440" s="8">
        <v>3250</v>
      </c>
      <c r="AD440" s="15">
        <v>45016</v>
      </c>
      <c r="AE440" s="8">
        <v>2580</v>
      </c>
      <c r="AF440" s="15">
        <v>45016</v>
      </c>
      <c r="AG440" s="8">
        <v>4380</v>
      </c>
      <c r="AH440" s="15">
        <v>45016</v>
      </c>
      <c r="AI440" s="8">
        <v>1130</v>
      </c>
      <c r="AJ440" s="15">
        <v>45016</v>
      </c>
      <c r="AK440" s="8">
        <v>1440</v>
      </c>
      <c r="AL440" s="15">
        <v>45016</v>
      </c>
      <c r="AM440" s="8">
        <v>720</v>
      </c>
      <c r="AN440" s="15">
        <v>45016</v>
      </c>
      <c r="AO440" s="8">
        <v>2680</v>
      </c>
      <c r="AR440" s="11" t="str">
        <f t="shared" si="7"/>
        <v>112024</v>
      </c>
      <c r="AS440" s="11">
        <v>45625</v>
      </c>
      <c r="AT440" s="10">
        <v>72.94</v>
      </c>
    </row>
    <row r="441" spans="1:46" x14ac:dyDescent="0.25">
      <c r="A441" s="16">
        <v>31624</v>
      </c>
      <c r="B441" s="1">
        <v>8660</v>
      </c>
      <c r="C441" s="13" t="str">
        <f t="shared" si="6"/>
        <v>22019</v>
      </c>
      <c r="D441" s="2">
        <v>43524</v>
      </c>
      <c r="E441" s="1">
        <v>-8647</v>
      </c>
      <c r="X441" s="15">
        <v>45077</v>
      </c>
      <c r="Y441" s="8">
        <v>28490</v>
      </c>
      <c r="Z441" s="15">
        <v>45046</v>
      </c>
      <c r="AA441" s="8">
        <v>10470</v>
      </c>
      <c r="AB441" s="15">
        <v>45046</v>
      </c>
      <c r="AC441" s="8">
        <v>3180</v>
      </c>
      <c r="AD441" s="15">
        <v>45046</v>
      </c>
      <c r="AE441" s="8">
        <v>2680</v>
      </c>
      <c r="AF441" s="15">
        <v>45046</v>
      </c>
      <c r="AG441" s="8">
        <v>4130</v>
      </c>
      <c r="AH441" s="15">
        <v>45046</v>
      </c>
      <c r="AI441" s="8">
        <v>1100</v>
      </c>
      <c r="AJ441" s="15">
        <v>45046</v>
      </c>
      <c r="AK441" s="8">
        <v>1200</v>
      </c>
      <c r="AL441" s="15">
        <v>45046</v>
      </c>
      <c r="AM441" s="8">
        <v>730</v>
      </c>
      <c r="AN441" s="15">
        <v>45046</v>
      </c>
      <c r="AO441" s="8">
        <v>2680</v>
      </c>
      <c r="AR441" s="11" t="str">
        <f t="shared" si="7"/>
        <v>122024</v>
      </c>
      <c r="AS441" s="11">
        <v>45657</v>
      </c>
      <c r="AT441" s="10">
        <v>74.64</v>
      </c>
    </row>
    <row r="442" spans="1:46" x14ac:dyDescent="0.25">
      <c r="A442" s="16">
        <v>31655</v>
      </c>
      <c r="B442" s="1">
        <v>8374</v>
      </c>
      <c r="C442" s="13" t="str">
        <f t="shared" si="6"/>
        <v>32019</v>
      </c>
      <c r="D442" s="2">
        <v>43553</v>
      </c>
      <c r="E442" s="1">
        <v>7238</v>
      </c>
      <c r="X442" s="15">
        <v>45107</v>
      </c>
      <c r="Y442" s="8">
        <v>28690</v>
      </c>
      <c r="Z442" s="15">
        <v>45077</v>
      </c>
      <c r="AA442" s="8">
        <v>9960</v>
      </c>
      <c r="AB442" s="15">
        <v>45077</v>
      </c>
      <c r="AC442" s="8">
        <v>3130</v>
      </c>
      <c r="AD442" s="15">
        <v>45077</v>
      </c>
      <c r="AE442" s="8">
        <v>2890</v>
      </c>
      <c r="AF442" s="15">
        <v>45077</v>
      </c>
      <c r="AG442" s="8">
        <v>4140</v>
      </c>
      <c r="AH442" s="15">
        <v>45077</v>
      </c>
      <c r="AI442" s="8">
        <v>1120</v>
      </c>
      <c r="AJ442" s="15">
        <v>45077</v>
      </c>
      <c r="AK442" s="8">
        <v>1380</v>
      </c>
      <c r="AL442" s="15">
        <v>45077</v>
      </c>
      <c r="AM442" s="8">
        <v>740</v>
      </c>
      <c r="AN442" s="15">
        <v>45077</v>
      </c>
      <c r="AO442" s="8">
        <v>2550</v>
      </c>
      <c r="AR442" s="11" t="str">
        <f t="shared" si="7"/>
        <v>12025</v>
      </c>
      <c r="AS442" s="11">
        <v>45688</v>
      </c>
      <c r="AT442" s="10">
        <v>76.760000000000005</v>
      </c>
    </row>
    <row r="443" spans="1:46" x14ac:dyDescent="0.25">
      <c r="A443" s="16">
        <v>31685</v>
      </c>
      <c r="B443" s="1">
        <v>8328</v>
      </c>
      <c r="C443" s="13" t="str">
        <f t="shared" si="6"/>
        <v>42019</v>
      </c>
      <c r="D443" s="2">
        <v>43585</v>
      </c>
      <c r="E443" s="1">
        <v>9934</v>
      </c>
      <c r="X443" s="15">
        <v>45138</v>
      </c>
      <c r="Y443" s="8">
        <v>27780</v>
      </c>
      <c r="Z443" s="15">
        <v>45107</v>
      </c>
      <c r="AA443" s="8">
        <v>9960</v>
      </c>
      <c r="AB443" s="15">
        <v>45107</v>
      </c>
      <c r="AC443" s="8">
        <v>3100</v>
      </c>
      <c r="AD443" s="15">
        <v>45107</v>
      </c>
      <c r="AE443" s="8">
        <v>2950</v>
      </c>
      <c r="AF443" s="15">
        <v>45107</v>
      </c>
      <c r="AG443" s="8">
        <v>4180</v>
      </c>
      <c r="AH443" s="15">
        <v>45107</v>
      </c>
      <c r="AI443" s="8">
        <v>1150</v>
      </c>
      <c r="AJ443" s="15">
        <v>45107</v>
      </c>
      <c r="AK443" s="8">
        <v>1390</v>
      </c>
      <c r="AL443" s="15">
        <v>45107</v>
      </c>
      <c r="AM443" s="8">
        <v>780</v>
      </c>
      <c r="AN443" s="15">
        <v>45107</v>
      </c>
      <c r="AO443" s="8">
        <v>2570</v>
      </c>
      <c r="AR443" s="11" t="str">
        <f t="shared" si="7"/>
        <v>22025</v>
      </c>
      <c r="AS443" s="11">
        <v>45716</v>
      </c>
      <c r="AT443" s="10">
        <v>73.180000000000007</v>
      </c>
    </row>
    <row r="444" spans="1:46" x14ac:dyDescent="0.25">
      <c r="A444" s="16">
        <v>31716</v>
      </c>
      <c r="B444" s="1">
        <v>8419</v>
      </c>
      <c r="C444" s="13" t="str">
        <f t="shared" si="6"/>
        <v>52019</v>
      </c>
      <c r="D444" s="2">
        <v>43616</v>
      </c>
      <c r="E444" s="1">
        <v>6771</v>
      </c>
      <c r="X444" s="15">
        <v>45169</v>
      </c>
      <c r="Y444" s="8">
        <v>27920</v>
      </c>
      <c r="Z444" s="15">
        <v>45138</v>
      </c>
      <c r="AA444" s="8">
        <v>9110</v>
      </c>
      <c r="AB444" s="15">
        <v>45138</v>
      </c>
      <c r="AC444" s="8">
        <v>3090</v>
      </c>
      <c r="AD444" s="15">
        <v>45138</v>
      </c>
      <c r="AE444" s="8">
        <v>2980</v>
      </c>
      <c r="AF444" s="15">
        <v>45138</v>
      </c>
      <c r="AG444" s="8">
        <v>4250</v>
      </c>
      <c r="AH444" s="15">
        <v>45138</v>
      </c>
      <c r="AI444" s="8">
        <v>1100</v>
      </c>
      <c r="AJ444" s="15">
        <v>45138</v>
      </c>
      <c r="AK444" s="8">
        <v>1260</v>
      </c>
      <c r="AL444" s="15">
        <v>45138</v>
      </c>
      <c r="AM444" s="8">
        <v>780</v>
      </c>
      <c r="AN444" s="15">
        <v>45138</v>
      </c>
      <c r="AO444" s="8">
        <v>2550</v>
      </c>
      <c r="AR444" s="11" t="str">
        <f t="shared" si="7"/>
        <v>32025</v>
      </c>
      <c r="AS444" s="11">
        <v>45747</v>
      </c>
      <c r="AT444" s="10">
        <v>74.739999999999995</v>
      </c>
    </row>
    <row r="445" spans="1:46" x14ac:dyDescent="0.25">
      <c r="A445" s="16">
        <v>31746</v>
      </c>
      <c r="B445" s="1">
        <v>8412</v>
      </c>
      <c r="C445" s="13" t="str">
        <f t="shared" si="6"/>
        <v>62019</v>
      </c>
      <c r="D445" s="2">
        <v>43644</v>
      </c>
      <c r="E445" s="1">
        <v>-1085</v>
      </c>
      <c r="X445" s="15">
        <v>45199</v>
      </c>
      <c r="Y445" s="8">
        <v>28030</v>
      </c>
      <c r="Z445" s="15">
        <v>45169</v>
      </c>
      <c r="AA445" s="8">
        <v>8980</v>
      </c>
      <c r="AB445" s="15">
        <v>45169</v>
      </c>
      <c r="AC445" s="8">
        <v>3120</v>
      </c>
      <c r="AD445" s="15">
        <v>45169</v>
      </c>
      <c r="AE445" s="8">
        <v>3100</v>
      </c>
      <c r="AF445" s="15">
        <v>45169</v>
      </c>
      <c r="AG445" s="8">
        <v>4260</v>
      </c>
      <c r="AH445" s="15">
        <v>45169</v>
      </c>
      <c r="AI445" s="8">
        <v>1140</v>
      </c>
      <c r="AJ445" s="15">
        <v>45169</v>
      </c>
      <c r="AK445" s="8">
        <v>1340</v>
      </c>
      <c r="AL445" s="15">
        <v>45169</v>
      </c>
      <c r="AM445" s="8">
        <v>800</v>
      </c>
      <c r="AN445" s="15">
        <v>45169</v>
      </c>
      <c r="AO445" s="8">
        <v>2560</v>
      </c>
      <c r="AR445" s="11" t="str">
        <f t="shared" si="7"/>
        <v>42025</v>
      </c>
      <c r="AS445" s="11">
        <v>45777</v>
      </c>
      <c r="AT445" s="10">
        <v>63.12</v>
      </c>
    </row>
    <row r="446" spans="1:46" x14ac:dyDescent="0.25">
      <c r="A446" s="16">
        <v>31777</v>
      </c>
      <c r="B446" s="1">
        <v>8352</v>
      </c>
      <c r="C446" s="13" t="str">
        <f t="shared" si="6"/>
        <v>72019</v>
      </c>
      <c r="D446" s="2">
        <v>43677</v>
      </c>
      <c r="E446" s="1">
        <v>-8496</v>
      </c>
      <c r="X446" s="15">
        <v>45230</v>
      </c>
      <c r="Y446" s="8">
        <v>28190</v>
      </c>
      <c r="Z446" s="15">
        <v>45199</v>
      </c>
      <c r="AA446" s="8">
        <v>9000</v>
      </c>
      <c r="AB446" s="15">
        <v>45199</v>
      </c>
      <c r="AC446" s="8">
        <v>3150</v>
      </c>
      <c r="AD446" s="15">
        <v>45199</v>
      </c>
      <c r="AE446" s="8">
        <v>3110</v>
      </c>
      <c r="AF446" s="15">
        <v>45199</v>
      </c>
      <c r="AG446" s="8">
        <v>4300</v>
      </c>
      <c r="AH446" s="15">
        <v>45199</v>
      </c>
      <c r="AI446" s="8">
        <v>1110</v>
      </c>
      <c r="AJ446" s="15">
        <v>45199</v>
      </c>
      <c r="AK446" s="8">
        <v>1430</v>
      </c>
      <c r="AL446" s="15">
        <v>45199</v>
      </c>
      <c r="AM446" s="8">
        <v>770</v>
      </c>
      <c r="AN446" s="15">
        <v>45199</v>
      </c>
      <c r="AO446" s="8">
        <v>2580</v>
      </c>
      <c r="AR446" s="11" t="str">
        <f t="shared" si="7"/>
        <v>52025</v>
      </c>
      <c r="AS446" s="11">
        <v>45807</v>
      </c>
      <c r="AT446" s="10">
        <v>64.150000000000006</v>
      </c>
    </row>
    <row r="447" spans="1:46" x14ac:dyDescent="0.25">
      <c r="A447" s="16">
        <v>31808</v>
      </c>
      <c r="B447" s="1">
        <v>8480</v>
      </c>
      <c r="C447" s="13" t="str">
        <f t="shared" si="6"/>
        <v>82019</v>
      </c>
      <c r="D447" s="2">
        <v>43707</v>
      </c>
      <c r="E447" s="1">
        <v>-4771</v>
      </c>
      <c r="X447" s="15">
        <v>45260</v>
      </c>
      <c r="Y447" s="8">
        <v>28090</v>
      </c>
      <c r="Z447" s="15">
        <v>45230</v>
      </c>
      <c r="AA447" s="8">
        <v>9010</v>
      </c>
      <c r="AB447" s="15">
        <v>45230</v>
      </c>
      <c r="AC447" s="8">
        <v>3150</v>
      </c>
      <c r="AD447" s="15">
        <v>45230</v>
      </c>
      <c r="AE447" s="8">
        <v>3110</v>
      </c>
      <c r="AF447" s="15">
        <v>45230</v>
      </c>
      <c r="AG447" s="8">
        <v>4340</v>
      </c>
      <c r="AH447" s="15">
        <v>45230</v>
      </c>
      <c r="AI447" s="8">
        <v>1090</v>
      </c>
      <c r="AJ447" s="15">
        <v>45230</v>
      </c>
      <c r="AK447" s="8">
        <v>1490</v>
      </c>
      <c r="AL447" s="15">
        <v>45230</v>
      </c>
      <c r="AM447" s="8">
        <v>800</v>
      </c>
      <c r="AN447" s="15">
        <v>45230</v>
      </c>
      <c r="AO447" s="8">
        <v>2560</v>
      </c>
      <c r="AR447" s="11" t="str">
        <f t="shared" si="7"/>
        <v>62025</v>
      </c>
      <c r="AS447" s="11">
        <v>45838</v>
      </c>
      <c r="AT447" s="10">
        <v>67.61</v>
      </c>
    </row>
    <row r="448" spans="1:46" x14ac:dyDescent="0.25">
      <c r="A448" s="16">
        <v>31836</v>
      </c>
      <c r="B448" s="1">
        <v>8389</v>
      </c>
      <c r="C448" s="13" t="str">
        <f t="shared" si="6"/>
        <v>92019</v>
      </c>
      <c r="D448" s="2">
        <v>43738</v>
      </c>
      <c r="E448" s="1">
        <v>3104</v>
      </c>
      <c r="X448" s="15">
        <v>45291</v>
      </c>
      <c r="Y448" s="8">
        <v>28160</v>
      </c>
      <c r="Z448" s="15">
        <v>45260</v>
      </c>
      <c r="AA448" s="8">
        <v>9000</v>
      </c>
      <c r="AB448" s="15">
        <v>45260</v>
      </c>
      <c r="AC448" s="8">
        <v>3150</v>
      </c>
      <c r="AD448" s="15">
        <v>45260</v>
      </c>
      <c r="AE448" s="8">
        <v>3160</v>
      </c>
      <c r="AF448" s="15">
        <v>45260</v>
      </c>
      <c r="AG448" s="8">
        <v>4290</v>
      </c>
      <c r="AH448" s="15">
        <v>45260</v>
      </c>
      <c r="AI448" s="8">
        <v>1120</v>
      </c>
      <c r="AJ448" s="15">
        <v>45260</v>
      </c>
      <c r="AK448" s="8">
        <v>1440</v>
      </c>
      <c r="AL448" s="15">
        <v>45260</v>
      </c>
      <c r="AM448" s="8">
        <v>810</v>
      </c>
      <c r="AN448" s="15">
        <v>45260</v>
      </c>
      <c r="AO448" s="8">
        <v>2520</v>
      </c>
      <c r="AR448" s="11" t="str">
        <f t="shared" si="7"/>
        <v>72025</v>
      </c>
      <c r="AS448" s="11">
        <v>45869</v>
      </c>
      <c r="AT448" s="10">
        <v>72.53</v>
      </c>
    </row>
    <row r="449" spans="1:46" x14ac:dyDescent="0.25">
      <c r="A449" s="16">
        <v>31867</v>
      </c>
      <c r="B449" s="1">
        <v>8464</v>
      </c>
      <c r="C449" s="13" t="str">
        <f t="shared" si="6"/>
        <v>102019</v>
      </c>
      <c r="D449" s="2">
        <v>43769</v>
      </c>
      <c r="E449" s="1">
        <v>5702</v>
      </c>
      <c r="X449" s="15">
        <v>45322</v>
      </c>
      <c r="Y449" s="8">
        <v>27110</v>
      </c>
      <c r="Z449" s="15">
        <v>45291</v>
      </c>
      <c r="AA449" s="8">
        <v>9000</v>
      </c>
      <c r="AB449" s="15">
        <v>45291</v>
      </c>
      <c r="AC449" s="8">
        <v>3110</v>
      </c>
      <c r="AD449" s="15">
        <v>45291</v>
      </c>
      <c r="AE449" s="8">
        <v>3160</v>
      </c>
      <c r="AF449" s="15">
        <v>45291</v>
      </c>
      <c r="AG449" s="8">
        <v>4330</v>
      </c>
      <c r="AH449" s="15">
        <v>45291</v>
      </c>
      <c r="AI449" s="8">
        <v>1140</v>
      </c>
      <c r="AJ449" s="15">
        <v>45291</v>
      </c>
      <c r="AK449" s="8">
        <v>1490</v>
      </c>
      <c r="AL449" s="15">
        <v>45291</v>
      </c>
      <c r="AM449" s="8">
        <v>810</v>
      </c>
      <c r="AN449" s="15">
        <v>45291</v>
      </c>
      <c r="AO449" s="8">
        <v>2550</v>
      </c>
      <c r="AR449" s="11" t="str">
        <f t="shared" si="7"/>
        <v>82025</v>
      </c>
      <c r="AS449" s="11">
        <v>45898</v>
      </c>
      <c r="AT449" s="10">
        <v>68.12</v>
      </c>
    </row>
    <row r="450" spans="1:46" x14ac:dyDescent="0.25">
      <c r="A450" s="16">
        <v>31897</v>
      </c>
      <c r="B450" s="1">
        <v>8498</v>
      </c>
      <c r="C450" s="13" t="str">
        <f t="shared" si="6"/>
        <v>112019</v>
      </c>
      <c r="D450" s="2">
        <v>43798</v>
      </c>
      <c r="E450" s="1">
        <v>-4856</v>
      </c>
      <c r="X450" s="15">
        <v>45351</v>
      </c>
      <c r="Y450" s="8">
        <v>26850</v>
      </c>
      <c r="Z450" s="15">
        <v>45322</v>
      </c>
      <c r="AA450" s="8">
        <v>8940</v>
      </c>
      <c r="AB450" s="15">
        <v>45322</v>
      </c>
      <c r="AC450" s="8">
        <v>3230</v>
      </c>
      <c r="AD450" s="15">
        <v>45322</v>
      </c>
      <c r="AE450" s="8">
        <v>3320</v>
      </c>
      <c r="AF450" s="15">
        <v>45322</v>
      </c>
      <c r="AG450" s="8">
        <v>4060</v>
      </c>
      <c r="AH450" s="15">
        <v>45322</v>
      </c>
      <c r="AI450" s="8">
        <v>1240</v>
      </c>
      <c r="AJ450" s="15">
        <v>45322</v>
      </c>
      <c r="AK450" s="8">
        <v>1520</v>
      </c>
      <c r="AL450" s="15">
        <v>45322</v>
      </c>
      <c r="AM450" s="8">
        <v>900</v>
      </c>
      <c r="AN450" s="15">
        <v>45322</v>
      </c>
      <c r="AO450" s="8">
        <v>2490</v>
      </c>
      <c r="AR450" s="11" t="str">
        <f t="shared" si="7"/>
        <v>92025</v>
      </c>
      <c r="AS450" s="11">
        <v>45930</v>
      </c>
      <c r="AT450" s="10">
        <v>67.02</v>
      </c>
    </row>
    <row r="451" spans="1:46" x14ac:dyDescent="0.25">
      <c r="A451" s="16">
        <v>31928</v>
      </c>
      <c r="B451" s="1">
        <v>8336</v>
      </c>
      <c r="C451" s="13" t="str">
        <f t="shared" si="6"/>
        <v>122019</v>
      </c>
      <c r="D451" s="2">
        <v>43830</v>
      </c>
      <c r="E451" s="1">
        <v>-11463</v>
      </c>
      <c r="X451" s="15">
        <v>45382</v>
      </c>
      <c r="Y451" s="8">
        <v>26860</v>
      </c>
      <c r="Z451" s="15">
        <v>45351</v>
      </c>
      <c r="AA451" s="8">
        <v>9010</v>
      </c>
      <c r="AB451" s="15">
        <v>45351</v>
      </c>
      <c r="AC451" s="8">
        <v>3140</v>
      </c>
      <c r="AD451" s="15">
        <v>45351</v>
      </c>
      <c r="AE451" s="8">
        <v>3140</v>
      </c>
      <c r="AF451" s="15">
        <v>45351</v>
      </c>
      <c r="AG451" s="8">
        <v>4200</v>
      </c>
      <c r="AH451" s="15">
        <v>45351</v>
      </c>
      <c r="AI451" s="8">
        <v>1140</v>
      </c>
      <c r="AJ451" s="15">
        <v>45351</v>
      </c>
      <c r="AK451" s="8">
        <v>1520</v>
      </c>
      <c r="AL451" s="15">
        <v>45351</v>
      </c>
      <c r="AM451" s="8">
        <v>850</v>
      </c>
      <c r="AN451" s="15">
        <v>45351</v>
      </c>
      <c r="AO451" s="8">
        <v>2430</v>
      </c>
      <c r="AR451" s="11" t="str">
        <f t="shared" si="7"/>
        <v>102025</v>
      </c>
      <c r="AS451" s="11">
        <v>45961</v>
      </c>
      <c r="AT451" s="10">
        <v>65.069999999999993</v>
      </c>
    </row>
    <row r="452" spans="1:46" x14ac:dyDescent="0.25">
      <c r="A452" s="16">
        <v>31958</v>
      </c>
      <c r="B452" s="1">
        <v>8279</v>
      </c>
      <c r="C452" s="13" t="str">
        <f t="shared" si="6"/>
        <v>12020</v>
      </c>
      <c r="D452" s="2">
        <v>43861</v>
      </c>
      <c r="E452" s="1">
        <v>3355</v>
      </c>
      <c r="X452" s="15">
        <v>45412</v>
      </c>
      <c r="Y452" s="8">
        <v>26900</v>
      </c>
      <c r="Z452" s="15">
        <v>45382</v>
      </c>
      <c r="AA452" s="8">
        <v>9040</v>
      </c>
      <c r="AB452" s="15">
        <v>45382</v>
      </c>
      <c r="AC452" s="8">
        <v>3130</v>
      </c>
      <c r="AD452" s="15">
        <v>45382</v>
      </c>
      <c r="AE452" s="8">
        <v>3180</v>
      </c>
      <c r="AF452" s="15">
        <v>45382</v>
      </c>
      <c r="AG452" s="8">
        <v>4170</v>
      </c>
      <c r="AH452" s="15">
        <v>45382</v>
      </c>
      <c r="AI452" s="8">
        <v>1130</v>
      </c>
      <c r="AJ452" s="15">
        <v>45382</v>
      </c>
      <c r="AK452" s="8">
        <v>1470</v>
      </c>
      <c r="AL452" s="15">
        <v>45382</v>
      </c>
      <c r="AM452" s="8">
        <v>870</v>
      </c>
      <c r="AN452" s="15">
        <v>45382</v>
      </c>
      <c r="AO452" s="8">
        <v>2430</v>
      </c>
      <c r="AR452" s="11" t="str">
        <f t="shared" si="7"/>
        <v>112025</v>
      </c>
      <c r="AS452" s="11">
        <v>45989</v>
      </c>
      <c r="AT452" s="10">
        <v>63.2</v>
      </c>
    </row>
    <row r="453" spans="1:46" x14ac:dyDescent="0.25">
      <c r="A453" s="16">
        <v>31989</v>
      </c>
      <c r="B453" s="1">
        <v>8251</v>
      </c>
      <c r="C453" s="13" t="str">
        <f t="shared" ref="C453:C516" si="8">MONTH(D453)&amp;YEAR(D453)</f>
        <v>22020</v>
      </c>
      <c r="D453" s="2">
        <v>43889</v>
      </c>
      <c r="E453" s="1">
        <v>784</v>
      </c>
      <c r="X453" s="15">
        <v>45443</v>
      </c>
      <c r="Y453" s="8">
        <v>27060</v>
      </c>
      <c r="Z453" s="15">
        <v>45412</v>
      </c>
      <c r="AA453" s="8">
        <v>9040</v>
      </c>
      <c r="AB453" s="15">
        <v>45412</v>
      </c>
      <c r="AC453" s="8">
        <v>3120</v>
      </c>
      <c r="AD453" s="15">
        <v>45412</v>
      </c>
      <c r="AE453" s="8">
        <v>3220</v>
      </c>
      <c r="AF453" s="15">
        <v>45412</v>
      </c>
      <c r="AG453" s="8">
        <v>4220</v>
      </c>
      <c r="AH453" s="15">
        <v>45412</v>
      </c>
      <c r="AI453" s="8">
        <v>1190</v>
      </c>
      <c r="AJ453" s="15">
        <v>45412</v>
      </c>
      <c r="AK453" s="8">
        <v>1420</v>
      </c>
      <c r="AL453" s="15">
        <v>45412</v>
      </c>
      <c r="AM453" s="8">
        <v>840</v>
      </c>
      <c r="AN453" s="15">
        <v>45412</v>
      </c>
      <c r="AO453" s="8">
        <v>2430</v>
      </c>
      <c r="AR453" s="11" t="str">
        <f t="shared" ref="AR453:AR516" si="9">MONTH(AS453)&amp;YEAR(AS453)</f>
        <v>122025</v>
      </c>
      <c r="AS453" s="11">
        <v>46022</v>
      </c>
      <c r="AT453" s="10">
        <v>60.85</v>
      </c>
    </row>
    <row r="454" spans="1:46" x14ac:dyDescent="0.25">
      <c r="A454" s="16">
        <v>32020</v>
      </c>
      <c r="B454" s="1">
        <v>8210</v>
      </c>
      <c r="C454" s="13" t="str">
        <f t="shared" si="8"/>
        <v>32020</v>
      </c>
      <c r="D454" s="2">
        <v>43921</v>
      </c>
      <c r="E454" s="1">
        <v>13833</v>
      </c>
      <c r="X454" s="15">
        <v>45473</v>
      </c>
      <c r="Y454" s="8">
        <v>27050</v>
      </c>
      <c r="Z454" s="15">
        <v>45443</v>
      </c>
      <c r="AA454" s="8">
        <v>9010</v>
      </c>
      <c r="AB454" s="15">
        <v>45443</v>
      </c>
      <c r="AC454" s="8">
        <v>3170</v>
      </c>
      <c r="AD454" s="15">
        <v>45443</v>
      </c>
      <c r="AE454" s="8">
        <v>3240</v>
      </c>
      <c r="AF454" s="15">
        <v>45443</v>
      </c>
      <c r="AG454" s="8">
        <v>4280</v>
      </c>
      <c r="AH454" s="15">
        <v>45443</v>
      </c>
      <c r="AI454" s="8">
        <v>1160</v>
      </c>
      <c r="AJ454" s="15">
        <v>45443</v>
      </c>
      <c r="AK454" s="8">
        <v>1460</v>
      </c>
      <c r="AL454" s="15">
        <v>45443</v>
      </c>
      <c r="AM454" s="8">
        <v>860</v>
      </c>
      <c r="AN454" s="15">
        <v>45443</v>
      </c>
      <c r="AO454" s="8">
        <v>2460</v>
      </c>
      <c r="AR454" s="11" t="str">
        <f t="shared" si="9"/>
        <v>12026</v>
      </c>
      <c r="AS454" s="11">
        <v>46052</v>
      </c>
      <c r="AT454" s="10">
        <v>70.69</v>
      </c>
    </row>
    <row r="455" spans="1:46" x14ac:dyDescent="0.25">
      <c r="A455" s="16">
        <v>32050</v>
      </c>
      <c r="B455" s="1">
        <v>8205</v>
      </c>
      <c r="C455" s="13" t="str">
        <f t="shared" si="8"/>
        <v>42020</v>
      </c>
      <c r="D455" s="2">
        <v>43951</v>
      </c>
      <c r="E455" s="1">
        <v>8991</v>
      </c>
      <c r="X455" s="15">
        <v>45504</v>
      </c>
      <c r="Y455" s="8">
        <v>27130</v>
      </c>
      <c r="Z455" s="15">
        <v>45473</v>
      </c>
      <c r="AA455" s="8">
        <v>8990</v>
      </c>
      <c r="AB455" s="15">
        <v>45473</v>
      </c>
      <c r="AC455" s="8">
        <v>3170</v>
      </c>
      <c r="AD455" s="15">
        <v>45473</v>
      </c>
      <c r="AE455" s="8">
        <v>3310</v>
      </c>
      <c r="AF455" s="15">
        <v>45473</v>
      </c>
      <c r="AG455" s="8">
        <v>4250</v>
      </c>
      <c r="AH455" s="15">
        <v>45473</v>
      </c>
      <c r="AI455" s="8">
        <v>1160</v>
      </c>
      <c r="AJ455" s="15">
        <v>45473</v>
      </c>
      <c r="AK455" s="8">
        <v>1430</v>
      </c>
      <c r="AL455" s="15">
        <v>45473</v>
      </c>
      <c r="AM455" s="8">
        <v>890</v>
      </c>
      <c r="AN455" s="15">
        <v>45473</v>
      </c>
      <c r="AO455" s="8">
        <v>2440</v>
      </c>
      <c r="AR455" s="11" t="str">
        <f t="shared" si="9"/>
        <v>22026</v>
      </c>
      <c r="AS455" s="11">
        <v>46080</v>
      </c>
      <c r="AT455" s="10">
        <v>72.48</v>
      </c>
    </row>
    <row r="456" spans="1:46" x14ac:dyDescent="0.25">
      <c r="A456" s="16">
        <v>32081</v>
      </c>
      <c r="B456" s="1">
        <v>8364</v>
      </c>
      <c r="C456" s="13" t="str">
        <f t="shared" si="8"/>
        <v>52020</v>
      </c>
      <c r="D456" s="2">
        <v>43980</v>
      </c>
      <c r="E456" s="1">
        <v>-2077</v>
      </c>
      <c r="X456" s="15">
        <v>45535</v>
      </c>
      <c r="Y456" s="8">
        <v>27090</v>
      </c>
      <c r="Z456" s="15">
        <v>45504</v>
      </c>
      <c r="AA456" s="8">
        <v>9000</v>
      </c>
      <c r="AB456" s="15">
        <v>45504</v>
      </c>
      <c r="AC456" s="8">
        <v>3170</v>
      </c>
      <c r="AD456" s="15">
        <v>45504</v>
      </c>
      <c r="AE456" s="8">
        <v>3300</v>
      </c>
      <c r="AF456" s="15">
        <v>45504</v>
      </c>
      <c r="AG456" s="8">
        <v>4320</v>
      </c>
      <c r="AH456" s="15">
        <v>45504</v>
      </c>
      <c r="AI456" s="8">
        <v>1150</v>
      </c>
      <c r="AJ456" s="15">
        <v>45504</v>
      </c>
      <c r="AK456" s="8">
        <v>1430</v>
      </c>
      <c r="AL456" s="15">
        <v>45504</v>
      </c>
      <c r="AM456" s="8">
        <v>890</v>
      </c>
      <c r="AN456" s="15">
        <v>45504</v>
      </c>
      <c r="AO456" s="8">
        <v>2450</v>
      </c>
      <c r="AR456" s="11" t="str">
        <f t="shared" si="9"/>
        <v>32026</v>
      </c>
      <c r="AS456" s="11">
        <v>46112</v>
      </c>
      <c r="AT456" s="10">
        <v>118.35</v>
      </c>
    </row>
    <row r="457" spans="1:46" x14ac:dyDescent="0.25">
      <c r="A457" s="16">
        <v>32111</v>
      </c>
      <c r="B457" s="1">
        <v>8397</v>
      </c>
      <c r="C457" s="13" t="str">
        <f t="shared" si="8"/>
        <v>62020</v>
      </c>
      <c r="D457" s="2">
        <v>44012</v>
      </c>
      <c r="E457" s="1">
        <v>-7195</v>
      </c>
      <c r="X457" s="15">
        <v>45565</v>
      </c>
      <c r="Y457" s="8">
        <v>26530</v>
      </c>
      <c r="Z457" s="15">
        <v>45535</v>
      </c>
      <c r="AA457" s="8">
        <v>8990</v>
      </c>
      <c r="AB457" s="15">
        <v>45535</v>
      </c>
      <c r="AC457" s="8">
        <v>3170</v>
      </c>
      <c r="AD457" s="15">
        <v>45535</v>
      </c>
      <c r="AE457" s="8">
        <v>3370</v>
      </c>
      <c r="AF457" s="15">
        <v>45535</v>
      </c>
      <c r="AG457" s="8">
        <v>4320</v>
      </c>
      <c r="AH457" s="15">
        <v>45535</v>
      </c>
      <c r="AI457" s="8">
        <v>960</v>
      </c>
      <c r="AJ457" s="15">
        <v>45535</v>
      </c>
      <c r="AK457" s="8">
        <v>1480</v>
      </c>
      <c r="AL457" s="15">
        <v>45535</v>
      </c>
      <c r="AM457" s="8">
        <v>900</v>
      </c>
      <c r="AN457" s="15">
        <v>45535</v>
      </c>
      <c r="AO457" s="8">
        <v>2470</v>
      </c>
      <c r="AR457" s="11" t="str">
        <f t="shared" si="9"/>
        <v>42026</v>
      </c>
      <c r="AS457" s="11">
        <v>46142</v>
      </c>
      <c r="AT457" s="10">
        <v>125.06</v>
      </c>
    </row>
    <row r="458" spans="1:46" x14ac:dyDescent="0.25">
      <c r="A458" s="16">
        <v>32142</v>
      </c>
      <c r="B458" s="1">
        <v>8318</v>
      </c>
      <c r="C458" s="13" t="str">
        <f t="shared" si="8"/>
        <v>72020</v>
      </c>
      <c r="D458" s="2">
        <v>44043</v>
      </c>
      <c r="E458" s="1">
        <v>-7373</v>
      </c>
      <c r="X458" s="15">
        <v>45596</v>
      </c>
      <c r="Y458" s="8">
        <v>26900</v>
      </c>
      <c r="Z458" s="15">
        <v>45565</v>
      </c>
      <c r="AA458" s="8">
        <v>8990</v>
      </c>
      <c r="AB458" s="15">
        <v>45565</v>
      </c>
      <c r="AC458" s="8">
        <v>3180</v>
      </c>
      <c r="AD458" s="15">
        <v>45565</v>
      </c>
      <c r="AE458" s="8">
        <v>3400</v>
      </c>
      <c r="AF458" s="15">
        <v>45565</v>
      </c>
      <c r="AG458" s="8">
        <v>4220</v>
      </c>
      <c r="AH458" s="15">
        <v>45565</v>
      </c>
      <c r="AI458" s="8">
        <v>530</v>
      </c>
      <c r="AJ458" s="15">
        <v>45565</v>
      </c>
      <c r="AK458" s="8">
        <v>1470</v>
      </c>
      <c r="AL458" s="15">
        <v>45565</v>
      </c>
      <c r="AM458" s="8">
        <v>880</v>
      </c>
      <c r="AN458" s="15">
        <v>45565</v>
      </c>
      <c r="AO458" s="8">
        <v>2450</v>
      </c>
      <c r="AR458" s="11" t="str">
        <f t="shared" si="9"/>
        <v>11900</v>
      </c>
    </row>
    <row r="459" spans="1:46" x14ac:dyDescent="0.25">
      <c r="A459" s="16">
        <v>32173</v>
      </c>
      <c r="B459" s="1">
        <v>8250</v>
      </c>
      <c r="C459" s="13" t="str">
        <f t="shared" si="8"/>
        <v>82020</v>
      </c>
      <c r="D459" s="2">
        <v>44074</v>
      </c>
      <c r="E459" s="1">
        <v>-9362</v>
      </c>
      <c r="X459" s="15">
        <v>45626</v>
      </c>
      <c r="Y459" s="8">
        <v>27370</v>
      </c>
      <c r="Z459" s="15">
        <v>45596</v>
      </c>
      <c r="AA459" s="8">
        <v>8950</v>
      </c>
      <c r="AB459" s="15">
        <v>45596</v>
      </c>
      <c r="AC459" s="8">
        <v>3170</v>
      </c>
      <c r="AD459" s="15">
        <v>45596</v>
      </c>
      <c r="AE459" s="8">
        <v>3360</v>
      </c>
      <c r="AF459" s="15">
        <v>45596</v>
      </c>
      <c r="AG459" s="8">
        <v>4130</v>
      </c>
      <c r="AH459" s="15">
        <v>45596</v>
      </c>
      <c r="AI459" s="8">
        <v>1030</v>
      </c>
      <c r="AJ459" s="15">
        <v>45596</v>
      </c>
      <c r="AK459" s="8">
        <v>1510</v>
      </c>
      <c r="AL459" s="15">
        <v>45596</v>
      </c>
      <c r="AM459" s="8">
        <v>890</v>
      </c>
      <c r="AN459" s="15">
        <v>45596</v>
      </c>
      <c r="AO459" s="8">
        <v>2440</v>
      </c>
      <c r="AR459" s="11" t="str">
        <f t="shared" si="9"/>
        <v>11900</v>
      </c>
    </row>
    <row r="460" spans="1:46" x14ac:dyDescent="0.25">
      <c r="A460" s="16">
        <v>32202</v>
      </c>
      <c r="B460" s="1">
        <v>8374</v>
      </c>
      <c r="C460" s="13" t="str">
        <f t="shared" si="8"/>
        <v>92020</v>
      </c>
      <c r="D460" s="2">
        <v>44104</v>
      </c>
      <c r="E460" s="1">
        <v>-1980</v>
      </c>
      <c r="X460" s="15">
        <v>45657</v>
      </c>
      <c r="Y460" s="8">
        <v>27050</v>
      </c>
      <c r="Z460" s="15">
        <v>45626</v>
      </c>
      <c r="AA460" s="8">
        <v>8950</v>
      </c>
      <c r="AB460" s="15">
        <v>45626</v>
      </c>
      <c r="AC460" s="8">
        <v>3500</v>
      </c>
      <c r="AD460" s="15">
        <v>45626</v>
      </c>
      <c r="AE460" s="8">
        <v>3360</v>
      </c>
      <c r="AF460" s="15">
        <v>45626</v>
      </c>
      <c r="AG460" s="8">
        <v>4120</v>
      </c>
      <c r="AH460" s="15">
        <v>45626</v>
      </c>
      <c r="AI460" s="8">
        <v>1190</v>
      </c>
      <c r="AJ460" s="15">
        <v>45626</v>
      </c>
      <c r="AK460" s="8">
        <v>1470</v>
      </c>
      <c r="AL460" s="15">
        <v>45626</v>
      </c>
      <c r="AM460" s="8">
        <v>880</v>
      </c>
      <c r="AN460" s="15">
        <v>45626</v>
      </c>
      <c r="AO460" s="8">
        <v>2470</v>
      </c>
      <c r="AR460" s="11" t="str">
        <f t="shared" si="9"/>
        <v>11900</v>
      </c>
    </row>
    <row r="461" spans="1:46" x14ac:dyDescent="0.25">
      <c r="A461" s="16">
        <v>32233</v>
      </c>
      <c r="B461" s="1">
        <v>8374</v>
      </c>
      <c r="C461" s="13" t="str">
        <f t="shared" si="8"/>
        <v>102020</v>
      </c>
      <c r="D461" s="2">
        <v>44134</v>
      </c>
      <c r="E461" s="1">
        <v>-7998</v>
      </c>
      <c r="X461" s="15">
        <v>45688</v>
      </c>
      <c r="Y461" s="8">
        <v>27030</v>
      </c>
      <c r="Z461" s="15">
        <v>45657</v>
      </c>
      <c r="AA461" s="8">
        <v>8950</v>
      </c>
      <c r="AB461" s="15">
        <v>45657</v>
      </c>
      <c r="AC461" s="8">
        <v>3200</v>
      </c>
      <c r="AD461" s="15">
        <v>45657</v>
      </c>
      <c r="AE461" s="8">
        <v>3320</v>
      </c>
      <c r="AF461" s="15">
        <v>45657</v>
      </c>
      <c r="AG461" s="8">
        <v>4120</v>
      </c>
      <c r="AH461" s="15">
        <v>45657</v>
      </c>
      <c r="AI461" s="8">
        <v>1230</v>
      </c>
      <c r="AJ461" s="15">
        <v>45657</v>
      </c>
      <c r="AK461" s="8">
        <v>1510</v>
      </c>
      <c r="AL461" s="15">
        <v>45657</v>
      </c>
      <c r="AM461" s="8">
        <v>850</v>
      </c>
      <c r="AN461" s="15">
        <v>45657</v>
      </c>
      <c r="AO461" s="8">
        <v>2430</v>
      </c>
      <c r="AR461" s="11" t="str">
        <f t="shared" si="9"/>
        <v>11900</v>
      </c>
    </row>
    <row r="462" spans="1:46" x14ac:dyDescent="0.25">
      <c r="A462" s="16">
        <v>32263</v>
      </c>
      <c r="B462" s="1">
        <v>8288</v>
      </c>
      <c r="C462" s="13" t="str">
        <f t="shared" si="8"/>
        <v>112020</v>
      </c>
      <c r="D462" s="2">
        <v>44165</v>
      </c>
      <c r="E462" s="1">
        <v>-679</v>
      </c>
      <c r="X462" s="15">
        <v>45716</v>
      </c>
      <c r="Y462" s="8">
        <v>27540</v>
      </c>
      <c r="Z462" s="15">
        <v>45688</v>
      </c>
      <c r="AA462" s="8">
        <v>8940</v>
      </c>
      <c r="AB462" s="15">
        <v>45688</v>
      </c>
      <c r="AC462" s="8">
        <v>3230</v>
      </c>
      <c r="AD462" s="15">
        <v>45688</v>
      </c>
      <c r="AE462" s="8">
        <v>3320</v>
      </c>
      <c r="AF462" s="15">
        <v>45688</v>
      </c>
      <c r="AG462" s="8">
        <v>4010</v>
      </c>
      <c r="AH462" s="15">
        <v>45688</v>
      </c>
      <c r="AI462" s="8">
        <v>1210</v>
      </c>
      <c r="AJ462" s="15">
        <v>45688</v>
      </c>
      <c r="AK462" s="8">
        <v>1520</v>
      </c>
      <c r="AL462" s="15">
        <v>45688</v>
      </c>
      <c r="AM462" s="8">
        <v>900</v>
      </c>
      <c r="AN462" s="15">
        <v>45688</v>
      </c>
      <c r="AO462" s="8">
        <v>2490</v>
      </c>
      <c r="AR462" s="11" t="str">
        <f t="shared" si="9"/>
        <v>11900</v>
      </c>
    </row>
    <row r="463" spans="1:46" x14ac:dyDescent="0.25">
      <c r="A463" s="16">
        <v>32294</v>
      </c>
      <c r="B463" s="1">
        <v>8229</v>
      </c>
      <c r="C463" s="13" t="str">
        <f t="shared" si="8"/>
        <v>122020</v>
      </c>
      <c r="D463" s="2">
        <v>44196</v>
      </c>
      <c r="E463" s="1">
        <v>-6065</v>
      </c>
      <c r="X463" s="15">
        <v>45747</v>
      </c>
      <c r="Y463" s="8">
        <v>27440</v>
      </c>
      <c r="Z463" s="15">
        <v>45716</v>
      </c>
      <c r="AA463" s="8">
        <v>8970</v>
      </c>
      <c r="AB463" s="15">
        <v>45716</v>
      </c>
      <c r="AC463" s="8">
        <v>3300</v>
      </c>
      <c r="AD463" s="15">
        <v>45716</v>
      </c>
      <c r="AE463" s="8">
        <v>3370</v>
      </c>
      <c r="AF463" s="15">
        <v>45716</v>
      </c>
      <c r="AG463" s="8">
        <v>4190</v>
      </c>
      <c r="AH463" s="15">
        <v>45716</v>
      </c>
      <c r="AI463" s="8">
        <v>1290</v>
      </c>
      <c r="AJ463" s="15">
        <v>45716</v>
      </c>
      <c r="AK463" s="8">
        <v>1550</v>
      </c>
      <c r="AL463" s="15">
        <v>45716</v>
      </c>
      <c r="AM463" s="8">
        <v>980</v>
      </c>
      <c r="AN463" s="15">
        <v>45716</v>
      </c>
      <c r="AO463" s="8">
        <v>2470</v>
      </c>
      <c r="AR463" s="11" t="str">
        <f t="shared" si="9"/>
        <v>11900</v>
      </c>
    </row>
    <row r="464" spans="1:46" x14ac:dyDescent="0.25">
      <c r="A464" s="16">
        <v>32324</v>
      </c>
      <c r="B464" s="1">
        <v>8170</v>
      </c>
      <c r="C464" s="13" t="str">
        <f t="shared" si="8"/>
        <v>12021</v>
      </c>
      <c r="D464" s="2">
        <v>44225</v>
      </c>
      <c r="E464" s="1">
        <v>-994</v>
      </c>
      <c r="X464" s="15">
        <v>45777</v>
      </c>
      <c r="Y464" s="8">
        <v>27340</v>
      </c>
      <c r="Z464" s="15">
        <v>45747</v>
      </c>
      <c r="AA464" s="8">
        <v>8950</v>
      </c>
      <c r="AB464" s="15">
        <v>45747</v>
      </c>
      <c r="AC464" s="8">
        <v>3330</v>
      </c>
      <c r="AD464" s="15">
        <v>45747</v>
      </c>
      <c r="AE464" s="8">
        <v>3350</v>
      </c>
      <c r="AF464" s="15">
        <v>45747</v>
      </c>
      <c r="AG464" s="8">
        <v>4150</v>
      </c>
      <c r="AH464" s="15">
        <v>45747</v>
      </c>
      <c r="AI464" s="8">
        <v>1270</v>
      </c>
      <c r="AJ464" s="15">
        <v>45747</v>
      </c>
      <c r="AK464" s="8">
        <v>1550</v>
      </c>
      <c r="AL464" s="15">
        <v>45747</v>
      </c>
      <c r="AM464" s="8">
        <v>980</v>
      </c>
      <c r="AN464" s="15">
        <v>45747</v>
      </c>
      <c r="AO464" s="8">
        <v>2430</v>
      </c>
      <c r="AR464" s="11" t="str">
        <f t="shared" si="9"/>
        <v>11900</v>
      </c>
    </row>
    <row r="465" spans="1:44" x14ac:dyDescent="0.25">
      <c r="A465" s="16">
        <v>32355</v>
      </c>
      <c r="B465" s="1">
        <v>8040</v>
      </c>
      <c r="C465" s="13" t="str">
        <f t="shared" si="8"/>
        <v>22021</v>
      </c>
      <c r="D465" s="2">
        <v>44253</v>
      </c>
      <c r="E465" s="1">
        <v>21563</v>
      </c>
      <c r="X465" s="15">
        <v>45808</v>
      </c>
      <c r="Y465" s="8">
        <v>27650</v>
      </c>
      <c r="Z465" s="15">
        <v>45777</v>
      </c>
      <c r="AA465" s="8">
        <v>8970</v>
      </c>
      <c r="AB465" s="15">
        <v>45777</v>
      </c>
      <c r="AC465" s="8">
        <v>3300</v>
      </c>
      <c r="AD465" s="15">
        <v>45777</v>
      </c>
      <c r="AE465" s="8">
        <v>3390</v>
      </c>
      <c r="AF465" s="15">
        <v>45777</v>
      </c>
      <c r="AG465" s="8">
        <v>4180</v>
      </c>
      <c r="AH465" s="15">
        <v>45777</v>
      </c>
      <c r="AI465" s="8">
        <v>1270</v>
      </c>
      <c r="AJ465" s="15">
        <v>45777</v>
      </c>
      <c r="AK465" s="8">
        <v>1500</v>
      </c>
      <c r="AL465" s="15">
        <v>45777</v>
      </c>
      <c r="AM465" s="8">
        <v>880</v>
      </c>
      <c r="AN465" s="15">
        <v>45777</v>
      </c>
      <c r="AO465" s="8">
        <v>2430</v>
      </c>
      <c r="AR465" s="11" t="str">
        <f t="shared" si="9"/>
        <v>11900</v>
      </c>
    </row>
    <row r="466" spans="1:44" x14ac:dyDescent="0.25">
      <c r="A466" s="16">
        <v>32386</v>
      </c>
      <c r="B466" s="1">
        <v>8079</v>
      </c>
      <c r="C466" s="13" t="str">
        <f t="shared" si="8"/>
        <v>32021</v>
      </c>
      <c r="D466" s="2">
        <v>44286</v>
      </c>
      <c r="E466" s="1">
        <v>-876</v>
      </c>
      <c r="X466" s="15">
        <v>45838</v>
      </c>
      <c r="Y466" s="8">
        <v>28330</v>
      </c>
      <c r="Z466" s="15">
        <v>45808</v>
      </c>
      <c r="AA466" s="8">
        <v>9130</v>
      </c>
      <c r="AB466" s="15">
        <v>45808</v>
      </c>
      <c r="AC466" s="8">
        <v>3310</v>
      </c>
      <c r="AD466" s="15">
        <v>45808</v>
      </c>
      <c r="AE466" s="8">
        <v>3390</v>
      </c>
      <c r="AF466" s="15">
        <v>45808</v>
      </c>
      <c r="AG466" s="8">
        <v>4180</v>
      </c>
      <c r="AH466" s="15">
        <v>45808</v>
      </c>
      <c r="AI466" s="8">
        <v>1320</v>
      </c>
      <c r="AJ466" s="15">
        <v>45808</v>
      </c>
      <c r="AK466" s="8">
        <v>1530</v>
      </c>
      <c r="AL466" s="15">
        <v>45808</v>
      </c>
      <c r="AM466" s="8">
        <v>900</v>
      </c>
      <c r="AN466" s="15">
        <v>45808</v>
      </c>
      <c r="AO466" s="8">
        <v>2440</v>
      </c>
      <c r="AR466" s="11" t="str">
        <f t="shared" si="9"/>
        <v>11900</v>
      </c>
    </row>
    <row r="467" spans="1:44" x14ac:dyDescent="0.25">
      <c r="A467" s="16">
        <v>32416</v>
      </c>
      <c r="B467" s="1">
        <v>7895</v>
      </c>
      <c r="C467" s="13" t="str">
        <f t="shared" si="8"/>
        <v>42021</v>
      </c>
      <c r="D467" s="2">
        <v>44316</v>
      </c>
      <c r="E467" s="1">
        <v>-7990</v>
      </c>
      <c r="X467" s="15">
        <v>45869</v>
      </c>
      <c r="Y467" s="8">
        <v>28150</v>
      </c>
      <c r="Z467" s="15">
        <v>45838</v>
      </c>
      <c r="AA467" s="8">
        <v>9750</v>
      </c>
      <c r="AB467" s="15">
        <v>45838</v>
      </c>
      <c r="AC467" s="8">
        <v>3400</v>
      </c>
      <c r="AD467" s="15">
        <v>45838</v>
      </c>
      <c r="AE467" s="8">
        <v>3310</v>
      </c>
      <c r="AF467" s="15">
        <v>45838</v>
      </c>
      <c r="AG467" s="8">
        <v>4210</v>
      </c>
      <c r="AH467" s="15">
        <v>45838</v>
      </c>
      <c r="AI467" s="8">
        <v>1280</v>
      </c>
      <c r="AJ467" s="15">
        <v>45838</v>
      </c>
      <c r="AK467" s="8">
        <v>1560</v>
      </c>
      <c r="AL467" s="15">
        <v>45838</v>
      </c>
      <c r="AM467" s="8">
        <v>900</v>
      </c>
      <c r="AN467" s="15">
        <v>45838</v>
      </c>
      <c r="AO467" s="8">
        <v>2470</v>
      </c>
      <c r="AR467" s="11" t="str">
        <f t="shared" si="9"/>
        <v>11900</v>
      </c>
    </row>
    <row r="468" spans="1:44" x14ac:dyDescent="0.25">
      <c r="A468" s="16">
        <v>32447</v>
      </c>
      <c r="B468" s="1">
        <v>8023</v>
      </c>
      <c r="C468" s="13" t="str">
        <f t="shared" si="8"/>
        <v>52021</v>
      </c>
      <c r="D468" s="2">
        <v>44347</v>
      </c>
      <c r="E468" s="1">
        <v>-5079</v>
      </c>
      <c r="X468" s="15">
        <v>45900</v>
      </c>
      <c r="Y468" s="8">
        <v>28650</v>
      </c>
      <c r="Z468" s="15">
        <v>45869</v>
      </c>
      <c r="AA468" s="8">
        <v>9370</v>
      </c>
      <c r="AB468" s="15">
        <v>45869</v>
      </c>
      <c r="AC468" s="8">
        <v>3570</v>
      </c>
      <c r="AD468" s="15">
        <v>45869</v>
      </c>
      <c r="AE468" s="8">
        <v>3310</v>
      </c>
      <c r="AF468" s="15">
        <v>45869</v>
      </c>
      <c r="AG468" s="8">
        <v>4160</v>
      </c>
      <c r="AH468" s="15">
        <v>45869</v>
      </c>
      <c r="AI468" s="8">
        <v>1300</v>
      </c>
      <c r="AJ468" s="15">
        <v>45869</v>
      </c>
      <c r="AK468" s="8">
        <v>1580</v>
      </c>
      <c r="AL468" s="15">
        <v>45869</v>
      </c>
      <c r="AM468" s="8">
        <v>900</v>
      </c>
      <c r="AN468" s="15">
        <v>45869</v>
      </c>
      <c r="AO468" s="8">
        <v>2500</v>
      </c>
      <c r="AR468" s="11" t="str">
        <f t="shared" si="9"/>
        <v>11900</v>
      </c>
    </row>
    <row r="469" spans="1:44" x14ac:dyDescent="0.25">
      <c r="A469" s="16">
        <v>32477</v>
      </c>
      <c r="B469" s="1">
        <v>8023</v>
      </c>
      <c r="C469" s="13" t="str">
        <f t="shared" si="8"/>
        <v>62021</v>
      </c>
      <c r="D469" s="2">
        <v>44377</v>
      </c>
      <c r="E469" s="1">
        <v>-6718</v>
      </c>
      <c r="X469" s="15">
        <v>45930</v>
      </c>
      <c r="Y469" s="8">
        <v>29020</v>
      </c>
      <c r="Z469" s="15">
        <v>45900</v>
      </c>
      <c r="AA469" s="8">
        <v>9660</v>
      </c>
      <c r="AB469" s="15">
        <v>45900</v>
      </c>
      <c r="AC469" s="8">
        <v>3500</v>
      </c>
      <c r="AD469" s="15">
        <v>45900</v>
      </c>
      <c r="AE469" s="8">
        <v>3350</v>
      </c>
      <c r="AF469" s="15">
        <v>45900</v>
      </c>
      <c r="AG469" s="8">
        <v>4320</v>
      </c>
      <c r="AH469" s="15">
        <v>45900</v>
      </c>
      <c r="AI469" s="8">
        <v>1270</v>
      </c>
      <c r="AJ469" s="15">
        <v>45900</v>
      </c>
      <c r="AK469" s="8">
        <v>1630</v>
      </c>
      <c r="AL469" s="15">
        <v>45900</v>
      </c>
      <c r="AM469" s="8">
        <v>910</v>
      </c>
      <c r="AN469" s="15">
        <v>45900</v>
      </c>
      <c r="AO469" s="8">
        <v>2540</v>
      </c>
      <c r="AR469" s="11" t="str">
        <f t="shared" si="9"/>
        <v>11900</v>
      </c>
    </row>
    <row r="470" spans="1:44" x14ac:dyDescent="0.25">
      <c r="A470" s="16">
        <v>32508</v>
      </c>
      <c r="B470" s="1">
        <v>7942</v>
      </c>
      <c r="C470" s="13" t="str">
        <f t="shared" si="8"/>
        <v>72021</v>
      </c>
      <c r="D470" s="2">
        <v>44407</v>
      </c>
      <c r="E470" s="1">
        <v>3627</v>
      </c>
      <c r="X470" s="15">
        <v>45961</v>
      </c>
      <c r="Y470" s="8">
        <v>29100</v>
      </c>
      <c r="Z470" s="15">
        <v>45930</v>
      </c>
      <c r="AA470" s="8">
        <v>9980</v>
      </c>
      <c r="AB470" s="15">
        <v>45930</v>
      </c>
      <c r="AC470" s="8">
        <v>3500</v>
      </c>
      <c r="AD470" s="15">
        <v>45930</v>
      </c>
      <c r="AE470" s="8">
        <v>3360</v>
      </c>
      <c r="AF470" s="15">
        <v>45930</v>
      </c>
      <c r="AG470" s="8">
        <v>4320</v>
      </c>
      <c r="AH470" s="15">
        <v>45930</v>
      </c>
      <c r="AI470" s="8">
        <v>1310</v>
      </c>
      <c r="AJ470" s="15">
        <v>45930</v>
      </c>
      <c r="AK470" s="8">
        <v>1550</v>
      </c>
      <c r="AL470" s="15">
        <v>45930</v>
      </c>
      <c r="AM470" s="8">
        <v>1000</v>
      </c>
      <c r="AN470" s="15">
        <v>45930</v>
      </c>
      <c r="AO470" s="8">
        <v>2520</v>
      </c>
      <c r="AR470" s="11" t="str">
        <f t="shared" si="9"/>
        <v>11900</v>
      </c>
    </row>
    <row r="471" spans="1:44" x14ac:dyDescent="0.25">
      <c r="A471" s="16">
        <v>32539</v>
      </c>
      <c r="B471" s="1">
        <v>7937</v>
      </c>
      <c r="C471" s="13" t="str">
        <f t="shared" si="8"/>
        <v>82021</v>
      </c>
      <c r="D471" s="2">
        <v>44439</v>
      </c>
      <c r="E471" s="1">
        <v>-7169</v>
      </c>
      <c r="X471" s="15">
        <v>45991</v>
      </c>
      <c r="Y471" s="8">
        <v>28990</v>
      </c>
      <c r="Z471" s="15">
        <v>45961</v>
      </c>
      <c r="AA471" s="8">
        <v>10020</v>
      </c>
      <c r="AB471" s="15">
        <v>45961</v>
      </c>
      <c r="AC471" s="8">
        <v>3550</v>
      </c>
      <c r="AD471" s="15">
        <v>45961</v>
      </c>
      <c r="AE471" s="8">
        <v>3360</v>
      </c>
      <c r="AF471" s="15">
        <v>45961</v>
      </c>
      <c r="AG471" s="8">
        <v>4380</v>
      </c>
      <c r="AH471" s="15">
        <v>45961</v>
      </c>
      <c r="AI471" s="8">
        <v>1270</v>
      </c>
      <c r="AJ471" s="15">
        <v>45961</v>
      </c>
      <c r="AK471" s="8">
        <v>1520</v>
      </c>
      <c r="AL471" s="15">
        <v>45961</v>
      </c>
      <c r="AM471" s="8">
        <v>950</v>
      </c>
      <c r="AN471" s="15">
        <v>45961</v>
      </c>
      <c r="AO471" s="8">
        <v>2560</v>
      </c>
      <c r="AR471" s="11" t="str">
        <f t="shared" si="9"/>
        <v>11900</v>
      </c>
    </row>
    <row r="472" spans="1:44" x14ac:dyDescent="0.25">
      <c r="A472" s="16">
        <v>32567</v>
      </c>
      <c r="B472" s="1">
        <v>7788</v>
      </c>
      <c r="C472" s="13" t="str">
        <f t="shared" si="8"/>
        <v>92021</v>
      </c>
      <c r="D472" s="2">
        <v>44469</v>
      </c>
      <c r="E472" s="1">
        <v>4578</v>
      </c>
      <c r="X472" s="15">
        <v>46022</v>
      </c>
      <c r="Y472" s="8">
        <v>29060</v>
      </c>
      <c r="Z472" s="15">
        <v>45991</v>
      </c>
      <c r="AA472" s="8">
        <v>10000</v>
      </c>
      <c r="AB472" s="15">
        <v>45991</v>
      </c>
      <c r="AC472" s="8">
        <v>3610</v>
      </c>
      <c r="AD472" s="15">
        <v>45991</v>
      </c>
      <c r="AE472" s="8">
        <v>3330</v>
      </c>
      <c r="AF472" s="15">
        <v>45991</v>
      </c>
      <c r="AG472" s="8">
        <v>4290</v>
      </c>
      <c r="AH472" s="15">
        <v>45991</v>
      </c>
      <c r="AI472" s="8">
        <v>1270</v>
      </c>
      <c r="AJ472" s="15">
        <v>45991</v>
      </c>
      <c r="AK472" s="8">
        <v>1500</v>
      </c>
      <c r="AL472" s="15">
        <v>45991</v>
      </c>
      <c r="AM472" s="8">
        <v>960</v>
      </c>
      <c r="AN472" s="15">
        <v>45991</v>
      </c>
      <c r="AO472" s="8">
        <v>2560</v>
      </c>
      <c r="AR472" s="11" t="str">
        <f t="shared" si="9"/>
        <v>11900</v>
      </c>
    </row>
    <row r="473" spans="1:44" x14ac:dyDescent="0.25">
      <c r="A473" s="16">
        <v>32598</v>
      </c>
      <c r="B473" s="1">
        <v>7575</v>
      </c>
      <c r="C473" s="13" t="str">
        <f t="shared" si="8"/>
        <v>102021</v>
      </c>
      <c r="D473" s="2">
        <v>44498</v>
      </c>
      <c r="E473" s="1">
        <v>3290</v>
      </c>
      <c r="X473" s="15">
        <v>46053</v>
      </c>
      <c r="Y473" s="8">
        <v>28880</v>
      </c>
      <c r="Z473" s="15">
        <v>46022</v>
      </c>
      <c r="AA473" s="8">
        <v>10000</v>
      </c>
      <c r="AB473" s="15">
        <v>46022</v>
      </c>
      <c r="AC473" s="8">
        <v>3590</v>
      </c>
      <c r="AD473" s="15">
        <v>46022</v>
      </c>
      <c r="AE473" s="8">
        <v>3270</v>
      </c>
      <c r="AF473" s="15">
        <v>46022</v>
      </c>
      <c r="AG473" s="8">
        <v>4370</v>
      </c>
      <c r="AH473" s="15">
        <v>46022</v>
      </c>
      <c r="AI473" s="8">
        <v>1320</v>
      </c>
      <c r="AJ473" s="15">
        <v>46022</v>
      </c>
      <c r="AK473" s="8">
        <v>1520</v>
      </c>
      <c r="AL473" s="15">
        <v>46022</v>
      </c>
      <c r="AM473" s="8">
        <v>900</v>
      </c>
      <c r="AN473" s="15">
        <v>46022</v>
      </c>
      <c r="AO473" s="8">
        <v>2560</v>
      </c>
      <c r="AR473" s="11" t="str">
        <f t="shared" si="9"/>
        <v>11900</v>
      </c>
    </row>
    <row r="474" spans="1:44" x14ac:dyDescent="0.25">
      <c r="A474" s="16">
        <v>32628</v>
      </c>
      <c r="B474" s="1">
        <v>7772</v>
      </c>
      <c r="C474" s="13" t="str">
        <f t="shared" si="8"/>
        <v>112021</v>
      </c>
      <c r="D474" s="2">
        <v>44530</v>
      </c>
      <c r="E474" s="1">
        <v>-909</v>
      </c>
      <c r="X474" s="15">
        <v>46081</v>
      </c>
      <c r="Y474" s="8">
        <v>29610</v>
      </c>
      <c r="Z474" s="15">
        <v>46053</v>
      </c>
      <c r="AA474" s="8">
        <v>10000</v>
      </c>
      <c r="AB474" s="15">
        <v>46053</v>
      </c>
      <c r="AC474" s="8">
        <v>3560</v>
      </c>
      <c r="AD474" s="15">
        <v>46053</v>
      </c>
      <c r="AE474" s="8">
        <v>3350</v>
      </c>
      <c r="AF474" s="15">
        <v>46053</v>
      </c>
      <c r="AG474" s="8">
        <v>4340</v>
      </c>
      <c r="AH474" s="15">
        <v>46053</v>
      </c>
      <c r="AI474" s="8">
        <v>1280</v>
      </c>
      <c r="AJ474" s="15">
        <v>46053</v>
      </c>
      <c r="AK474" s="8">
        <v>1490</v>
      </c>
      <c r="AL474" s="15">
        <v>46053</v>
      </c>
      <c r="AM474" s="8">
        <v>820</v>
      </c>
      <c r="AN474" s="15">
        <v>46053</v>
      </c>
      <c r="AO474" s="8">
        <v>2570</v>
      </c>
      <c r="AR474" s="11" t="str">
        <f t="shared" si="9"/>
        <v>11900</v>
      </c>
    </row>
    <row r="475" spans="1:44" x14ac:dyDescent="0.25">
      <c r="A475" s="16">
        <v>32659</v>
      </c>
      <c r="B475" s="1">
        <v>7816</v>
      </c>
      <c r="C475" s="13" t="str">
        <f t="shared" si="8"/>
        <v>122021</v>
      </c>
      <c r="D475" s="2">
        <v>44561</v>
      </c>
      <c r="E475" s="1">
        <v>-2144</v>
      </c>
      <c r="X475" s="15">
        <v>46112</v>
      </c>
      <c r="Y475" s="8">
        <v>22050</v>
      </c>
      <c r="Z475" s="15">
        <v>46081</v>
      </c>
      <c r="AA475" s="8">
        <v>10430</v>
      </c>
      <c r="AB475" s="15">
        <v>46081</v>
      </c>
      <c r="AC475" s="8">
        <v>3600</v>
      </c>
      <c r="AD475" s="15">
        <v>46081</v>
      </c>
      <c r="AE475" s="8">
        <v>3410</v>
      </c>
      <c r="AF475" s="15">
        <v>46081</v>
      </c>
      <c r="AG475" s="8">
        <v>4390</v>
      </c>
      <c r="AH475" s="15">
        <v>46081</v>
      </c>
      <c r="AI475" s="8">
        <v>1300</v>
      </c>
      <c r="AJ475" s="15">
        <v>46081</v>
      </c>
      <c r="AK475" s="8">
        <v>1450</v>
      </c>
      <c r="AL475" s="15">
        <v>46081</v>
      </c>
      <c r="AM475" s="8">
        <v>980</v>
      </c>
      <c r="AN475" s="15">
        <v>46081</v>
      </c>
      <c r="AO475" s="8">
        <v>2550</v>
      </c>
      <c r="AR475" s="11" t="str">
        <f t="shared" si="9"/>
        <v>11900</v>
      </c>
    </row>
    <row r="476" spans="1:44" x14ac:dyDescent="0.25">
      <c r="A476" s="16">
        <v>32689</v>
      </c>
      <c r="B476" s="1">
        <v>7624</v>
      </c>
      <c r="C476" s="13" t="str">
        <f t="shared" si="8"/>
        <v>12022</v>
      </c>
      <c r="D476" s="2">
        <v>44592</v>
      </c>
      <c r="E476" s="1">
        <v>-1047</v>
      </c>
      <c r="Z476" s="15">
        <v>46112</v>
      </c>
      <c r="AA476" s="8">
        <v>8360</v>
      </c>
      <c r="AB476" s="15">
        <v>46112</v>
      </c>
      <c r="AC476" s="8">
        <v>2160</v>
      </c>
      <c r="AD476" s="15">
        <v>46112</v>
      </c>
      <c r="AE476" s="8">
        <v>3230</v>
      </c>
      <c r="AF476" s="15">
        <v>46112</v>
      </c>
      <c r="AG476" s="8">
        <v>1630</v>
      </c>
      <c r="AH476" s="15">
        <v>46112</v>
      </c>
      <c r="AI476" s="8">
        <v>1270</v>
      </c>
      <c r="AJ476" s="15">
        <v>46112</v>
      </c>
      <c r="AK476" s="8">
        <v>1450</v>
      </c>
      <c r="AL476" s="15">
        <v>46112</v>
      </c>
      <c r="AM476" s="8">
        <v>1080</v>
      </c>
      <c r="AN476" s="15">
        <v>46112</v>
      </c>
      <c r="AO476" s="8">
        <v>1380</v>
      </c>
      <c r="AR476" s="11" t="str">
        <f t="shared" si="9"/>
        <v>11900</v>
      </c>
    </row>
    <row r="477" spans="1:44" x14ac:dyDescent="0.25">
      <c r="A477" s="16">
        <v>32720</v>
      </c>
      <c r="B477" s="1">
        <v>7444</v>
      </c>
      <c r="C477" s="13" t="str">
        <f t="shared" si="8"/>
        <v>22022</v>
      </c>
      <c r="D477" s="2">
        <v>44620</v>
      </c>
      <c r="E477" s="1">
        <v>-2597</v>
      </c>
      <c r="AR477" s="11" t="str">
        <f t="shared" si="9"/>
        <v>11900</v>
      </c>
    </row>
    <row r="478" spans="1:44" x14ac:dyDescent="0.25">
      <c r="A478" s="16">
        <v>32751</v>
      </c>
      <c r="B478" s="1">
        <v>7544</v>
      </c>
      <c r="C478" s="13" t="str">
        <f t="shared" si="8"/>
        <v>32022</v>
      </c>
      <c r="D478" s="2">
        <v>44651</v>
      </c>
      <c r="E478" s="1">
        <v>-3449</v>
      </c>
      <c r="AR478" s="11" t="str">
        <f t="shared" si="9"/>
        <v>11900</v>
      </c>
    </row>
    <row r="479" spans="1:44" x14ac:dyDescent="0.25">
      <c r="A479" s="16">
        <v>32781</v>
      </c>
      <c r="B479" s="1">
        <v>7548</v>
      </c>
      <c r="C479" s="13" t="str">
        <f t="shared" si="8"/>
        <v>42022</v>
      </c>
      <c r="D479" s="2">
        <v>44680</v>
      </c>
      <c r="E479" s="1">
        <v>1303</v>
      </c>
      <c r="AR479" s="11" t="str">
        <f t="shared" si="9"/>
        <v>11900</v>
      </c>
    </row>
    <row r="480" spans="1:44" x14ac:dyDescent="0.25">
      <c r="A480" s="16">
        <v>32812</v>
      </c>
      <c r="B480" s="1">
        <v>7453</v>
      </c>
      <c r="C480" s="13" t="str">
        <f t="shared" si="8"/>
        <v>52022</v>
      </c>
      <c r="D480" s="2">
        <v>44712</v>
      </c>
      <c r="E480" s="1">
        <v>-5068</v>
      </c>
      <c r="AR480" s="11" t="str">
        <f t="shared" si="9"/>
        <v>11900</v>
      </c>
    </row>
    <row r="481" spans="1:44" x14ac:dyDescent="0.25">
      <c r="A481" s="16">
        <v>32842</v>
      </c>
      <c r="B481" s="1">
        <v>7536</v>
      </c>
      <c r="C481" s="13" t="str">
        <f t="shared" si="8"/>
        <v>62022</v>
      </c>
      <c r="D481" s="2">
        <v>44742</v>
      </c>
      <c r="E481" s="1">
        <v>-2762</v>
      </c>
      <c r="AR481" s="11" t="str">
        <f t="shared" si="9"/>
        <v>11900</v>
      </c>
    </row>
    <row r="482" spans="1:44" x14ac:dyDescent="0.25">
      <c r="A482" s="16">
        <v>32873</v>
      </c>
      <c r="B482" s="1">
        <v>7337</v>
      </c>
      <c r="C482" s="13" t="str">
        <f t="shared" si="8"/>
        <v>72022</v>
      </c>
      <c r="D482" s="2">
        <v>44771</v>
      </c>
      <c r="E482" s="1">
        <v>4467</v>
      </c>
      <c r="AR482" s="11" t="str">
        <f t="shared" si="9"/>
        <v>11900</v>
      </c>
    </row>
    <row r="483" spans="1:44" x14ac:dyDescent="0.25">
      <c r="A483" s="16">
        <v>32904</v>
      </c>
      <c r="B483" s="1">
        <v>7546</v>
      </c>
      <c r="C483" s="13" t="str">
        <f t="shared" si="8"/>
        <v>82022</v>
      </c>
      <c r="D483" s="2">
        <v>44804</v>
      </c>
      <c r="E483" s="1">
        <v>-3326</v>
      </c>
      <c r="AR483" s="11" t="str">
        <f t="shared" si="9"/>
        <v>11900</v>
      </c>
    </row>
    <row r="484" spans="1:44" x14ac:dyDescent="0.25">
      <c r="A484" s="16">
        <v>32932</v>
      </c>
      <c r="B484" s="1">
        <v>7497</v>
      </c>
      <c r="C484" s="13" t="str">
        <f t="shared" si="8"/>
        <v>92022</v>
      </c>
      <c r="D484" s="2">
        <v>44834</v>
      </c>
      <c r="E484" s="1">
        <v>-1356</v>
      </c>
      <c r="AR484" s="11" t="str">
        <f t="shared" si="9"/>
        <v>11900</v>
      </c>
    </row>
    <row r="485" spans="1:44" x14ac:dyDescent="0.25">
      <c r="A485" s="16">
        <v>32963</v>
      </c>
      <c r="B485" s="1">
        <v>7433</v>
      </c>
      <c r="C485" s="13" t="str">
        <f t="shared" si="8"/>
        <v>102022</v>
      </c>
      <c r="D485" s="2">
        <v>44865</v>
      </c>
      <c r="E485" s="1">
        <v>-3115</v>
      </c>
      <c r="AR485" s="11" t="str">
        <f t="shared" si="9"/>
        <v>11900</v>
      </c>
    </row>
    <row r="486" spans="1:44" x14ac:dyDescent="0.25">
      <c r="A486" s="16">
        <v>32993</v>
      </c>
      <c r="B486" s="1">
        <v>7407</v>
      </c>
      <c r="C486" s="13" t="str">
        <f t="shared" si="8"/>
        <v>112022</v>
      </c>
      <c r="D486" s="2">
        <v>44895</v>
      </c>
      <c r="E486" s="1">
        <v>-12581</v>
      </c>
      <c r="AR486" s="11" t="str">
        <f t="shared" si="9"/>
        <v>11900</v>
      </c>
    </row>
    <row r="487" spans="1:44" x14ac:dyDescent="0.25">
      <c r="A487" s="16">
        <v>33024</v>
      </c>
      <c r="B487" s="1">
        <v>7328</v>
      </c>
      <c r="C487" s="13" t="str">
        <f t="shared" si="8"/>
        <v>122022</v>
      </c>
      <c r="D487" s="2">
        <v>44925</v>
      </c>
      <c r="E487" s="1">
        <v>1694</v>
      </c>
      <c r="AR487" s="11" t="str">
        <f t="shared" si="9"/>
        <v>11900</v>
      </c>
    </row>
    <row r="488" spans="1:44" x14ac:dyDescent="0.25">
      <c r="A488" s="16">
        <v>33054</v>
      </c>
      <c r="B488" s="1">
        <v>7106</v>
      </c>
      <c r="C488" s="13" t="str">
        <f t="shared" si="8"/>
        <v>12023</v>
      </c>
      <c r="D488" s="2">
        <v>44957</v>
      </c>
      <c r="E488" s="1">
        <v>4140</v>
      </c>
      <c r="AR488" s="11" t="str">
        <f t="shared" si="9"/>
        <v>11900</v>
      </c>
    </row>
    <row r="489" spans="1:44" x14ac:dyDescent="0.25">
      <c r="A489" s="16">
        <v>33085</v>
      </c>
      <c r="B489" s="1">
        <v>7173</v>
      </c>
      <c r="C489" s="13" t="str">
        <f t="shared" si="8"/>
        <v>22023</v>
      </c>
      <c r="D489" s="2">
        <v>44985</v>
      </c>
      <c r="E489" s="1">
        <v>1166</v>
      </c>
      <c r="AR489" s="11" t="str">
        <f t="shared" si="9"/>
        <v>11900</v>
      </c>
    </row>
    <row r="490" spans="1:44" x14ac:dyDescent="0.25">
      <c r="A490" s="16">
        <v>33116</v>
      </c>
      <c r="B490" s="1">
        <v>7287</v>
      </c>
      <c r="C490" s="13" t="str">
        <f t="shared" si="8"/>
        <v>32023</v>
      </c>
      <c r="D490" s="2">
        <v>45016</v>
      </c>
      <c r="E490" s="1">
        <v>-3739</v>
      </c>
      <c r="AR490" s="11" t="str">
        <f t="shared" si="9"/>
        <v>11900</v>
      </c>
    </row>
    <row r="491" spans="1:44" x14ac:dyDescent="0.25">
      <c r="A491" s="16">
        <v>33146</v>
      </c>
      <c r="B491" s="1">
        <v>7224</v>
      </c>
      <c r="C491" s="13" t="str">
        <f t="shared" si="8"/>
        <v>42023</v>
      </c>
      <c r="D491" s="2">
        <v>45044</v>
      </c>
      <c r="E491" s="1">
        <v>-1281</v>
      </c>
      <c r="AR491" s="11" t="str">
        <f t="shared" si="9"/>
        <v>11900</v>
      </c>
    </row>
    <row r="492" spans="1:44" x14ac:dyDescent="0.25">
      <c r="A492" s="16">
        <v>33177</v>
      </c>
      <c r="B492" s="1">
        <v>7542</v>
      </c>
      <c r="C492" s="13" t="str">
        <f t="shared" si="8"/>
        <v>52023</v>
      </c>
      <c r="D492" s="2">
        <v>45077</v>
      </c>
      <c r="E492" s="1">
        <v>4489</v>
      </c>
      <c r="AR492" s="11" t="str">
        <f t="shared" si="9"/>
        <v>11900</v>
      </c>
    </row>
    <row r="493" spans="1:44" x14ac:dyDescent="0.25">
      <c r="A493" s="16">
        <v>33207</v>
      </c>
      <c r="B493" s="1">
        <v>7387</v>
      </c>
      <c r="C493" s="13" t="str">
        <f t="shared" si="8"/>
        <v>62023</v>
      </c>
      <c r="D493" s="2">
        <v>45107</v>
      </c>
      <c r="E493" s="1">
        <v>-1508</v>
      </c>
      <c r="AR493" s="11" t="str">
        <f t="shared" si="9"/>
        <v>11900</v>
      </c>
    </row>
    <row r="494" spans="1:44" x14ac:dyDescent="0.25">
      <c r="A494" s="16">
        <v>33238</v>
      </c>
      <c r="B494" s="1">
        <v>7338</v>
      </c>
      <c r="C494" s="13" t="str">
        <f t="shared" si="8"/>
        <v>72023</v>
      </c>
      <c r="D494" s="2">
        <v>45138</v>
      </c>
      <c r="E494" s="1">
        <v>-17049</v>
      </c>
      <c r="AR494" s="11" t="str">
        <f t="shared" si="9"/>
        <v>11900</v>
      </c>
    </row>
    <row r="495" spans="1:44" x14ac:dyDescent="0.25">
      <c r="A495" s="16">
        <v>33269</v>
      </c>
      <c r="B495" s="1">
        <v>7500</v>
      </c>
      <c r="C495" s="13" t="str">
        <f t="shared" si="8"/>
        <v>82023</v>
      </c>
      <c r="D495" s="2">
        <v>45169</v>
      </c>
      <c r="E495" s="1">
        <v>-10584</v>
      </c>
      <c r="AR495" s="11" t="str">
        <f t="shared" si="9"/>
        <v>11900</v>
      </c>
    </row>
    <row r="496" spans="1:44" x14ac:dyDescent="0.25">
      <c r="A496" s="16">
        <v>33297</v>
      </c>
      <c r="B496" s="1">
        <v>7637</v>
      </c>
      <c r="C496" s="13" t="str">
        <f t="shared" si="8"/>
        <v>92023</v>
      </c>
      <c r="D496" s="2">
        <v>45198</v>
      </c>
      <c r="E496" s="1">
        <v>-2224</v>
      </c>
      <c r="AR496" s="11" t="str">
        <f t="shared" si="9"/>
        <v>11900</v>
      </c>
    </row>
    <row r="497" spans="1:44" x14ac:dyDescent="0.25">
      <c r="A497" s="16">
        <v>33328</v>
      </c>
      <c r="B497" s="1">
        <v>7546</v>
      </c>
      <c r="C497" s="13" t="str">
        <f t="shared" si="8"/>
        <v>102023</v>
      </c>
      <c r="D497" s="2">
        <v>45230</v>
      </c>
      <c r="E497" s="1">
        <v>773</v>
      </c>
      <c r="AR497" s="11" t="str">
        <f t="shared" si="9"/>
        <v>11900</v>
      </c>
    </row>
    <row r="498" spans="1:44" x14ac:dyDescent="0.25">
      <c r="A498" s="16">
        <v>33358</v>
      </c>
      <c r="B498" s="1">
        <v>7509</v>
      </c>
      <c r="C498" s="13" t="str">
        <f t="shared" si="8"/>
        <v>112023</v>
      </c>
      <c r="D498" s="2">
        <v>45260</v>
      </c>
      <c r="E498" s="1">
        <v>1610</v>
      </c>
      <c r="AR498" s="11" t="str">
        <f t="shared" si="9"/>
        <v>11900</v>
      </c>
    </row>
    <row r="499" spans="1:44" x14ac:dyDescent="0.25">
      <c r="A499" s="16">
        <v>33389</v>
      </c>
      <c r="B499" s="1">
        <v>7409</v>
      </c>
      <c r="C499" s="13" t="str">
        <f t="shared" si="8"/>
        <v>122023</v>
      </c>
      <c r="D499" s="2">
        <v>45289</v>
      </c>
      <c r="E499" s="1">
        <v>-5503</v>
      </c>
      <c r="AR499" s="11" t="str">
        <f t="shared" si="9"/>
        <v>11900</v>
      </c>
    </row>
    <row r="500" spans="1:44" x14ac:dyDescent="0.25">
      <c r="A500" s="16">
        <v>33419</v>
      </c>
      <c r="B500" s="1">
        <v>7320</v>
      </c>
      <c r="C500" s="13" t="str">
        <f t="shared" si="8"/>
        <v>12024</v>
      </c>
      <c r="D500" s="2">
        <v>45322</v>
      </c>
      <c r="E500" s="1">
        <v>1234</v>
      </c>
      <c r="AR500" s="11" t="str">
        <f t="shared" si="9"/>
        <v>11900</v>
      </c>
    </row>
    <row r="501" spans="1:44" x14ac:dyDescent="0.25">
      <c r="A501" s="16">
        <v>33450</v>
      </c>
      <c r="B501" s="1">
        <v>7347</v>
      </c>
      <c r="C501" s="13" t="str">
        <f t="shared" si="8"/>
        <v>22024</v>
      </c>
      <c r="D501" s="2">
        <v>45351</v>
      </c>
      <c r="E501" s="1">
        <v>4199</v>
      </c>
      <c r="AR501" s="11" t="str">
        <f t="shared" si="9"/>
        <v>11900</v>
      </c>
    </row>
    <row r="502" spans="1:44" x14ac:dyDescent="0.25">
      <c r="A502" s="16">
        <v>33481</v>
      </c>
      <c r="B502" s="1">
        <v>7316</v>
      </c>
      <c r="C502" s="13" t="str">
        <f t="shared" si="8"/>
        <v>32024</v>
      </c>
      <c r="D502" s="2">
        <v>45380</v>
      </c>
      <c r="E502" s="1">
        <v>3210</v>
      </c>
      <c r="AR502" s="11" t="str">
        <f t="shared" si="9"/>
        <v>11900</v>
      </c>
    </row>
    <row r="503" spans="1:44" x14ac:dyDescent="0.25">
      <c r="A503" s="16">
        <v>33511</v>
      </c>
      <c r="B503" s="1">
        <v>7368</v>
      </c>
      <c r="C503" s="13" t="str">
        <f t="shared" si="8"/>
        <v>42024</v>
      </c>
      <c r="D503" s="2">
        <v>45412</v>
      </c>
      <c r="E503" s="1">
        <v>7265</v>
      </c>
      <c r="AR503" s="11" t="str">
        <f t="shared" si="9"/>
        <v>11900</v>
      </c>
    </row>
    <row r="504" spans="1:44" x14ac:dyDescent="0.25">
      <c r="A504" s="16">
        <v>33542</v>
      </c>
      <c r="B504" s="1">
        <v>7437</v>
      </c>
      <c r="C504" s="13" t="str">
        <f t="shared" si="8"/>
        <v>52024</v>
      </c>
      <c r="D504" s="2">
        <v>45443</v>
      </c>
      <c r="E504" s="1">
        <v>1233</v>
      </c>
      <c r="AR504" s="11" t="str">
        <f t="shared" si="9"/>
        <v>11900</v>
      </c>
    </row>
    <row r="505" spans="1:44" x14ac:dyDescent="0.25">
      <c r="A505" s="16">
        <v>33572</v>
      </c>
      <c r="B505" s="1">
        <v>7328</v>
      </c>
      <c r="C505" s="13" t="str">
        <f t="shared" si="8"/>
        <v>62024</v>
      </c>
      <c r="D505" s="2">
        <v>45471</v>
      </c>
      <c r="E505" s="1">
        <v>-12157</v>
      </c>
      <c r="AR505" s="11" t="str">
        <f t="shared" si="9"/>
        <v>11900</v>
      </c>
    </row>
    <row r="506" spans="1:44" x14ac:dyDescent="0.25">
      <c r="A506" s="16">
        <v>33603</v>
      </c>
      <c r="B506" s="1">
        <v>7299</v>
      </c>
      <c r="C506" s="13" t="str">
        <f t="shared" si="8"/>
        <v>72024</v>
      </c>
      <c r="D506" s="2">
        <v>45504</v>
      </c>
      <c r="E506" s="1">
        <v>-3436</v>
      </c>
      <c r="AR506" s="11" t="str">
        <f t="shared" si="9"/>
        <v>11900</v>
      </c>
    </row>
    <row r="507" spans="1:44" x14ac:dyDescent="0.25">
      <c r="A507" s="16">
        <v>33634</v>
      </c>
      <c r="B507" s="1">
        <v>7361</v>
      </c>
      <c r="C507" s="13" t="str">
        <f t="shared" si="8"/>
        <v>82024</v>
      </c>
      <c r="D507" s="2">
        <v>45534</v>
      </c>
      <c r="E507" s="1">
        <v>-6873</v>
      </c>
      <c r="AR507" s="11" t="str">
        <f t="shared" si="9"/>
        <v>11900</v>
      </c>
    </row>
    <row r="508" spans="1:44" x14ac:dyDescent="0.25">
      <c r="A508" s="16">
        <v>33663</v>
      </c>
      <c r="B508" s="1">
        <v>7389</v>
      </c>
      <c r="C508" s="13" t="str">
        <f t="shared" si="8"/>
        <v>92024</v>
      </c>
      <c r="D508" s="2">
        <v>45565</v>
      </c>
      <c r="E508" s="1">
        <v>3889</v>
      </c>
      <c r="AR508" s="11" t="str">
        <f t="shared" si="9"/>
        <v>11900</v>
      </c>
    </row>
    <row r="509" spans="1:44" x14ac:dyDescent="0.25">
      <c r="A509" s="16">
        <v>33694</v>
      </c>
      <c r="B509" s="1">
        <v>7348</v>
      </c>
      <c r="C509" s="13" t="str">
        <f t="shared" si="8"/>
        <v>102024</v>
      </c>
      <c r="D509" s="2">
        <v>45596</v>
      </c>
      <c r="E509" s="1">
        <v>-515</v>
      </c>
      <c r="AR509" s="11" t="str">
        <f t="shared" si="9"/>
        <v>11900</v>
      </c>
    </row>
    <row r="510" spans="1:44" x14ac:dyDescent="0.25">
      <c r="A510" s="16">
        <v>33724</v>
      </c>
      <c r="B510" s="1">
        <v>7293</v>
      </c>
      <c r="C510" s="13" t="str">
        <f t="shared" si="8"/>
        <v>112024</v>
      </c>
      <c r="D510" s="2">
        <v>45625</v>
      </c>
      <c r="E510" s="1">
        <v>-5073</v>
      </c>
      <c r="AR510" s="11" t="str">
        <f t="shared" si="9"/>
        <v>11900</v>
      </c>
    </row>
    <row r="511" spans="1:44" x14ac:dyDescent="0.25">
      <c r="A511" s="16">
        <v>33755</v>
      </c>
      <c r="B511" s="1">
        <v>7169</v>
      </c>
      <c r="C511" s="13" t="str">
        <f t="shared" si="8"/>
        <v>122024</v>
      </c>
      <c r="D511" s="2">
        <v>45657</v>
      </c>
      <c r="E511" s="1">
        <v>-1178</v>
      </c>
      <c r="AR511" s="11" t="str">
        <f t="shared" si="9"/>
        <v>11900</v>
      </c>
    </row>
    <row r="512" spans="1:44" x14ac:dyDescent="0.25">
      <c r="A512" s="16">
        <v>33785</v>
      </c>
      <c r="B512" s="1">
        <v>7167</v>
      </c>
      <c r="C512" s="13" t="str">
        <f t="shared" si="8"/>
        <v>12025</v>
      </c>
      <c r="D512" s="2">
        <v>45688</v>
      </c>
      <c r="E512" s="1">
        <v>8664</v>
      </c>
      <c r="AR512" s="11" t="str">
        <f t="shared" si="9"/>
        <v>11900</v>
      </c>
    </row>
    <row r="513" spans="1:44" x14ac:dyDescent="0.25">
      <c r="A513" s="16">
        <v>33816</v>
      </c>
      <c r="B513" s="1">
        <v>7131</v>
      </c>
      <c r="C513" s="13" t="str">
        <f t="shared" si="8"/>
        <v>22025</v>
      </c>
      <c r="D513" s="2">
        <v>45716</v>
      </c>
      <c r="E513" s="1">
        <v>3614</v>
      </c>
      <c r="AR513" s="11" t="str">
        <f t="shared" si="9"/>
        <v>11900</v>
      </c>
    </row>
    <row r="514" spans="1:44" x14ac:dyDescent="0.25">
      <c r="A514" s="16">
        <v>33847</v>
      </c>
      <c r="B514" s="1">
        <v>6922</v>
      </c>
      <c r="C514" s="13" t="str">
        <f t="shared" si="8"/>
        <v>32025</v>
      </c>
      <c r="D514" s="2">
        <v>45747</v>
      </c>
      <c r="E514" s="1">
        <v>6165</v>
      </c>
      <c r="AR514" s="11" t="str">
        <f t="shared" si="9"/>
        <v>11900</v>
      </c>
    </row>
    <row r="515" spans="1:44" x14ac:dyDescent="0.25">
      <c r="A515" s="16">
        <v>33877</v>
      </c>
      <c r="B515" s="1">
        <v>7030</v>
      </c>
      <c r="C515" s="13" t="str">
        <f t="shared" si="8"/>
        <v>42025</v>
      </c>
      <c r="D515" s="2">
        <v>45777</v>
      </c>
      <c r="E515" s="1">
        <v>-2696</v>
      </c>
      <c r="AR515" s="11" t="str">
        <f t="shared" si="9"/>
        <v>11900</v>
      </c>
    </row>
    <row r="516" spans="1:44" x14ac:dyDescent="0.25">
      <c r="A516" s="16">
        <v>33908</v>
      </c>
      <c r="B516" s="1">
        <v>7126</v>
      </c>
      <c r="C516" s="13" t="str">
        <f t="shared" si="8"/>
        <v>52025</v>
      </c>
      <c r="D516" s="2">
        <v>45807</v>
      </c>
      <c r="E516" s="1">
        <v>-4304</v>
      </c>
      <c r="AR516" s="11" t="str">
        <f t="shared" si="9"/>
        <v>11900</v>
      </c>
    </row>
    <row r="517" spans="1:44" x14ac:dyDescent="0.25">
      <c r="A517" s="16">
        <v>33938</v>
      </c>
      <c r="B517" s="1">
        <v>7024</v>
      </c>
      <c r="C517" s="13" t="str">
        <f t="shared" ref="C517:C580" si="10">MONTH(D517)&amp;YEAR(D517)</f>
        <v>62025</v>
      </c>
      <c r="D517" s="2">
        <v>45838</v>
      </c>
      <c r="E517" s="1">
        <v>3845</v>
      </c>
      <c r="AR517" s="11" t="str">
        <f t="shared" ref="AR517:AR580" si="11">MONTH(AS517)&amp;YEAR(AS517)</f>
        <v>11900</v>
      </c>
    </row>
    <row r="518" spans="1:44" x14ac:dyDescent="0.25">
      <c r="A518" s="16">
        <v>33969</v>
      </c>
      <c r="B518" s="1">
        <v>7103</v>
      </c>
      <c r="C518" s="13" t="str">
        <f t="shared" si="10"/>
        <v>72025</v>
      </c>
      <c r="D518" s="2">
        <v>45869</v>
      </c>
      <c r="E518" s="1">
        <v>7698</v>
      </c>
      <c r="AR518" s="11" t="str">
        <f t="shared" si="11"/>
        <v>11900</v>
      </c>
    </row>
    <row r="519" spans="1:44" x14ac:dyDescent="0.25">
      <c r="A519" s="16">
        <v>34000</v>
      </c>
      <c r="B519" s="1">
        <v>6961</v>
      </c>
      <c r="C519" s="13" t="str">
        <f t="shared" si="10"/>
        <v>82025</v>
      </c>
      <c r="D519" s="2">
        <v>45898</v>
      </c>
      <c r="E519" s="1">
        <v>2415</v>
      </c>
      <c r="AR519" s="11" t="str">
        <f t="shared" si="11"/>
        <v>11900</v>
      </c>
    </row>
    <row r="520" spans="1:44" x14ac:dyDescent="0.25">
      <c r="A520" s="16">
        <v>34028</v>
      </c>
      <c r="B520" s="1">
        <v>6943</v>
      </c>
      <c r="C520" s="13" t="str">
        <f t="shared" si="10"/>
        <v>92025</v>
      </c>
      <c r="D520" s="2">
        <v>45930</v>
      </c>
      <c r="E520" s="1">
        <v>1792</v>
      </c>
      <c r="AR520" s="11" t="str">
        <f t="shared" si="11"/>
        <v>11900</v>
      </c>
    </row>
    <row r="521" spans="1:44" x14ac:dyDescent="0.25">
      <c r="A521" s="16">
        <v>34059</v>
      </c>
      <c r="B521" s="1">
        <v>6974</v>
      </c>
      <c r="C521" s="13" t="str">
        <f t="shared" si="10"/>
        <v>102025</v>
      </c>
      <c r="D521" s="2">
        <v>45961</v>
      </c>
      <c r="E521" s="1">
        <v>5202</v>
      </c>
      <c r="AR521" s="11" t="str">
        <f t="shared" si="11"/>
        <v>11900</v>
      </c>
    </row>
    <row r="522" spans="1:44" x14ac:dyDescent="0.25">
      <c r="A522" s="16">
        <v>34089</v>
      </c>
      <c r="B522" s="1">
        <v>6881</v>
      </c>
      <c r="C522" s="13" t="str">
        <f t="shared" si="10"/>
        <v>112025</v>
      </c>
      <c r="D522" s="2">
        <v>45989</v>
      </c>
      <c r="E522" s="1">
        <v>574</v>
      </c>
      <c r="AR522" s="11" t="str">
        <f t="shared" si="11"/>
        <v>11900</v>
      </c>
    </row>
    <row r="523" spans="1:44" x14ac:dyDescent="0.25">
      <c r="A523" s="16">
        <v>34120</v>
      </c>
      <c r="B523" s="1">
        <v>6847</v>
      </c>
      <c r="C523" s="13" t="str">
        <f t="shared" si="10"/>
        <v>122025</v>
      </c>
      <c r="D523" s="2">
        <v>46022</v>
      </c>
      <c r="E523" s="1">
        <v>-1934</v>
      </c>
      <c r="AR523" s="11" t="str">
        <f t="shared" si="11"/>
        <v>11900</v>
      </c>
    </row>
    <row r="524" spans="1:44" x14ac:dyDescent="0.25">
      <c r="A524" s="16">
        <v>34150</v>
      </c>
      <c r="B524" s="1">
        <v>6795</v>
      </c>
      <c r="C524" s="13" t="str">
        <f t="shared" si="10"/>
        <v>12026</v>
      </c>
      <c r="D524" s="2">
        <v>46052</v>
      </c>
      <c r="E524" s="1">
        <v>-3455</v>
      </c>
      <c r="AR524" s="11" t="str">
        <f t="shared" si="11"/>
        <v>11900</v>
      </c>
    </row>
    <row r="525" spans="1:44" x14ac:dyDescent="0.25">
      <c r="A525" s="16">
        <v>34181</v>
      </c>
      <c r="B525" s="1">
        <v>6688</v>
      </c>
      <c r="C525" s="13" t="str">
        <f t="shared" si="10"/>
        <v>22026</v>
      </c>
      <c r="D525" s="2">
        <v>46080</v>
      </c>
      <c r="E525" s="1">
        <v>3475</v>
      </c>
      <c r="AR525" s="11" t="str">
        <f t="shared" si="11"/>
        <v>11900</v>
      </c>
    </row>
    <row r="526" spans="1:44" x14ac:dyDescent="0.25">
      <c r="A526" s="16">
        <v>34212</v>
      </c>
      <c r="B526" s="1">
        <v>6758</v>
      </c>
      <c r="C526" s="13" t="str">
        <f t="shared" si="10"/>
        <v>32026</v>
      </c>
      <c r="D526" s="2">
        <v>46112</v>
      </c>
      <c r="E526" s="1">
        <v>5451</v>
      </c>
      <c r="AR526" s="11" t="str">
        <f t="shared" si="11"/>
        <v>11900</v>
      </c>
    </row>
    <row r="527" spans="1:44" x14ac:dyDescent="0.25">
      <c r="A527" s="16">
        <v>34242</v>
      </c>
      <c r="B527" s="1">
        <v>6712</v>
      </c>
      <c r="C527" s="13" t="str">
        <f t="shared" si="10"/>
        <v>42026</v>
      </c>
      <c r="D527" s="2">
        <v>46142</v>
      </c>
      <c r="E527" s="1">
        <v>-6234</v>
      </c>
      <c r="AR527" s="11" t="str">
        <f t="shared" si="11"/>
        <v>11900</v>
      </c>
    </row>
    <row r="528" spans="1:44" x14ac:dyDescent="0.25">
      <c r="A528" s="16">
        <v>34273</v>
      </c>
      <c r="B528" s="1">
        <v>6839</v>
      </c>
      <c r="C528" s="13" t="str">
        <f t="shared" si="10"/>
        <v>11900</v>
      </c>
      <c r="D528" s="2"/>
      <c r="AR528" s="11" t="str">
        <f t="shared" si="11"/>
        <v>11900</v>
      </c>
    </row>
    <row r="529" spans="1:44" x14ac:dyDescent="0.25">
      <c r="A529" s="16">
        <v>34303</v>
      </c>
      <c r="B529" s="1">
        <v>6912</v>
      </c>
      <c r="C529" s="13" t="str">
        <f t="shared" si="10"/>
        <v>11900</v>
      </c>
      <c r="D529" s="2"/>
      <c r="AR529" s="11" t="str">
        <f t="shared" si="11"/>
        <v>11900</v>
      </c>
    </row>
    <row r="530" spans="1:44" x14ac:dyDescent="0.25">
      <c r="A530" s="16">
        <v>34334</v>
      </c>
      <c r="B530" s="1">
        <v>6858</v>
      </c>
      <c r="C530" s="13" t="str">
        <f t="shared" si="10"/>
        <v>11900</v>
      </c>
      <c r="D530" s="2"/>
      <c r="AR530" s="11" t="str">
        <f t="shared" si="11"/>
        <v>11900</v>
      </c>
    </row>
    <row r="531" spans="1:44" x14ac:dyDescent="0.25">
      <c r="A531" s="16">
        <v>34365</v>
      </c>
      <c r="B531" s="1">
        <v>6817</v>
      </c>
      <c r="C531" s="13" t="str">
        <f t="shared" si="10"/>
        <v>11900</v>
      </c>
      <c r="D531" s="2"/>
      <c r="AR531" s="11" t="str">
        <f t="shared" si="11"/>
        <v>11900</v>
      </c>
    </row>
    <row r="532" spans="1:44" x14ac:dyDescent="0.25">
      <c r="A532" s="16">
        <v>34393</v>
      </c>
      <c r="B532" s="1">
        <v>6770</v>
      </c>
      <c r="C532" s="13" t="str">
        <f t="shared" si="10"/>
        <v>11900</v>
      </c>
      <c r="D532" s="2"/>
      <c r="AR532" s="11" t="str">
        <f t="shared" si="11"/>
        <v>11900</v>
      </c>
    </row>
    <row r="533" spans="1:44" x14ac:dyDescent="0.25">
      <c r="A533" s="16">
        <v>34424</v>
      </c>
      <c r="B533" s="1">
        <v>6746</v>
      </c>
      <c r="C533" s="13" t="str">
        <f t="shared" si="10"/>
        <v>11900</v>
      </c>
      <c r="D533" s="2"/>
      <c r="AR533" s="11" t="str">
        <f t="shared" si="11"/>
        <v>11900</v>
      </c>
    </row>
    <row r="534" spans="1:44" x14ac:dyDescent="0.25">
      <c r="A534" s="16">
        <v>34454</v>
      </c>
      <c r="B534" s="1">
        <v>6612</v>
      </c>
      <c r="C534" s="13" t="str">
        <f t="shared" si="10"/>
        <v>11900</v>
      </c>
      <c r="D534" s="2"/>
      <c r="AR534" s="11" t="str">
        <f t="shared" si="11"/>
        <v>11900</v>
      </c>
    </row>
    <row r="535" spans="1:44" x14ac:dyDescent="0.25">
      <c r="A535" s="16">
        <v>34485</v>
      </c>
      <c r="B535" s="1">
        <v>6688</v>
      </c>
      <c r="C535" s="13" t="str">
        <f t="shared" si="10"/>
        <v>11900</v>
      </c>
      <c r="D535" s="2"/>
      <c r="AR535" s="11" t="str">
        <f t="shared" si="11"/>
        <v>11900</v>
      </c>
    </row>
    <row r="536" spans="1:44" x14ac:dyDescent="0.25">
      <c r="A536" s="16">
        <v>34515</v>
      </c>
      <c r="B536" s="1">
        <v>6611</v>
      </c>
      <c r="C536" s="13" t="str">
        <f t="shared" si="10"/>
        <v>11900</v>
      </c>
      <c r="D536" s="2"/>
      <c r="AR536" s="11" t="str">
        <f t="shared" si="11"/>
        <v>11900</v>
      </c>
    </row>
    <row r="537" spans="1:44" x14ac:dyDescent="0.25">
      <c r="A537" s="16">
        <v>34546</v>
      </c>
      <c r="B537" s="1">
        <v>6501</v>
      </c>
      <c r="C537" s="13" t="str">
        <f t="shared" si="10"/>
        <v>11900</v>
      </c>
      <c r="D537" s="2"/>
      <c r="AR537" s="11" t="str">
        <f t="shared" si="11"/>
        <v>11900</v>
      </c>
    </row>
    <row r="538" spans="1:44" x14ac:dyDescent="0.25">
      <c r="A538" s="16">
        <v>34577</v>
      </c>
      <c r="B538" s="1">
        <v>6544</v>
      </c>
      <c r="C538" s="13" t="str">
        <f t="shared" si="10"/>
        <v>11900</v>
      </c>
      <c r="D538" s="2"/>
      <c r="AR538" s="11" t="str">
        <f t="shared" si="11"/>
        <v>11900</v>
      </c>
    </row>
    <row r="539" spans="1:44" x14ac:dyDescent="0.25">
      <c r="A539" s="16">
        <v>34607</v>
      </c>
      <c r="B539" s="1">
        <v>6609</v>
      </c>
      <c r="C539" s="13" t="str">
        <f t="shared" si="10"/>
        <v>11900</v>
      </c>
      <c r="D539" s="2"/>
      <c r="AR539" s="11" t="str">
        <f t="shared" si="11"/>
        <v>11900</v>
      </c>
    </row>
    <row r="540" spans="1:44" x14ac:dyDescent="0.25">
      <c r="A540" s="16">
        <v>34638</v>
      </c>
      <c r="B540" s="1">
        <v>6658</v>
      </c>
      <c r="C540" s="13" t="str">
        <f t="shared" si="10"/>
        <v>11900</v>
      </c>
      <c r="D540" s="2"/>
      <c r="AR540" s="11" t="str">
        <f t="shared" si="11"/>
        <v>11900</v>
      </c>
    </row>
    <row r="541" spans="1:44" x14ac:dyDescent="0.25">
      <c r="A541" s="16">
        <v>34668</v>
      </c>
      <c r="B541" s="1">
        <v>6628</v>
      </c>
      <c r="C541" s="13" t="str">
        <f t="shared" si="10"/>
        <v>11900</v>
      </c>
      <c r="D541" s="2"/>
      <c r="AR541" s="11" t="str">
        <f t="shared" si="11"/>
        <v>11900</v>
      </c>
    </row>
    <row r="542" spans="1:44" x14ac:dyDescent="0.25">
      <c r="A542" s="16">
        <v>34699</v>
      </c>
      <c r="B542" s="1">
        <v>6760</v>
      </c>
      <c r="C542" s="13" t="str">
        <f t="shared" si="10"/>
        <v>11900</v>
      </c>
      <c r="D542" s="2"/>
      <c r="AR542" s="11" t="str">
        <f t="shared" si="11"/>
        <v>11900</v>
      </c>
    </row>
    <row r="543" spans="1:44" x14ac:dyDescent="0.25">
      <c r="A543" s="16">
        <v>34730</v>
      </c>
      <c r="B543" s="1">
        <v>6682</v>
      </c>
      <c r="C543" s="13" t="str">
        <f t="shared" si="10"/>
        <v>11900</v>
      </c>
      <c r="D543" s="2"/>
      <c r="AR543" s="11" t="str">
        <f t="shared" si="11"/>
        <v>11900</v>
      </c>
    </row>
    <row r="544" spans="1:44" x14ac:dyDescent="0.25">
      <c r="A544" s="16">
        <v>34758</v>
      </c>
      <c r="B544" s="1">
        <v>6794</v>
      </c>
      <c r="C544" s="13" t="str">
        <f t="shared" si="10"/>
        <v>11900</v>
      </c>
      <c r="D544" s="2"/>
      <c r="AR544" s="11" t="str">
        <f t="shared" si="11"/>
        <v>11900</v>
      </c>
    </row>
    <row r="545" spans="1:44" x14ac:dyDescent="0.25">
      <c r="A545" s="16">
        <v>34789</v>
      </c>
      <c r="B545" s="1">
        <v>6600</v>
      </c>
      <c r="C545" s="13" t="str">
        <f t="shared" si="10"/>
        <v>11900</v>
      </c>
      <c r="D545" s="2"/>
      <c r="AR545" s="11" t="str">
        <f t="shared" si="11"/>
        <v>11900</v>
      </c>
    </row>
    <row r="546" spans="1:44" x14ac:dyDescent="0.25">
      <c r="A546" s="16">
        <v>34819</v>
      </c>
      <c r="B546" s="1">
        <v>6604</v>
      </c>
      <c r="C546" s="13" t="str">
        <f t="shared" si="10"/>
        <v>11900</v>
      </c>
      <c r="D546" s="2"/>
      <c r="AR546" s="11" t="str">
        <f t="shared" si="11"/>
        <v>11900</v>
      </c>
    </row>
    <row r="547" spans="1:44" x14ac:dyDescent="0.25">
      <c r="A547" s="16">
        <v>34850</v>
      </c>
      <c r="B547" s="1">
        <v>6629</v>
      </c>
      <c r="C547" s="13" t="str">
        <f t="shared" si="10"/>
        <v>11900</v>
      </c>
      <c r="D547" s="2"/>
      <c r="AR547" s="11" t="str">
        <f t="shared" si="11"/>
        <v>11900</v>
      </c>
    </row>
    <row r="548" spans="1:44" x14ac:dyDescent="0.25">
      <c r="A548" s="16">
        <v>34880</v>
      </c>
      <c r="B548" s="1">
        <v>6579</v>
      </c>
      <c r="C548" s="13" t="str">
        <f t="shared" si="10"/>
        <v>11900</v>
      </c>
      <c r="D548" s="2"/>
      <c r="AR548" s="11" t="str">
        <f t="shared" si="11"/>
        <v>11900</v>
      </c>
    </row>
    <row r="549" spans="1:44" x14ac:dyDescent="0.25">
      <c r="A549" s="16">
        <v>34911</v>
      </c>
      <c r="B549" s="1">
        <v>6449</v>
      </c>
      <c r="C549" s="13" t="str">
        <f t="shared" si="10"/>
        <v>11900</v>
      </c>
      <c r="D549" s="2"/>
      <c r="AR549" s="11" t="str">
        <f t="shared" si="11"/>
        <v>11900</v>
      </c>
    </row>
    <row r="550" spans="1:44" x14ac:dyDescent="0.25">
      <c r="A550" s="16">
        <v>34942</v>
      </c>
      <c r="B550" s="1">
        <v>6447</v>
      </c>
      <c r="C550" s="13" t="str">
        <f t="shared" si="10"/>
        <v>11900</v>
      </c>
      <c r="D550" s="2"/>
      <c r="AR550" s="11" t="str">
        <f t="shared" si="11"/>
        <v>11900</v>
      </c>
    </row>
    <row r="551" spans="1:44" x14ac:dyDescent="0.25">
      <c r="A551" s="16">
        <v>34972</v>
      </c>
      <c r="B551" s="1">
        <v>6416</v>
      </c>
      <c r="C551" s="13" t="str">
        <f t="shared" si="10"/>
        <v>11900</v>
      </c>
      <c r="D551" s="2"/>
      <c r="AR551" s="11" t="str">
        <f t="shared" si="11"/>
        <v>11900</v>
      </c>
    </row>
    <row r="552" spans="1:44" x14ac:dyDescent="0.25">
      <c r="A552" s="16">
        <v>35003</v>
      </c>
      <c r="B552" s="1">
        <v>6421</v>
      </c>
      <c r="C552" s="13" t="str">
        <f t="shared" si="10"/>
        <v>11900</v>
      </c>
      <c r="D552" s="2"/>
      <c r="AR552" s="11" t="str">
        <f t="shared" si="11"/>
        <v>11900</v>
      </c>
    </row>
    <row r="553" spans="1:44" x14ac:dyDescent="0.25">
      <c r="A553" s="16">
        <v>35033</v>
      </c>
      <c r="B553" s="1">
        <v>6585</v>
      </c>
      <c r="C553" s="13" t="str">
        <f t="shared" si="10"/>
        <v>11900</v>
      </c>
      <c r="D553" s="2"/>
      <c r="AR553" s="11" t="str">
        <f t="shared" si="11"/>
        <v>11900</v>
      </c>
    </row>
    <row r="554" spans="1:44" x14ac:dyDescent="0.25">
      <c r="A554" s="16">
        <v>35064</v>
      </c>
      <c r="B554" s="1">
        <v>6530</v>
      </c>
      <c r="C554" s="13" t="str">
        <f t="shared" si="10"/>
        <v>11900</v>
      </c>
      <c r="D554" s="2"/>
      <c r="AR554" s="11" t="str">
        <f t="shared" si="11"/>
        <v>11900</v>
      </c>
    </row>
    <row r="555" spans="1:44" x14ac:dyDescent="0.25">
      <c r="A555" s="16">
        <v>35095</v>
      </c>
      <c r="B555" s="1">
        <v>6495</v>
      </c>
      <c r="C555" s="13" t="str">
        <f t="shared" si="10"/>
        <v>11900</v>
      </c>
      <c r="D555" s="2"/>
      <c r="AR555" s="11" t="str">
        <f t="shared" si="11"/>
        <v>11900</v>
      </c>
    </row>
    <row r="556" spans="1:44" x14ac:dyDescent="0.25">
      <c r="A556" s="16">
        <v>35124</v>
      </c>
      <c r="B556" s="1">
        <v>6577</v>
      </c>
      <c r="C556" s="13" t="str">
        <f t="shared" si="10"/>
        <v>11900</v>
      </c>
      <c r="D556" s="2"/>
      <c r="AR556" s="11" t="str">
        <f t="shared" si="11"/>
        <v>11900</v>
      </c>
    </row>
    <row r="557" spans="1:44" x14ac:dyDescent="0.25">
      <c r="A557" s="16">
        <v>35155</v>
      </c>
      <c r="B557" s="1">
        <v>6571</v>
      </c>
      <c r="C557" s="13" t="str">
        <f t="shared" si="10"/>
        <v>11900</v>
      </c>
      <c r="D557" s="2"/>
      <c r="AR557" s="11" t="str">
        <f t="shared" si="11"/>
        <v>11900</v>
      </c>
    </row>
    <row r="558" spans="1:44" x14ac:dyDescent="0.25">
      <c r="A558" s="16">
        <v>35185</v>
      </c>
      <c r="B558" s="1">
        <v>6444</v>
      </c>
      <c r="C558" s="13" t="str">
        <f t="shared" si="10"/>
        <v>11900</v>
      </c>
      <c r="D558" s="2"/>
      <c r="AR558" s="11" t="str">
        <f t="shared" si="11"/>
        <v>11900</v>
      </c>
    </row>
    <row r="559" spans="1:44" x14ac:dyDescent="0.25">
      <c r="A559" s="16">
        <v>35216</v>
      </c>
      <c r="B559" s="1">
        <v>6394</v>
      </c>
      <c r="C559" s="13" t="str">
        <f t="shared" si="10"/>
        <v>11900</v>
      </c>
      <c r="D559" s="2"/>
      <c r="AR559" s="11" t="str">
        <f t="shared" si="11"/>
        <v>11900</v>
      </c>
    </row>
    <row r="560" spans="1:44" x14ac:dyDescent="0.25">
      <c r="A560" s="16">
        <v>35246</v>
      </c>
      <c r="B560" s="1">
        <v>6458</v>
      </c>
      <c r="C560" s="13" t="str">
        <f t="shared" si="10"/>
        <v>11900</v>
      </c>
      <c r="D560" s="2"/>
      <c r="AR560" s="11" t="str">
        <f t="shared" si="11"/>
        <v>11900</v>
      </c>
    </row>
    <row r="561" spans="1:44" x14ac:dyDescent="0.25">
      <c r="A561" s="16">
        <v>35277</v>
      </c>
      <c r="B561" s="1">
        <v>6338</v>
      </c>
      <c r="C561" s="13" t="str">
        <f t="shared" si="10"/>
        <v>11900</v>
      </c>
      <c r="D561" s="2"/>
      <c r="AR561" s="11" t="str">
        <f t="shared" si="11"/>
        <v>11900</v>
      </c>
    </row>
    <row r="562" spans="1:44" x14ac:dyDescent="0.25">
      <c r="A562" s="16">
        <v>35308</v>
      </c>
      <c r="B562" s="1">
        <v>6360</v>
      </c>
      <c r="C562" s="13" t="str">
        <f t="shared" si="10"/>
        <v>11900</v>
      </c>
      <c r="D562" s="2"/>
      <c r="AR562" s="11" t="str">
        <f t="shared" si="11"/>
        <v>11900</v>
      </c>
    </row>
    <row r="563" spans="1:44" x14ac:dyDescent="0.25">
      <c r="A563" s="16">
        <v>35338</v>
      </c>
      <c r="B563" s="1">
        <v>6482</v>
      </c>
      <c r="C563" s="13" t="str">
        <f t="shared" si="10"/>
        <v>11900</v>
      </c>
      <c r="D563" s="2"/>
      <c r="AR563" s="11" t="str">
        <f t="shared" si="11"/>
        <v>11900</v>
      </c>
    </row>
    <row r="564" spans="1:44" x14ac:dyDescent="0.25">
      <c r="A564" s="16">
        <v>35369</v>
      </c>
      <c r="B564" s="1">
        <v>6481</v>
      </c>
      <c r="C564" s="13" t="str">
        <f t="shared" si="10"/>
        <v>11900</v>
      </c>
      <c r="D564" s="2"/>
      <c r="AR564" s="11" t="str">
        <f t="shared" si="11"/>
        <v>11900</v>
      </c>
    </row>
    <row r="565" spans="1:44" x14ac:dyDescent="0.25">
      <c r="A565" s="16">
        <v>35399</v>
      </c>
      <c r="B565" s="1">
        <v>6476</v>
      </c>
      <c r="C565" s="13" t="str">
        <f t="shared" si="10"/>
        <v>11900</v>
      </c>
      <c r="D565" s="2"/>
      <c r="AR565" s="11" t="str">
        <f t="shared" si="11"/>
        <v>11900</v>
      </c>
    </row>
    <row r="566" spans="1:44" x14ac:dyDescent="0.25">
      <c r="A566" s="16">
        <v>35430</v>
      </c>
      <c r="B566" s="1">
        <v>6506</v>
      </c>
      <c r="C566" s="13" t="str">
        <f t="shared" si="10"/>
        <v>11900</v>
      </c>
      <c r="D566" s="2"/>
      <c r="AR566" s="11" t="str">
        <f t="shared" si="11"/>
        <v>11900</v>
      </c>
    </row>
    <row r="567" spans="1:44" x14ac:dyDescent="0.25">
      <c r="A567" s="16">
        <v>35461</v>
      </c>
      <c r="B567" s="1">
        <v>6402</v>
      </c>
      <c r="C567" s="13" t="str">
        <f t="shared" si="10"/>
        <v>11900</v>
      </c>
      <c r="D567" s="2"/>
      <c r="AR567" s="11" t="str">
        <f t="shared" si="11"/>
        <v>11900</v>
      </c>
    </row>
    <row r="568" spans="1:44" x14ac:dyDescent="0.25">
      <c r="A568" s="16">
        <v>35489</v>
      </c>
      <c r="B568" s="1">
        <v>6514</v>
      </c>
      <c r="C568" s="13" t="str">
        <f t="shared" si="10"/>
        <v>11900</v>
      </c>
      <c r="D568" s="2"/>
      <c r="AR568" s="11" t="str">
        <f t="shared" si="11"/>
        <v>11900</v>
      </c>
    </row>
    <row r="569" spans="1:44" x14ac:dyDescent="0.25">
      <c r="A569" s="16">
        <v>35520</v>
      </c>
      <c r="B569" s="1">
        <v>6452</v>
      </c>
      <c r="C569" s="13" t="str">
        <f t="shared" si="10"/>
        <v>11900</v>
      </c>
      <c r="D569" s="2"/>
      <c r="AR569" s="11" t="str">
        <f t="shared" si="11"/>
        <v>11900</v>
      </c>
    </row>
    <row r="570" spans="1:44" x14ac:dyDescent="0.25">
      <c r="A570" s="16">
        <v>35550</v>
      </c>
      <c r="B570" s="1">
        <v>6441</v>
      </c>
      <c r="C570" s="13" t="str">
        <f t="shared" si="10"/>
        <v>11900</v>
      </c>
      <c r="D570" s="2"/>
      <c r="AR570" s="11" t="str">
        <f t="shared" si="11"/>
        <v>11900</v>
      </c>
    </row>
    <row r="571" spans="1:44" x14ac:dyDescent="0.25">
      <c r="A571" s="16">
        <v>35581</v>
      </c>
      <c r="B571" s="1">
        <v>6474</v>
      </c>
      <c r="C571" s="13" t="str">
        <f t="shared" si="10"/>
        <v>11900</v>
      </c>
      <c r="D571" s="2"/>
      <c r="AR571" s="11" t="str">
        <f t="shared" si="11"/>
        <v>11900</v>
      </c>
    </row>
    <row r="572" spans="1:44" x14ac:dyDescent="0.25">
      <c r="A572" s="16">
        <v>35611</v>
      </c>
      <c r="B572" s="1">
        <v>6442</v>
      </c>
      <c r="C572" s="13" t="str">
        <f t="shared" si="10"/>
        <v>11900</v>
      </c>
      <c r="D572" s="2"/>
      <c r="AR572" s="11" t="str">
        <f t="shared" si="11"/>
        <v>11900</v>
      </c>
    </row>
    <row r="573" spans="1:44" x14ac:dyDescent="0.25">
      <c r="A573" s="16">
        <v>35642</v>
      </c>
      <c r="B573" s="1">
        <v>6409</v>
      </c>
      <c r="C573" s="13" t="str">
        <f t="shared" si="10"/>
        <v>11900</v>
      </c>
      <c r="D573" s="2"/>
      <c r="AR573" s="11" t="str">
        <f t="shared" si="11"/>
        <v>11900</v>
      </c>
    </row>
    <row r="574" spans="1:44" x14ac:dyDescent="0.25">
      <c r="A574" s="16">
        <v>35673</v>
      </c>
      <c r="B574" s="1">
        <v>6347</v>
      </c>
      <c r="C574" s="13" t="str">
        <f t="shared" si="10"/>
        <v>11900</v>
      </c>
      <c r="D574" s="2"/>
      <c r="AR574" s="11" t="str">
        <f t="shared" si="11"/>
        <v>11900</v>
      </c>
    </row>
    <row r="575" spans="1:44" x14ac:dyDescent="0.25">
      <c r="A575" s="16">
        <v>35703</v>
      </c>
      <c r="B575" s="1">
        <v>6486</v>
      </c>
      <c r="C575" s="13" t="str">
        <f t="shared" si="10"/>
        <v>11900</v>
      </c>
      <c r="D575" s="2"/>
      <c r="AR575" s="11" t="str">
        <f t="shared" si="11"/>
        <v>11900</v>
      </c>
    </row>
    <row r="576" spans="1:44" x14ac:dyDescent="0.25">
      <c r="A576" s="16">
        <v>35734</v>
      </c>
      <c r="B576" s="1">
        <v>6467</v>
      </c>
      <c r="C576" s="13" t="str">
        <f t="shared" si="10"/>
        <v>11900</v>
      </c>
      <c r="D576" s="2"/>
      <c r="AR576" s="11" t="str">
        <f t="shared" si="11"/>
        <v>11900</v>
      </c>
    </row>
    <row r="577" spans="1:44" x14ac:dyDescent="0.25">
      <c r="A577" s="16">
        <v>35764</v>
      </c>
      <c r="B577" s="1">
        <v>6459</v>
      </c>
      <c r="C577" s="13" t="str">
        <f t="shared" si="10"/>
        <v>11900</v>
      </c>
      <c r="D577" s="2"/>
      <c r="AR577" s="11" t="str">
        <f t="shared" si="11"/>
        <v>11900</v>
      </c>
    </row>
    <row r="578" spans="1:44" x14ac:dyDescent="0.25">
      <c r="A578" s="16">
        <v>35795</v>
      </c>
      <c r="B578" s="1">
        <v>6531</v>
      </c>
      <c r="C578" s="13" t="str">
        <f t="shared" si="10"/>
        <v>11900</v>
      </c>
      <c r="D578" s="2"/>
      <c r="AR578" s="11" t="str">
        <f t="shared" si="11"/>
        <v>11900</v>
      </c>
    </row>
    <row r="579" spans="1:44" x14ac:dyDescent="0.25">
      <c r="A579" s="16">
        <v>35826</v>
      </c>
      <c r="B579" s="1">
        <v>6541</v>
      </c>
      <c r="C579" s="13" t="str">
        <f t="shared" si="10"/>
        <v>11900</v>
      </c>
      <c r="D579" s="2"/>
      <c r="AR579" s="11" t="str">
        <f t="shared" si="11"/>
        <v>11900</v>
      </c>
    </row>
    <row r="580" spans="1:44" x14ac:dyDescent="0.25">
      <c r="A580" s="16">
        <v>35854</v>
      </c>
      <c r="B580" s="1">
        <v>6476</v>
      </c>
      <c r="C580" s="13" t="str">
        <f t="shared" si="10"/>
        <v>11900</v>
      </c>
      <c r="D580" s="2"/>
      <c r="AR580" s="11" t="str">
        <f t="shared" si="11"/>
        <v>11900</v>
      </c>
    </row>
    <row r="581" spans="1:44" x14ac:dyDescent="0.25">
      <c r="A581" s="16">
        <v>35885</v>
      </c>
      <c r="B581" s="1">
        <v>6408</v>
      </c>
      <c r="C581" s="13" t="str">
        <f t="shared" ref="C581:C644" si="12">MONTH(D581)&amp;YEAR(D581)</f>
        <v>11900</v>
      </c>
      <c r="D581" s="2"/>
      <c r="AR581" s="11" t="str">
        <f t="shared" ref="AR581:AR644" si="13">MONTH(AS581)&amp;YEAR(AS581)</f>
        <v>11900</v>
      </c>
    </row>
    <row r="582" spans="1:44" x14ac:dyDescent="0.25">
      <c r="A582" s="16">
        <v>35915</v>
      </c>
      <c r="B582" s="1">
        <v>6483</v>
      </c>
      <c r="C582" s="13" t="str">
        <f t="shared" si="12"/>
        <v>11900</v>
      </c>
      <c r="D582" s="2"/>
      <c r="AR582" s="11" t="str">
        <f t="shared" si="13"/>
        <v>11900</v>
      </c>
    </row>
    <row r="583" spans="1:44" x14ac:dyDescent="0.25">
      <c r="A583" s="16">
        <v>35946</v>
      </c>
      <c r="B583" s="1">
        <v>6347</v>
      </c>
      <c r="C583" s="13" t="str">
        <f t="shared" si="12"/>
        <v>11900</v>
      </c>
      <c r="D583" s="2"/>
      <c r="AR583" s="11" t="str">
        <f t="shared" si="13"/>
        <v>11900</v>
      </c>
    </row>
    <row r="584" spans="1:44" x14ac:dyDescent="0.25">
      <c r="A584" s="16">
        <v>35976</v>
      </c>
      <c r="B584" s="1">
        <v>6267</v>
      </c>
      <c r="C584" s="13" t="str">
        <f t="shared" si="12"/>
        <v>11900</v>
      </c>
      <c r="D584" s="2"/>
      <c r="AR584" s="11" t="str">
        <f t="shared" si="13"/>
        <v>11900</v>
      </c>
    </row>
    <row r="585" spans="1:44" x14ac:dyDescent="0.25">
      <c r="A585" s="16">
        <v>36007</v>
      </c>
      <c r="B585" s="1">
        <v>6194</v>
      </c>
      <c r="C585" s="13" t="str">
        <f t="shared" si="12"/>
        <v>11900</v>
      </c>
      <c r="D585" s="2"/>
      <c r="AR585" s="11" t="str">
        <f t="shared" si="13"/>
        <v>11900</v>
      </c>
    </row>
    <row r="586" spans="1:44" x14ac:dyDescent="0.25">
      <c r="A586" s="16">
        <v>36038</v>
      </c>
      <c r="B586" s="1">
        <v>6203</v>
      </c>
      <c r="C586" s="13" t="str">
        <f t="shared" si="12"/>
        <v>11900</v>
      </c>
      <c r="D586" s="2"/>
      <c r="AR586" s="11" t="str">
        <f t="shared" si="13"/>
        <v>11900</v>
      </c>
    </row>
    <row r="587" spans="1:44" x14ac:dyDescent="0.25">
      <c r="A587" s="16">
        <v>36068</v>
      </c>
      <c r="B587" s="1">
        <v>5789</v>
      </c>
      <c r="C587" s="13" t="str">
        <f t="shared" si="12"/>
        <v>11900</v>
      </c>
      <c r="D587" s="2"/>
      <c r="AR587" s="11" t="str">
        <f t="shared" si="13"/>
        <v>11900</v>
      </c>
    </row>
    <row r="588" spans="1:44" x14ac:dyDescent="0.25">
      <c r="A588" s="16">
        <v>36099</v>
      </c>
      <c r="B588" s="1">
        <v>6143</v>
      </c>
      <c r="C588" s="13" t="str">
        <f t="shared" si="12"/>
        <v>11900</v>
      </c>
      <c r="D588" s="2"/>
      <c r="AR588" s="11" t="str">
        <f t="shared" si="13"/>
        <v>11900</v>
      </c>
    </row>
    <row r="589" spans="1:44" x14ac:dyDescent="0.25">
      <c r="A589" s="16">
        <v>36129</v>
      </c>
      <c r="B589" s="1">
        <v>6140</v>
      </c>
      <c r="C589" s="13" t="str">
        <f t="shared" si="12"/>
        <v>11900</v>
      </c>
      <c r="D589" s="2"/>
      <c r="AR589" s="11" t="str">
        <f t="shared" si="13"/>
        <v>11900</v>
      </c>
    </row>
    <row r="590" spans="1:44" x14ac:dyDescent="0.25">
      <c r="A590" s="16">
        <v>36160</v>
      </c>
      <c r="B590" s="1">
        <v>6043</v>
      </c>
      <c r="C590" s="13" t="str">
        <f t="shared" si="12"/>
        <v>11900</v>
      </c>
      <c r="D590" s="2"/>
      <c r="AR590" s="11" t="str">
        <f t="shared" si="13"/>
        <v>11900</v>
      </c>
    </row>
    <row r="591" spans="1:44" x14ac:dyDescent="0.25">
      <c r="A591" s="16">
        <v>36191</v>
      </c>
      <c r="B591" s="1">
        <v>5963</v>
      </c>
      <c r="C591" s="13" t="str">
        <f t="shared" si="12"/>
        <v>11900</v>
      </c>
      <c r="D591" s="2"/>
      <c r="AR591" s="11" t="str">
        <f t="shared" si="13"/>
        <v>11900</v>
      </c>
    </row>
    <row r="592" spans="1:44" x14ac:dyDescent="0.25">
      <c r="A592" s="16">
        <v>36219</v>
      </c>
      <c r="B592" s="1">
        <v>5966</v>
      </c>
      <c r="C592" s="13" t="str">
        <f t="shared" si="12"/>
        <v>11900</v>
      </c>
      <c r="D592" s="2"/>
      <c r="AR592" s="11" t="str">
        <f t="shared" si="13"/>
        <v>11900</v>
      </c>
    </row>
    <row r="593" spans="1:44" x14ac:dyDescent="0.25">
      <c r="A593" s="16">
        <v>36250</v>
      </c>
      <c r="B593" s="1">
        <v>5883</v>
      </c>
      <c r="C593" s="13" t="str">
        <f t="shared" si="12"/>
        <v>11900</v>
      </c>
      <c r="D593" s="2"/>
      <c r="AR593" s="11" t="str">
        <f t="shared" si="13"/>
        <v>11900</v>
      </c>
    </row>
    <row r="594" spans="1:44" x14ac:dyDescent="0.25">
      <c r="A594" s="16">
        <v>36280</v>
      </c>
      <c r="B594" s="1">
        <v>5887</v>
      </c>
      <c r="C594" s="13" t="str">
        <f t="shared" si="12"/>
        <v>11900</v>
      </c>
      <c r="D594" s="2"/>
      <c r="AR594" s="11" t="str">
        <f t="shared" si="13"/>
        <v>11900</v>
      </c>
    </row>
    <row r="595" spans="1:44" x14ac:dyDescent="0.25">
      <c r="A595" s="16">
        <v>36311</v>
      </c>
      <c r="B595" s="1">
        <v>5875</v>
      </c>
      <c r="C595" s="13" t="str">
        <f t="shared" si="12"/>
        <v>11900</v>
      </c>
      <c r="D595" s="2"/>
      <c r="AR595" s="11" t="str">
        <f t="shared" si="13"/>
        <v>11900</v>
      </c>
    </row>
    <row r="596" spans="1:44" x14ac:dyDescent="0.25">
      <c r="A596" s="16">
        <v>36341</v>
      </c>
      <c r="B596" s="1">
        <v>5760</v>
      </c>
      <c r="C596" s="13" t="str">
        <f t="shared" si="12"/>
        <v>11900</v>
      </c>
      <c r="D596" s="2"/>
      <c r="AR596" s="11" t="str">
        <f t="shared" si="13"/>
        <v>11900</v>
      </c>
    </row>
    <row r="597" spans="1:44" x14ac:dyDescent="0.25">
      <c r="A597" s="16">
        <v>36372</v>
      </c>
      <c r="B597" s="1">
        <v>5798</v>
      </c>
      <c r="C597" s="13" t="str">
        <f t="shared" si="12"/>
        <v>11900</v>
      </c>
      <c r="D597" s="2"/>
      <c r="AR597" s="11" t="str">
        <f t="shared" si="13"/>
        <v>11900</v>
      </c>
    </row>
    <row r="598" spans="1:44" x14ac:dyDescent="0.25">
      <c r="A598" s="16">
        <v>36403</v>
      </c>
      <c r="B598" s="1">
        <v>5780</v>
      </c>
      <c r="C598" s="13" t="str">
        <f t="shared" si="12"/>
        <v>11900</v>
      </c>
      <c r="D598" s="2"/>
      <c r="AR598" s="11" t="str">
        <f t="shared" si="13"/>
        <v>11900</v>
      </c>
    </row>
    <row r="599" spans="1:44" x14ac:dyDescent="0.25">
      <c r="A599" s="16">
        <v>36433</v>
      </c>
      <c r="B599" s="1">
        <v>5804</v>
      </c>
      <c r="C599" s="13" t="str">
        <f t="shared" si="12"/>
        <v>11900</v>
      </c>
      <c r="D599" s="2"/>
      <c r="AR599" s="11" t="str">
        <f t="shared" si="13"/>
        <v>11900</v>
      </c>
    </row>
    <row r="600" spans="1:44" x14ac:dyDescent="0.25">
      <c r="A600" s="16">
        <v>36464</v>
      </c>
      <c r="B600" s="1">
        <v>5947</v>
      </c>
      <c r="C600" s="13" t="str">
        <f t="shared" si="12"/>
        <v>11900</v>
      </c>
      <c r="D600" s="2"/>
      <c r="AR600" s="11" t="str">
        <f t="shared" si="13"/>
        <v>11900</v>
      </c>
    </row>
    <row r="601" spans="1:44" x14ac:dyDescent="0.25">
      <c r="A601" s="16">
        <v>36494</v>
      </c>
      <c r="B601" s="1">
        <v>5960</v>
      </c>
      <c r="C601" s="13" t="str">
        <f t="shared" si="12"/>
        <v>11900</v>
      </c>
      <c r="D601" s="2"/>
      <c r="AR601" s="11" t="str">
        <f t="shared" si="13"/>
        <v>11900</v>
      </c>
    </row>
    <row r="602" spans="1:44" x14ac:dyDescent="0.25">
      <c r="A602" s="16">
        <v>36525</v>
      </c>
      <c r="B602" s="1">
        <v>5959</v>
      </c>
      <c r="C602" s="13" t="str">
        <f t="shared" si="12"/>
        <v>11900</v>
      </c>
      <c r="D602" s="2"/>
      <c r="AR602" s="11" t="str">
        <f t="shared" si="13"/>
        <v>11900</v>
      </c>
    </row>
    <row r="603" spans="1:44" x14ac:dyDescent="0.25">
      <c r="A603" s="16">
        <v>36556</v>
      </c>
      <c r="B603" s="1">
        <v>5784</v>
      </c>
      <c r="C603" s="13" t="str">
        <f t="shared" si="12"/>
        <v>11900</v>
      </c>
      <c r="D603" s="2"/>
      <c r="AR603" s="11" t="str">
        <f t="shared" si="13"/>
        <v>11900</v>
      </c>
    </row>
    <row r="604" spans="1:44" x14ac:dyDescent="0.25">
      <c r="A604" s="16">
        <v>36585</v>
      </c>
      <c r="B604" s="1">
        <v>5852</v>
      </c>
      <c r="C604" s="13" t="str">
        <f t="shared" si="12"/>
        <v>11900</v>
      </c>
      <c r="D604" s="2"/>
      <c r="AR604" s="11" t="str">
        <f t="shared" si="13"/>
        <v>11900</v>
      </c>
    </row>
    <row r="605" spans="1:44" x14ac:dyDescent="0.25">
      <c r="A605" s="16">
        <v>36616</v>
      </c>
      <c r="B605" s="1">
        <v>5918</v>
      </c>
      <c r="C605" s="13" t="str">
        <f t="shared" si="12"/>
        <v>11900</v>
      </c>
      <c r="D605" s="2"/>
      <c r="AR605" s="11" t="str">
        <f t="shared" si="13"/>
        <v>11900</v>
      </c>
    </row>
    <row r="606" spans="1:44" x14ac:dyDescent="0.25">
      <c r="A606" s="16">
        <v>36646</v>
      </c>
      <c r="B606" s="1">
        <v>5854</v>
      </c>
      <c r="C606" s="13" t="str">
        <f t="shared" si="12"/>
        <v>11900</v>
      </c>
      <c r="D606" s="2"/>
      <c r="AR606" s="11" t="str">
        <f t="shared" si="13"/>
        <v>11900</v>
      </c>
    </row>
    <row r="607" spans="1:44" x14ac:dyDescent="0.25">
      <c r="A607" s="16">
        <v>36677</v>
      </c>
      <c r="B607" s="1">
        <v>5847</v>
      </c>
      <c r="C607" s="13" t="str">
        <f t="shared" si="12"/>
        <v>11900</v>
      </c>
      <c r="D607" s="2"/>
      <c r="AR607" s="11" t="str">
        <f t="shared" si="13"/>
        <v>11900</v>
      </c>
    </row>
    <row r="608" spans="1:44" x14ac:dyDescent="0.25">
      <c r="A608" s="16">
        <v>36707</v>
      </c>
      <c r="B608" s="1">
        <v>5823</v>
      </c>
      <c r="C608" s="13" t="str">
        <f t="shared" si="12"/>
        <v>11900</v>
      </c>
      <c r="D608" s="2"/>
      <c r="AR608" s="11" t="str">
        <f t="shared" si="13"/>
        <v>11900</v>
      </c>
    </row>
    <row r="609" spans="1:44" x14ac:dyDescent="0.25">
      <c r="A609" s="16">
        <v>36738</v>
      </c>
      <c r="B609" s="1">
        <v>5739</v>
      </c>
      <c r="C609" s="13" t="str">
        <f t="shared" si="12"/>
        <v>11900</v>
      </c>
      <c r="D609" s="2"/>
      <c r="AR609" s="11" t="str">
        <f t="shared" si="13"/>
        <v>11900</v>
      </c>
    </row>
    <row r="610" spans="1:44" x14ac:dyDescent="0.25">
      <c r="A610" s="16">
        <v>36769</v>
      </c>
      <c r="B610" s="1">
        <v>5789</v>
      </c>
      <c r="C610" s="13" t="str">
        <f t="shared" si="12"/>
        <v>11900</v>
      </c>
      <c r="D610" s="2"/>
      <c r="AR610" s="11" t="str">
        <f t="shared" si="13"/>
        <v>11900</v>
      </c>
    </row>
    <row r="611" spans="1:44" x14ac:dyDescent="0.25">
      <c r="A611" s="16">
        <v>36799</v>
      </c>
      <c r="B611" s="1">
        <v>5758</v>
      </c>
      <c r="C611" s="13" t="str">
        <f t="shared" si="12"/>
        <v>11900</v>
      </c>
      <c r="D611" s="2"/>
      <c r="AR611" s="11" t="str">
        <f t="shared" si="13"/>
        <v>11900</v>
      </c>
    </row>
    <row r="612" spans="1:44" x14ac:dyDescent="0.25">
      <c r="A612" s="16">
        <v>36830</v>
      </c>
      <c r="B612" s="1">
        <v>5809</v>
      </c>
      <c r="C612" s="13" t="str">
        <f t="shared" si="12"/>
        <v>11900</v>
      </c>
      <c r="D612" s="2"/>
      <c r="AR612" s="11" t="str">
        <f t="shared" si="13"/>
        <v>11900</v>
      </c>
    </row>
    <row r="613" spans="1:44" x14ac:dyDescent="0.25">
      <c r="A613" s="16">
        <v>36860</v>
      </c>
      <c r="B613" s="1">
        <v>5833</v>
      </c>
      <c r="C613" s="13" t="str">
        <f t="shared" si="12"/>
        <v>11900</v>
      </c>
      <c r="D613" s="2"/>
      <c r="AR613" s="11" t="str">
        <f t="shared" si="13"/>
        <v>11900</v>
      </c>
    </row>
    <row r="614" spans="1:44" x14ac:dyDescent="0.25">
      <c r="A614" s="16">
        <v>36891</v>
      </c>
      <c r="B614" s="1">
        <v>5855</v>
      </c>
      <c r="C614" s="13" t="str">
        <f t="shared" si="12"/>
        <v>11900</v>
      </c>
      <c r="D614" s="2"/>
      <c r="AR614" s="11" t="str">
        <f t="shared" si="13"/>
        <v>11900</v>
      </c>
    </row>
    <row r="615" spans="1:44" x14ac:dyDescent="0.25">
      <c r="A615" s="16">
        <v>36922</v>
      </c>
      <c r="B615" s="1">
        <v>5799</v>
      </c>
      <c r="C615" s="13" t="str">
        <f t="shared" si="12"/>
        <v>11900</v>
      </c>
      <c r="D615" s="2"/>
      <c r="AR615" s="11" t="str">
        <f t="shared" si="13"/>
        <v>11900</v>
      </c>
    </row>
    <row r="616" spans="1:44" x14ac:dyDescent="0.25">
      <c r="A616" s="16">
        <v>36950</v>
      </c>
      <c r="B616" s="1">
        <v>5780</v>
      </c>
      <c r="C616" s="13" t="str">
        <f t="shared" si="12"/>
        <v>11900</v>
      </c>
      <c r="D616" s="2"/>
      <c r="AR616" s="11" t="str">
        <f t="shared" si="13"/>
        <v>11900</v>
      </c>
    </row>
    <row r="617" spans="1:44" x14ac:dyDescent="0.25">
      <c r="A617" s="16">
        <v>36981</v>
      </c>
      <c r="B617" s="1">
        <v>5880</v>
      </c>
      <c r="C617" s="13" t="str">
        <f t="shared" si="12"/>
        <v>11900</v>
      </c>
      <c r="D617" s="2"/>
      <c r="AR617" s="11" t="str">
        <f t="shared" si="13"/>
        <v>11900</v>
      </c>
    </row>
    <row r="618" spans="1:44" x14ac:dyDescent="0.25">
      <c r="A618" s="16">
        <v>37011</v>
      </c>
      <c r="B618" s="1">
        <v>5863</v>
      </c>
      <c r="C618" s="13" t="str">
        <f t="shared" si="12"/>
        <v>11900</v>
      </c>
      <c r="D618" s="2"/>
      <c r="AR618" s="11" t="str">
        <f t="shared" si="13"/>
        <v>11900</v>
      </c>
    </row>
    <row r="619" spans="1:44" x14ac:dyDescent="0.25">
      <c r="A619" s="16">
        <v>37042</v>
      </c>
      <c r="B619" s="1">
        <v>5829</v>
      </c>
      <c r="C619" s="13" t="str">
        <f t="shared" si="12"/>
        <v>11900</v>
      </c>
      <c r="D619" s="2"/>
      <c r="AR619" s="11" t="str">
        <f t="shared" si="13"/>
        <v>11900</v>
      </c>
    </row>
    <row r="620" spans="1:44" x14ac:dyDescent="0.25">
      <c r="A620" s="16">
        <v>37072</v>
      </c>
      <c r="B620" s="1">
        <v>5766</v>
      </c>
      <c r="C620" s="13" t="str">
        <f t="shared" si="12"/>
        <v>11900</v>
      </c>
      <c r="D620" s="2"/>
      <c r="AR620" s="11" t="str">
        <f t="shared" si="13"/>
        <v>11900</v>
      </c>
    </row>
    <row r="621" spans="1:44" x14ac:dyDescent="0.25">
      <c r="A621" s="16">
        <v>37103</v>
      </c>
      <c r="B621" s="1">
        <v>5749</v>
      </c>
      <c r="C621" s="13" t="str">
        <f t="shared" si="12"/>
        <v>11900</v>
      </c>
      <c r="D621" s="2"/>
      <c r="AR621" s="11" t="str">
        <f t="shared" si="13"/>
        <v>11900</v>
      </c>
    </row>
    <row r="622" spans="1:44" x14ac:dyDescent="0.25">
      <c r="A622" s="16">
        <v>37134</v>
      </c>
      <c r="B622" s="1">
        <v>5725</v>
      </c>
      <c r="C622" s="13" t="str">
        <f t="shared" si="12"/>
        <v>11900</v>
      </c>
      <c r="D622" s="2"/>
      <c r="AR622" s="11" t="str">
        <f t="shared" si="13"/>
        <v>11900</v>
      </c>
    </row>
    <row r="623" spans="1:44" x14ac:dyDescent="0.25">
      <c r="A623" s="16">
        <v>37164</v>
      </c>
      <c r="B623" s="1">
        <v>5709</v>
      </c>
      <c r="C623" s="13" t="str">
        <f t="shared" si="12"/>
        <v>11900</v>
      </c>
      <c r="D623" s="2"/>
      <c r="AR623" s="11" t="str">
        <f t="shared" si="13"/>
        <v>11900</v>
      </c>
    </row>
    <row r="624" spans="1:44" x14ac:dyDescent="0.25">
      <c r="A624" s="16">
        <v>37195</v>
      </c>
      <c r="B624" s="1">
        <v>5746</v>
      </c>
      <c r="C624" s="13" t="str">
        <f t="shared" si="12"/>
        <v>11900</v>
      </c>
      <c r="D624" s="2"/>
      <c r="AR624" s="11" t="str">
        <f t="shared" si="13"/>
        <v>11900</v>
      </c>
    </row>
    <row r="625" spans="1:44" x14ac:dyDescent="0.25">
      <c r="A625" s="16">
        <v>37225</v>
      </c>
      <c r="B625" s="1">
        <v>5881</v>
      </c>
      <c r="C625" s="13" t="str">
        <f t="shared" si="12"/>
        <v>11900</v>
      </c>
      <c r="D625" s="2"/>
      <c r="AR625" s="11" t="str">
        <f t="shared" si="13"/>
        <v>11900</v>
      </c>
    </row>
    <row r="626" spans="1:44" x14ac:dyDescent="0.25">
      <c r="A626" s="16">
        <v>37256</v>
      </c>
      <c r="B626" s="1">
        <v>5887</v>
      </c>
      <c r="C626" s="13" t="str">
        <f t="shared" si="12"/>
        <v>11900</v>
      </c>
      <c r="D626" s="2"/>
      <c r="AR626" s="11" t="str">
        <f t="shared" si="13"/>
        <v>11900</v>
      </c>
    </row>
    <row r="627" spans="1:44" x14ac:dyDescent="0.25">
      <c r="A627" s="16">
        <v>37287</v>
      </c>
      <c r="B627" s="1">
        <v>5873</v>
      </c>
      <c r="C627" s="13" t="str">
        <f t="shared" si="12"/>
        <v>11900</v>
      </c>
      <c r="D627" s="2"/>
      <c r="AR627" s="11" t="str">
        <f t="shared" si="13"/>
        <v>11900</v>
      </c>
    </row>
    <row r="628" spans="1:44" x14ac:dyDescent="0.25">
      <c r="A628" s="16">
        <v>37315</v>
      </c>
      <c r="B628" s="1">
        <v>5881</v>
      </c>
      <c r="C628" s="13" t="str">
        <f t="shared" si="12"/>
        <v>11900</v>
      </c>
      <c r="D628" s="2"/>
      <c r="AR628" s="11" t="str">
        <f t="shared" si="13"/>
        <v>11900</v>
      </c>
    </row>
    <row r="629" spans="1:44" x14ac:dyDescent="0.25">
      <c r="A629" s="16">
        <v>37346</v>
      </c>
      <c r="B629" s="1">
        <v>5886</v>
      </c>
      <c r="C629" s="13" t="str">
        <f t="shared" si="12"/>
        <v>11900</v>
      </c>
      <c r="D629" s="2"/>
      <c r="AR629" s="11" t="str">
        <f t="shared" si="13"/>
        <v>11900</v>
      </c>
    </row>
    <row r="630" spans="1:44" x14ac:dyDescent="0.25">
      <c r="A630" s="16">
        <v>37376</v>
      </c>
      <c r="B630" s="1">
        <v>5844</v>
      </c>
      <c r="C630" s="13" t="str">
        <f t="shared" si="12"/>
        <v>11900</v>
      </c>
      <c r="D630" s="2"/>
      <c r="AR630" s="11" t="str">
        <f t="shared" si="13"/>
        <v>11900</v>
      </c>
    </row>
    <row r="631" spans="1:44" x14ac:dyDescent="0.25">
      <c r="A631" s="16">
        <v>37407</v>
      </c>
      <c r="B631" s="1">
        <v>5905</v>
      </c>
      <c r="C631" s="13" t="str">
        <f t="shared" si="12"/>
        <v>11900</v>
      </c>
      <c r="D631" s="2"/>
      <c r="AR631" s="11" t="str">
        <f t="shared" si="13"/>
        <v>11900</v>
      </c>
    </row>
    <row r="632" spans="1:44" x14ac:dyDescent="0.25">
      <c r="A632" s="16">
        <v>37437</v>
      </c>
      <c r="B632" s="1">
        <v>5884</v>
      </c>
      <c r="C632" s="13" t="str">
        <f t="shared" si="12"/>
        <v>11900</v>
      </c>
      <c r="D632" s="2"/>
      <c r="AR632" s="11" t="str">
        <f t="shared" si="13"/>
        <v>11900</v>
      </c>
    </row>
    <row r="633" spans="1:44" x14ac:dyDescent="0.25">
      <c r="A633" s="16">
        <v>37468</v>
      </c>
      <c r="B633" s="1">
        <v>5751</v>
      </c>
      <c r="C633" s="13" t="str">
        <f t="shared" si="12"/>
        <v>11900</v>
      </c>
      <c r="D633" s="2"/>
      <c r="AR633" s="11" t="str">
        <f t="shared" si="13"/>
        <v>11900</v>
      </c>
    </row>
    <row r="634" spans="1:44" x14ac:dyDescent="0.25">
      <c r="A634" s="16">
        <v>37499</v>
      </c>
      <c r="B634" s="1">
        <v>5796</v>
      </c>
      <c r="C634" s="13" t="str">
        <f t="shared" si="12"/>
        <v>11900</v>
      </c>
      <c r="D634" s="2"/>
      <c r="AR634" s="11" t="str">
        <f t="shared" si="13"/>
        <v>11900</v>
      </c>
    </row>
    <row r="635" spans="1:44" x14ac:dyDescent="0.25">
      <c r="A635" s="16">
        <v>37529</v>
      </c>
      <c r="B635" s="1">
        <v>5411</v>
      </c>
      <c r="C635" s="13" t="str">
        <f t="shared" si="12"/>
        <v>11900</v>
      </c>
      <c r="D635" s="2"/>
      <c r="AR635" s="11" t="str">
        <f t="shared" si="13"/>
        <v>11900</v>
      </c>
    </row>
    <row r="636" spans="1:44" x14ac:dyDescent="0.25">
      <c r="A636" s="16">
        <v>37560</v>
      </c>
      <c r="B636" s="1">
        <v>5358</v>
      </c>
      <c r="C636" s="13" t="str">
        <f t="shared" si="12"/>
        <v>11900</v>
      </c>
      <c r="D636" s="2"/>
      <c r="AR636" s="11" t="str">
        <f t="shared" si="13"/>
        <v>11900</v>
      </c>
    </row>
    <row r="637" spans="1:44" x14ac:dyDescent="0.25">
      <c r="A637" s="16">
        <v>37590</v>
      </c>
      <c r="B637" s="1">
        <v>5624</v>
      </c>
      <c r="C637" s="13" t="str">
        <f t="shared" si="12"/>
        <v>11900</v>
      </c>
      <c r="D637" s="2"/>
      <c r="AR637" s="11" t="str">
        <f t="shared" si="13"/>
        <v>11900</v>
      </c>
    </row>
    <row r="638" spans="1:44" x14ac:dyDescent="0.25">
      <c r="A638" s="16">
        <v>37621</v>
      </c>
      <c r="B638" s="1">
        <v>5722</v>
      </c>
      <c r="C638" s="13" t="str">
        <f t="shared" si="12"/>
        <v>11900</v>
      </c>
      <c r="D638" s="2"/>
      <c r="AR638" s="11" t="str">
        <f t="shared" si="13"/>
        <v>11900</v>
      </c>
    </row>
    <row r="639" spans="1:44" x14ac:dyDescent="0.25">
      <c r="A639" s="16">
        <v>37652</v>
      </c>
      <c r="B639" s="1">
        <v>5755</v>
      </c>
      <c r="C639" s="13" t="str">
        <f t="shared" si="12"/>
        <v>11900</v>
      </c>
      <c r="D639" s="2"/>
      <c r="AR639" s="11" t="str">
        <f t="shared" si="13"/>
        <v>11900</v>
      </c>
    </row>
    <row r="640" spans="1:44" x14ac:dyDescent="0.25">
      <c r="A640" s="16">
        <v>37680</v>
      </c>
      <c r="B640" s="1">
        <v>5783</v>
      </c>
      <c r="C640" s="13" t="str">
        <f t="shared" si="12"/>
        <v>11900</v>
      </c>
      <c r="D640" s="2"/>
      <c r="AR640" s="11" t="str">
        <f t="shared" si="13"/>
        <v>11900</v>
      </c>
    </row>
    <row r="641" spans="1:44" x14ac:dyDescent="0.25">
      <c r="A641" s="16">
        <v>37711</v>
      </c>
      <c r="B641" s="1">
        <v>5803</v>
      </c>
      <c r="C641" s="13" t="str">
        <f t="shared" si="12"/>
        <v>11900</v>
      </c>
      <c r="D641" s="2"/>
      <c r="AR641" s="11" t="str">
        <f t="shared" si="13"/>
        <v>11900</v>
      </c>
    </row>
    <row r="642" spans="1:44" x14ac:dyDescent="0.25">
      <c r="A642" s="16">
        <v>37741</v>
      </c>
      <c r="B642" s="1">
        <v>5726</v>
      </c>
      <c r="C642" s="13" t="str">
        <f t="shared" si="12"/>
        <v>11900</v>
      </c>
      <c r="D642" s="2"/>
      <c r="AR642" s="11" t="str">
        <f t="shared" si="13"/>
        <v>11900</v>
      </c>
    </row>
    <row r="643" spans="1:44" x14ac:dyDescent="0.25">
      <c r="A643" s="16">
        <v>37772</v>
      </c>
      <c r="B643" s="1">
        <v>5663</v>
      </c>
      <c r="C643" s="13" t="str">
        <f t="shared" si="12"/>
        <v>11900</v>
      </c>
      <c r="D643" s="2"/>
      <c r="AR643" s="11" t="str">
        <f t="shared" si="13"/>
        <v>11900</v>
      </c>
    </row>
    <row r="644" spans="1:44" x14ac:dyDescent="0.25">
      <c r="A644" s="16">
        <v>37802</v>
      </c>
      <c r="B644" s="1">
        <v>5659</v>
      </c>
      <c r="C644" s="13" t="str">
        <f t="shared" si="12"/>
        <v>11900</v>
      </c>
      <c r="D644" s="2"/>
      <c r="AR644" s="11" t="str">
        <f t="shared" si="13"/>
        <v>11900</v>
      </c>
    </row>
    <row r="645" spans="1:44" x14ac:dyDescent="0.25">
      <c r="A645" s="16">
        <v>37833</v>
      </c>
      <c r="B645" s="1">
        <v>5498</v>
      </c>
      <c r="C645" s="13" t="str">
        <f t="shared" ref="C645:C708" si="14">MONTH(D645)&amp;YEAR(D645)</f>
        <v>11900</v>
      </c>
      <c r="D645" s="2"/>
      <c r="AR645" s="11" t="str">
        <f t="shared" ref="AR645:AR708" si="15">MONTH(AS645)&amp;YEAR(AS645)</f>
        <v>11900</v>
      </c>
    </row>
    <row r="646" spans="1:44" x14ac:dyDescent="0.25">
      <c r="A646" s="16">
        <v>37864</v>
      </c>
      <c r="B646" s="1">
        <v>5574</v>
      </c>
      <c r="C646" s="13" t="str">
        <f t="shared" si="14"/>
        <v>11900</v>
      </c>
      <c r="D646" s="2"/>
      <c r="AR646" s="11" t="str">
        <f t="shared" si="15"/>
        <v>11900</v>
      </c>
    </row>
    <row r="647" spans="1:44" x14ac:dyDescent="0.25">
      <c r="A647" s="16">
        <v>37894</v>
      </c>
      <c r="B647" s="1">
        <v>5609</v>
      </c>
      <c r="C647" s="13" t="str">
        <f t="shared" si="14"/>
        <v>11900</v>
      </c>
      <c r="D647" s="2"/>
      <c r="AR647" s="11" t="str">
        <f t="shared" si="15"/>
        <v>11900</v>
      </c>
    </row>
    <row r="648" spans="1:44" x14ac:dyDescent="0.25">
      <c r="A648" s="16">
        <v>37925</v>
      </c>
      <c r="B648" s="1">
        <v>5614</v>
      </c>
      <c r="C648" s="13" t="str">
        <f t="shared" si="14"/>
        <v>11900</v>
      </c>
      <c r="D648" s="2"/>
      <c r="AR648" s="11" t="str">
        <f t="shared" si="15"/>
        <v>11900</v>
      </c>
    </row>
    <row r="649" spans="1:44" x14ac:dyDescent="0.25">
      <c r="A649" s="16">
        <v>37955</v>
      </c>
      <c r="B649" s="1">
        <v>5547</v>
      </c>
      <c r="C649" s="13" t="str">
        <f t="shared" si="14"/>
        <v>11900</v>
      </c>
      <c r="D649" s="2"/>
      <c r="AR649" s="11" t="str">
        <f t="shared" si="15"/>
        <v>11900</v>
      </c>
    </row>
    <row r="650" spans="1:44" x14ac:dyDescent="0.25">
      <c r="A650" s="16">
        <v>37986</v>
      </c>
      <c r="B650" s="1">
        <v>5571</v>
      </c>
      <c r="C650" s="13" t="str">
        <f t="shared" si="14"/>
        <v>11900</v>
      </c>
      <c r="D650" s="2"/>
      <c r="AR650" s="11" t="str">
        <f t="shared" si="15"/>
        <v>11900</v>
      </c>
    </row>
    <row r="651" spans="1:44" x14ac:dyDescent="0.25">
      <c r="A651" s="16">
        <v>38017</v>
      </c>
      <c r="B651" s="1">
        <v>5585</v>
      </c>
      <c r="C651" s="13" t="str">
        <f t="shared" si="14"/>
        <v>11900</v>
      </c>
      <c r="D651" s="2"/>
      <c r="AR651" s="11" t="str">
        <f t="shared" si="15"/>
        <v>11900</v>
      </c>
    </row>
    <row r="652" spans="1:44" x14ac:dyDescent="0.25">
      <c r="A652" s="16">
        <v>38046</v>
      </c>
      <c r="B652" s="1">
        <v>5572</v>
      </c>
      <c r="C652" s="13" t="str">
        <f t="shared" si="14"/>
        <v>11900</v>
      </c>
      <c r="D652" s="2"/>
      <c r="AR652" s="11" t="str">
        <f t="shared" si="15"/>
        <v>11900</v>
      </c>
    </row>
    <row r="653" spans="1:44" x14ac:dyDescent="0.25">
      <c r="A653" s="16">
        <v>38077</v>
      </c>
      <c r="B653" s="1">
        <v>5617</v>
      </c>
      <c r="C653" s="13" t="str">
        <f t="shared" si="14"/>
        <v>11900</v>
      </c>
      <c r="D653" s="2"/>
      <c r="AR653" s="11" t="str">
        <f t="shared" si="15"/>
        <v>11900</v>
      </c>
    </row>
    <row r="654" spans="1:44" x14ac:dyDescent="0.25">
      <c r="A654" s="16">
        <v>38107</v>
      </c>
      <c r="B654" s="1">
        <v>5560</v>
      </c>
      <c r="C654" s="13" t="str">
        <f t="shared" si="14"/>
        <v>11900</v>
      </c>
      <c r="D654" s="2"/>
      <c r="AR654" s="11" t="str">
        <f t="shared" si="15"/>
        <v>11900</v>
      </c>
    </row>
    <row r="655" spans="1:44" x14ac:dyDescent="0.25">
      <c r="A655" s="16">
        <v>38138</v>
      </c>
      <c r="B655" s="1">
        <v>5556</v>
      </c>
      <c r="C655" s="13" t="str">
        <f t="shared" si="14"/>
        <v>11900</v>
      </c>
      <c r="D655" s="2"/>
      <c r="AR655" s="11" t="str">
        <f t="shared" si="15"/>
        <v>11900</v>
      </c>
    </row>
    <row r="656" spans="1:44" x14ac:dyDescent="0.25">
      <c r="A656" s="16">
        <v>38168</v>
      </c>
      <c r="B656" s="1">
        <v>5407</v>
      </c>
      <c r="C656" s="13" t="str">
        <f t="shared" si="14"/>
        <v>11900</v>
      </c>
      <c r="D656" s="2"/>
      <c r="AR656" s="11" t="str">
        <f t="shared" si="15"/>
        <v>11900</v>
      </c>
    </row>
    <row r="657" spans="1:44" x14ac:dyDescent="0.25">
      <c r="A657" s="16">
        <v>38199</v>
      </c>
      <c r="B657" s="1">
        <v>5484</v>
      </c>
      <c r="C657" s="13" t="str">
        <f t="shared" si="14"/>
        <v>11900</v>
      </c>
      <c r="D657" s="2"/>
      <c r="AR657" s="11" t="str">
        <f t="shared" si="15"/>
        <v>11900</v>
      </c>
    </row>
    <row r="658" spans="1:44" x14ac:dyDescent="0.25">
      <c r="A658" s="16">
        <v>38230</v>
      </c>
      <c r="B658" s="1">
        <v>5325</v>
      </c>
      <c r="C658" s="13" t="str">
        <f t="shared" si="14"/>
        <v>11900</v>
      </c>
      <c r="D658" s="2"/>
      <c r="AR658" s="11" t="str">
        <f t="shared" si="15"/>
        <v>11900</v>
      </c>
    </row>
    <row r="659" spans="1:44" x14ac:dyDescent="0.25">
      <c r="A659" s="16">
        <v>38260</v>
      </c>
      <c r="B659" s="1">
        <v>5081</v>
      </c>
      <c r="C659" s="13" t="str">
        <f t="shared" si="14"/>
        <v>11900</v>
      </c>
      <c r="D659" s="2"/>
      <c r="AR659" s="11" t="str">
        <f t="shared" si="15"/>
        <v>11900</v>
      </c>
    </row>
    <row r="660" spans="1:44" x14ac:dyDescent="0.25">
      <c r="A660" s="16">
        <v>38291</v>
      </c>
      <c r="B660" s="1">
        <v>5170</v>
      </c>
      <c r="C660" s="13" t="str">
        <f t="shared" si="14"/>
        <v>11900</v>
      </c>
      <c r="D660" s="2"/>
      <c r="AR660" s="11" t="str">
        <f t="shared" si="15"/>
        <v>11900</v>
      </c>
    </row>
    <row r="661" spans="1:44" x14ac:dyDescent="0.25">
      <c r="A661" s="16">
        <v>38321</v>
      </c>
      <c r="B661" s="1">
        <v>5423</v>
      </c>
      <c r="C661" s="13" t="str">
        <f t="shared" si="14"/>
        <v>11900</v>
      </c>
      <c r="D661" s="2"/>
      <c r="AR661" s="11" t="str">
        <f t="shared" si="15"/>
        <v>11900</v>
      </c>
    </row>
    <row r="662" spans="1:44" x14ac:dyDescent="0.25">
      <c r="A662" s="16">
        <v>38352</v>
      </c>
      <c r="B662" s="1">
        <v>5510</v>
      </c>
      <c r="C662" s="13" t="str">
        <f t="shared" si="14"/>
        <v>11900</v>
      </c>
      <c r="D662" s="2"/>
      <c r="AR662" s="11" t="str">
        <f t="shared" si="15"/>
        <v>11900</v>
      </c>
    </row>
    <row r="663" spans="1:44" x14ac:dyDescent="0.25">
      <c r="A663" s="16">
        <v>38383</v>
      </c>
      <c r="B663" s="1">
        <v>5446</v>
      </c>
      <c r="C663" s="13" t="str">
        <f t="shared" si="14"/>
        <v>11900</v>
      </c>
      <c r="D663" s="2"/>
      <c r="AR663" s="11" t="str">
        <f t="shared" si="15"/>
        <v>11900</v>
      </c>
    </row>
    <row r="664" spans="1:44" x14ac:dyDescent="0.25">
      <c r="A664" s="16">
        <v>38411</v>
      </c>
      <c r="B664" s="1">
        <v>5501</v>
      </c>
      <c r="C664" s="13" t="str">
        <f t="shared" si="14"/>
        <v>11900</v>
      </c>
      <c r="D664" s="2"/>
      <c r="AR664" s="11" t="str">
        <f t="shared" si="15"/>
        <v>11900</v>
      </c>
    </row>
    <row r="665" spans="1:44" x14ac:dyDescent="0.25">
      <c r="A665" s="16">
        <v>38442</v>
      </c>
      <c r="B665" s="1">
        <v>5601</v>
      </c>
      <c r="C665" s="13" t="str">
        <f t="shared" si="14"/>
        <v>11900</v>
      </c>
      <c r="D665" s="2"/>
      <c r="AR665" s="11" t="str">
        <f t="shared" si="15"/>
        <v>11900</v>
      </c>
    </row>
    <row r="666" spans="1:44" x14ac:dyDescent="0.25">
      <c r="A666" s="16">
        <v>38472</v>
      </c>
      <c r="B666" s="1">
        <v>5563</v>
      </c>
      <c r="C666" s="13" t="str">
        <f t="shared" si="14"/>
        <v>11900</v>
      </c>
      <c r="D666" s="2"/>
      <c r="AR666" s="11" t="str">
        <f t="shared" si="15"/>
        <v>11900</v>
      </c>
    </row>
    <row r="667" spans="1:44" x14ac:dyDescent="0.25">
      <c r="A667" s="16">
        <v>38503</v>
      </c>
      <c r="B667" s="1">
        <v>5596</v>
      </c>
      <c r="C667" s="13" t="str">
        <f t="shared" si="14"/>
        <v>11900</v>
      </c>
      <c r="D667" s="2"/>
      <c r="AR667" s="11" t="str">
        <f t="shared" si="15"/>
        <v>11900</v>
      </c>
    </row>
    <row r="668" spans="1:44" x14ac:dyDescent="0.25">
      <c r="A668" s="16">
        <v>38533</v>
      </c>
      <c r="B668" s="1">
        <v>5442</v>
      </c>
      <c r="C668" s="13" t="str">
        <f t="shared" si="14"/>
        <v>11900</v>
      </c>
      <c r="D668" s="2"/>
      <c r="AR668" s="11" t="str">
        <f t="shared" si="15"/>
        <v>11900</v>
      </c>
    </row>
    <row r="669" spans="1:44" x14ac:dyDescent="0.25">
      <c r="A669" s="16">
        <v>38564</v>
      </c>
      <c r="B669" s="1">
        <v>5253</v>
      </c>
      <c r="C669" s="13" t="str">
        <f t="shared" si="14"/>
        <v>11900</v>
      </c>
      <c r="D669" s="2"/>
      <c r="AR669" s="11" t="str">
        <f t="shared" si="15"/>
        <v>11900</v>
      </c>
    </row>
    <row r="670" spans="1:44" x14ac:dyDescent="0.25">
      <c r="A670" s="16">
        <v>38595</v>
      </c>
      <c r="B670" s="1">
        <v>5198</v>
      </c>
      <c r="C670" s="13" t="str">
        <f t="shared" si="14"/>
        <v>11900</v>
      </c>
      <c r="D670" s="2"/>
      <c r="AR670" s="11" t="str">
        <f t="shared" si="15"/>
        <v>11900</v>
      </c>
    </row>
    <row r="671" spans="1:44" x14ac:dyDescent="0.25">
      <c r="A671" s="16">
        <v>38625</v>
      </c>
      <c r="B671" s="1">
        <v>4214</v>
      </c>
      <c r="C671" s="13" t="str">
        <f t="shared" si="14"/>
        <v>11900</v>
      </c>
      <c r="D671" s="2"/>
      <c r="AR671" s="11" t="str">
        <f t="shared" si="15"/>
        <v>11900</v>
      </c>
    </row>
    <row r="672" spans="1:44" x14ac:dyDescent="0.25">
      <c r="A672" s="16">
        <v>38656</v>
      </c>
      <c r="B672" s="1">
        <v>4555</v>
      </c>
      <c r="C672" s="13" t="str">
        <f t="shared" si="14"/>
        <v>11900</v>
      </c>
      <c r="D672" s="2"/>
      <c r="AR672" s="11" t="str">
        <f t="shared" si="15"/>
        <v>11900</v>
      </c>
    </row>
    <row r="673" spans="1:44" x14ac:dyDescent="0.25">
      <c r="A673" s="16">
        <v>38686</v>
      </c>
      <c r="B673" s="1">
        <v>4857</v>
      </c>
      <c r="C673" s="13" t="str">
        <f t="shared" si="14"/>
        <v>11900</v>
      </c>
      <c r="D673" s="2"/>
      <c r="AR673" s="11" t="str">
        <f t="shared" si="15"/>
        <v>11900</v>
      </c>
    </row>
    <row r="674" spans="1:44" x14ac:dyDescent="0.25">
      <c r="A674" s="16">
        <v>38717</v>
      </c>
      <c r="B674" s="1">
        <v>4988</v>
      </c>
      <c r="C674" s="13" t="str">
        <f t="shared" si="14"/>
        <v>11900</v>
      </c>
      <c r="D674" s="2"/>
      <c r="AR674" s="11" t="str">
        <f t="shared" si="15"/>
        <v>11900</v>
      </c>
    </row>
    <row r="675" spans="1:44" x14ac:dyDescent="0.25">
      <c r="A675" s="16">
        <v>38748</v>
      </c>
      <c r="B675" s="1">
        <v>5048</v>
      </c>
      <c r="C675" s="13" t="str">
        <f t="shared" si="14"/>
        <v>11900</v>
      </c>
      <c r="D675" s="2"/>
      <c r="AR675" s="11" t="str">
        <f t="shared" si="15"/>
        <v>11900</v>
      </c>
    </row>
    <row r="676" spans="1:44" x14ac:dyDescent="0.25">
      <c r="A676" s="16">
        <v>38776</v>
      </c>
      <c r="B676" s="1">
        <v>5032</v>
      </c>
      <c r="C676" s="13" t="str">
        <f t="shared" si="14"/>
        <v>11900</v>
      </c>
      <c r="D676" s="2"/>
      <c r="AR676" s="11" t="str">
        <f t="shared" si="15"/>
        <v>11900</v>
      </c>
    </row>
    <row r="677" spans="1:44" x14ac:dyDescent="0.25">
      <c r="A677" s="16">
        <v>38807</v>
      </c>
      <c r="B677" s="1">
        <v>5027</v>
      </c>
      <c r="C677" s="13" t="str">
        <f t="shared" si="14"/>
        <v>11900</v>
      </c>
      <c r="D677" s="2"/>
      <c r="AR677" s="11" t="str">
        <f t="shared" si="15"/>
        <v>11900</v>
      </c>
    </row>
    <row r="678" spans="1:44" x14ac:dyDescent="0.25">
      <c r="A678" s="16">
        <v>38837</v>
      </c>
      <c r="B678" s="1">
        <v>5082</v>
      </c>
      <c r="C678" s="13" t="str">
        <f t="shared" si="14"/>
        <v>11900</v>
      </c>
      <c r="D678" s="2"/>
      <c r="AR678" s="11" t="str">
        <f t="shared" si="15"/>
        <v>11900</v>
      </c>
    </row>
    <row r="679" spans="1:44" x14ac:dyDescent="0.25">
      <c r="A679" s="16">
        <v>38868</v>
      </c>
      <c r="B679" s="1">
        <v>5151</v>
      </c>
      <c r="C679" s="13" t="str">
        <f t="shared" si="14"/>
        <v>11900</v>
      </c>
      <c r="D679" s="2"/>
      <c r="AR679" s="11" t="str">
        <f t="shared" si="15"/>
        <v>11900</v>
      </c>
    </row>
    <row r="680" spans="1:44" x14ac:dyDescent="0.25">
      <c r="A680" s="16">
        <v>38898</v>
      </c>
      <c r="B680" s="1">
        <v>5163</v>
      </c>
      <c r="C680" s="13" t="str">
        <f t="shared" si="14"/>
        <v>11900</v>
      </c>
      <c r="D680" s="2"/>
      <c r="AR680" s="11" t="str">
        <f t="shared" si="15"/>
        <v>11900</v>
      </c>
    </row>
    <row r="681" spans="1:44" x14ac:dyDescent="0.25">
      <c r="A681" s="16">
        <v>38929</v>
      </c>
      <c r="B681" s="1">
        <v>5094</v>
      </c>
      <c r="C681" s="13" t="str">
        <f t="shared" si="14"/>
        <v>11900</v>
      </c>
      <c r="D681" s="2"/>
      <c r="AR681" s="11" t="str">
        <f t="shared" si="15"/>
        <v>11900</v>
      </c>
    </row>
    <row r="682" spans="1:44" x14ac:dyDescent="0.25">
      <c r="A682" s="16">
        <v>38960</v>
      </c>
      <c r="B682" s="1">
        <v>5040</v>
      </c>
      <c r="C682" s="13" t="str">
        <f t="shared" si="14"/>
        <v>11900</v>
      </c>
      <c r="D682" s="2"/>
      <c r="AR682" s="11" t="str">
        <f t="shared" si="15"/>
        <v>11900</v>
      </c>
    </row>
    <row r="683" spans="1:44" x14ac:dyDescent="0.25">
      <c r="A683" s="16">
        <v>38990</v>
      </c>
      <c r="B683" s="1">
        <v>5031</v>
      </c>
      <c r="C683" s="13" t="str">
        <f t="shared" si="14"/>
        <v>11900</v>
      </c>
      <c r="D683" s="2"/>
      <c r="AR683" s="11" t="str">
        <f t="shared" si="15"/>
        <v>11900</v>
      </c>
    </row>
    <row r="684" spans="1:44" x14ac:dyDescent="0.25">
      <c r="A684" s="16">
        <v>39021</v>
      </c>
      <c r="B684" s="1">
        <v>5108</v>
      </c>
      <c r="C684" s="13" t="str">
        <f t="shared" si="14"/>
        <v>11900</v>
      </c>
      <c r="D684" s="2"/>
      <c r="AR684" s="11" t="str">
        <f t="shared" si="15"/>
        <v>11900</v>
      </c>
    </row>
    <row r="685" spans="1:44" x14ac:dyDescent="0.25">
      <c r="A685" s="16">
        <v>39051</v>
      </c>
      <c r="B685" s="1">
        <v>5064</v>
      </c>
      <c r="C685" s="13" t="str">
        <f t="shared" si="14"/>
        <v>11900</v>
      </c>
      <c r="D685" s="2"/>
      <c r="AR685" s="11" t="str">
        <f t="shared" si="15"/>
        <v>11900</v>
      </c>
    </row>
    <row r="686" spans="1:44" x14ac:dyDescent="0.25">
      <c r="A686" s="16">
        <v>39082</v>
      </c>
      <c r="B686" s="1">
        <v>5186</v>
      </c>
      <c r="C686" s="13" t="str">
        <f t="shared" si="14"/>
        <v>11900</v>
      </c>
      <c r="D686" s="2"/>
      <c r="AR686" s="11" t="str">
        <f t="shared" si="15"/>
        <v>11900</v>
      </c>
    </row>
    <row r="687" spans="1:44" x14ac:dyDescent="0.25">
      <c r="A687" s="16">
        <v>39113</v>
      </c>
      <c r="B687" s="1">
        <v>5108</v>
      </c>
      <c r="C687" s="13" t="str">
        <f t="shared" si="14"/>
        <v>11900</v>
      </c>
      <c r="D687" s="2"/>
      <c r="AR687" s="11" t="str">
        <f t="shared" si="15"/>
        <v>11900</v>
      </c>
    </row>
    <row r="688" spans="1:44" x14ac:dyDescent="0.25">
      <c r="A688" s="16">
        <v>39141</v>
      </c>
      <c r="B688" s="1">
        <v>5118</v>
      </c>
      <c r="C688" s="13" t="str">
        <f t="shared" si="14"/>
        <v>11900</v>
      </c>
      <c r="D688" s="2"/>
      <c r="AR688" s="11" t="str">
        <f t="shared" si="15"/>
        <v>11900</v>
      </c>
    </row>
    <row r="689" spans="1:44" x14ac:dyDescent="0.25">
      <c r="A689" s="16">
        <v>39172</v>
      </c>
      <c r="B689" s="1">
        <v>5119</v>
      </c>
      <c r="C689" s="13" t="str">
        <f t="shared" si="14"/>
        <v>11900</v>
      </c>
      <c r="D689" s="2"/>
      <c r="AR689" s="11" t="str">
        <f t="shared" si="15"/>
        <v>11900</v>
      </c>
    </row>
    <row r="690" spans="1:44" x14ac:dyDescent="0.25">
      <c r="A690" s="16">
        <v>39202</v>
      </c>
      <c r="B690" s="1">
        <v>5180</v>
      </c>
      <c r="C690" s="13" t="str">
        <f t="shared" si="14"/>
        <v>11900</v>
      </c>
      <c r="D690" s="2"/>
      <c r="AR690" s="11" t="str">
        <f t="shared" si="15"/>
        <v>11900</v>
      </c>
    </row>
    <row r="691" spans="1:44" x14ac:dyDescent="0.25">
      <c r="A691" s="16">
        <v>39233</v>
      </c>
      <c r="B691" s="1">
        <v>5211</v>
      </c>
      <c r="C691" s="13" t="str">
        <f t="shared" si="14"/>
        <v>11900</v>
      </c>
      <c r="D691" s="2"/>
      <c r="AR691" s="11" t="str">
        <f t="shared" si="15"/>
        <v>11900</v>
      </c>
    </row>
    <row r="692" spans="1:44" x14ac:dyDescent="0.25">
      <c r="A692" s="16">
        <v>39263</v>
      </c>
      <c r="B692" s="1">
        <v>5075</v>
      </c>
      <c r="C692" s="13" t="str">
        <f t="shared" si="14"/>
        <v>11900</v>
      </c>
      <c r="D692" s="2"/>
      <c r="AR692" s="11" t="str">
        <f t="shared" si="15"/>
        <v>11900</v>
      </c>
    </row>
    <row r="693" spans="1:44" x14ac:dyDescent="0.25">
      <c r="A693" s="16">
        <v>39294</v>
      </c>
      <c r="B693" s="1">
        <v>5038</v>
      </c>
      <c r="C693" s="13" t="str">
        <f t="shared" si="14"/>
        <v>11900</v>
      </c>
      <c r="D693" s="2"/>
      <c r="AR693" s="11" t="str">
        <f t="shared" si="15"/>
        <v>11900</v>
      </c>
    </row>
    <row r="694" spans="1:44" x14ac:dyDescent="0.25">
      <c r="A694" s="16">
        <v>39325</v>
      </c>
      <c r="B694" s="1">
        <v>4970</v>
      </c>
      <c r="C694" s="13" t="str">
        <f t="shared" si="14"/>
        <v>11900</v>
      </c>
      <c r="D694" s="2"/>
      <c r="AR694" s="11" t="str">
        <f t="shared" si="15"/>
        <v>11900</v>
      </c>
    </row>
    <row r="695" spans="1:44" x14ac:dyDescent="0.25">
      <c r="A695" s="16">
        <v>39355</v>
      </c>
      <c r="B695" s="1">
        <v>4902</v>
      </c>
      <c r="C695" s="13" t="str">
        <f t="shared" si="14"/>
        <v>11900</v>
      </c>
      <c r="D695" s="2"/>
      <c r="AR695" s="11" t="str">
        <f t="shared" si="15"/>
        <v>11900</v>
      </c>
    </row>
    <row r="696" spans="1:44" x14ac:dyDescent="0.25">
      <c r="A696" s="16">
        <v>39386</v>
      </c>
      <c r="B696" s="1">
        <v>5022</v>
      </c>
      <c r="C696" s="13" t="str">
        <f t="shared" si="14"/>
        <v>11900</v>
      </c>
      <c r="D696" s="2"/>
      <c r="AR696" s="11" t="str">
        <f t="shared" si="15"/>
        <v>11900</v>
      </c>
    </row>
    <row r="697" spans="1:44" x14ac:dyDescent="0.25">
      <c r="A697" s="16">
        <v>39416</v>
      </c>
      <c r="B697" s="1">
        <v>5034</v>
      </c>
      <c r="C697" s="13" t="str">
        <f t="shared" si="14"/>
        <v>11900</v>
      </c>
      <c r="D697" s="2"/>
      <c r="AR697" s="11" t="str">
        <f t="shared" si="15"/>
        <v>11900</v>
      </c>
    </row>
    <row r="698" spans="1:44" x14ac:dyDescent="0.25">
      <c r="A698" s="16">
        <v>39447</v>
      </c>
      <c r="B698" s="1">
        <v>5111</v>
      </c>
      <c r="C698" s="13" t="str">
        <f t="shared" si="14"/>
        <v>11900</v>
      </c>
      <c r="D698" s="2"/>
      <c r="AR698" s="11" t="str">
        <f t="shared" si="15"/>
        <v>11900</v>
      </c>
    </row>
    <row r="699" spans="1:44" x14ac:dyDescent="0.25">
      <c r="A699" s="16">
        <v>39478</v>
      </c>
      <c r="B699" s="1">
        <v>5115</v>
      </c>
      <c r="C699" s="13" t="str">
        <f t="shared" si="14"/>
        <v>11900</v>
      </c>
      <c r="D699" s="2"/>
      <c r="AR699" s="11" t="str">
        <f t="shared" si="15"/>
        <v>11900</v>
      </c>
    </row>
    <row r="700" spans="1:44" x14ac:dyDescent="0.25">
      <c r="A700" s="16">
        <v>39507</v>
      </c>
      <c r="B700" s="1">
        <v>5148</v>
      </c>
      <c r="C700" s="13" t="str">
        <f t="shared" si="14"/>
        <v>11900</v>
      </c>
      <c r="D700" s="2"/>
      <c r="AR700" s="11" t="str">
        <f t="shared" si="15"/>
        <v>11900</v>
      </c>
    </row>
    <row r="701" spans="1:44" x14ac:dyDescent="0.25">
      <c r="A701" s="16">
        <v>39538</v>
      </c>
      <c r="B701" s="1">
        <v>5189</v>
      </c>
      <c r="C701" s="13" t="str">
        <f t="shared" si="14"/>
        <v>11900</v>
      </c>
      <c r="D701" s="2"/>
      <c r="AR701" s="11" t="str">
        <f t="shared" si="15"/>
        <v>11900</v>
      </c>
    </row>
    <row r="702" spans="1:44" x14ac:dyDescent="0.25">
      <c r="A702" s="16">
        <v>39568</v>
      </c>
      <c r="B702" s="1">
        <v>5180</v>
      </c>
      <c r="C702" s="13" t="str">
        <f t="shared" si="14"/>
        <v>11900</v>
      </c>
      <c r="D702" s="2"/>
      <c r="AR702" s="11" t="str">
        <f t="shared" si="15"/>
        <v>11900</v>
      </c>
    </row>
    <row r="703" spans="1:44" x14ac:dyDescent="0.25">
      <c r="A703" s="16">
        <v>39599</v>
      </c>
      <c r="B703" s="1">
        <v>5143</v>
      </c>
      <c r="C703" s="13" t="str">
        <f t="shared" si="14"/>
        <v>11900</v>
      </c>
      <c r="D703" s="2"/>
      <c r="AR703" s="11" t="str">
        <f t="shared" si="15"/>
        <v>11900</v>
      </c>
    </row>
    <row r="704" spans="1:44" x14ac:dyDescent="0.25">
      <c r="A704" s="16">
        <v>39629</v>
      </c>
      <c r="B704" s="1">
        <v>5138</v>
      </c>
      <c r="C704" s="13" t="str">
        <f t="shared" si="14"/>
        <v>11900</v>
      </c>
      <c r="D704" s="2"/>
      <c r="AR704" s="11" t="str">
        <f t="shared" si="15"/>
        <v>11900</v>
      </c>
    </row>
    <row r="705" spans="1:44" x14ac:dyDescent="0.25">
      <c r="A705" s="16">
        <v>39660</v>
      </c>
      <c r="B705" s="1">
        <v>5177</v>
      </c>
      <c r="C705" s="13" t="str">
        <f t="shared" si="14"/>
        <v>11900</v>
      </c>
      <c r="D705" s="2"/>
      <c r="AR705" s="11" t="str">
        <f t="shared" si="15"/>
        <v>11900</v>
      </c>
    </row>
    <row r="706" spans="1:44" x14ac:dyDescent="0.25">
      <c r="A706" s="16">
        <v>39691</v>
      </c>
      <c r="B706" s="1">
        <v>5003</v>
      </c>
      <c r="C706" s="13" t="str">
        <f t="shared" si="14"/>
        <v>11900</v>
      </c>
      <c r="D706" s="2"/>
      <c r="AR706" s="11" t="str">
        <f t="shared" si="15"/>
        <v>11900</v>
      </c>
    </row>
    <row r="707" spans="1:44" x14ac:dyDescent="0.25">
      <c r="A707" s="16">
        <v>39721</v>
      </c>
      <c r="B707" s="1">
        <v>3974</v>
      </c>
      <c r="C707" s="13" t="str">
        <f t="shared" si="14"/>
        <v>11900</v>
      </c>
      <c r="D707" s="2"/>
      <c r="AR707" s="11" t="str">
        <f t="shared" si="15"/>
        <v>11900</v>
      </c>
    </row>
    <row r="708" spans="1:44" x14ac:dyDescent="0.25">
      <c r="A708" s="16">
        <v>39752</v>
      </c>
      <c r="B708" s="1">
        <v>4738</v>
      </c>
      <c r="C708" s="13" t="str">
        <f t="shared" si="14"/>
        <v>11900</v>
      </c>
      <c r="D708" s="2"/>
      <c r="AR708" s="11" t="str">
        <f t="shared" si="15"/>
        <v>11900</v>
      </c>
    </row>
    <row r="709" spans="1:44" x14ac:dyDescent="0.25">
      <c r="A709" s="16">
        <v>39782</v>
      </c>
      <c r="B709" s="1">
        <v>5078</v>
      </c>
      <c r="C709" s="13" t="str">
        <f t="shared" ref="C709:C772" si="16">MONTH(D709)&amp;YEAR(D709)</f>
        <v>11900</v>
      </c>
      <c r="D709" s="2"/>
      <c r="AR709" s="11" t="str">
        <f t="shared" ref="AR709:AR772" si="17">MONTH(AS709)&amp;YEAR(AS709)</f>
        <v>11900</v>
      </c>
    </row>
    <row r="710" spans="1:44" x14ac:dyDescent="0.25">
      <c r="A710" s="16">
        <v>39813</v>
      </c>
      <c r="B710" s="1">
        <v>5103</v>
      </c>
      <c r="C710" s="13" t="str">
        <f t="shared" si="16"/>
        <v>11900</v>
      </c>
      <c r="D710" s="2"/>
      <c r="AR710" s="11" t="str">
        <f t="shared" si="17"/>
        <v>11900</v>
      </c>
    </row>
    <row r="711" spans="1:44" x14ac:dyDescent="0.25">
      <c r="A711" s="16">
        <v>39844</v>
      </c>
      <c r="B711" s="1">
        <v>5144</v>
      </c>
      <c r="C711" s="13" t="str">
        <f t="shared" si="16"/>
        <v>11900</v>
      </c>
      <c r="D711" s="2"/>
      <c r="AR711" s="11" t="str">
        <f t="shared" si="17"/>
        <v>11900</v>
      </c>
    </row>
    <row r="712" spans="1:44" x14ac:dyDescent="0.25">
      <c r="A712" s="16">
        <v>39872</v>
      </c>
      <c r="B712" s="1">
        <v>5239</v>
      </c>
      <c r="C712" s="13" t="str">
        <f t="shared" si="16"/>
        <v>11900</v>
      </c>
      <c r="D712" s="2"/>
      <c r="AR712" s="11" t="str">
        <f t="shared" si="17"/>
        <v>11900</v>
      </c>
    </row>
    <row r="713" spans="1:44" x14ac:dyDescent="0.25">
      <c r="A713" s="16">
        <v>39903</v>
      </c>
      <c r="B713" s="1">
        <v>5219</v>
      </c>
      <c r="C713" s="13" t="str">
        <f t="shared" si="16"/>
        <v>11900</v>
      </c>
      <c r="D713" s="2"/>
      <c r="AR713" s="11" t="str">
        <f t="shared" si="17"/>
        <v>11900</v>
      </c>
    </row>
    <row r="714" spans="1:44" x14ac:dyDescent="0.25">
      <c r="A714" s="16">
        <v>39933</v>
      </c>
      <c r="B714" s="1">
        <v>5278</v>
      </c>
      <c r="C714" s="13" t="str">
        <f t="shared" si="16"/>
        <v>11900</v>
      </c>
      <c r="D714" s="2"/>
      <c r="AR714" s="11" t="str">
        <f t="shared" si="17"/>
        <v>11900</v>
      </c>
    </row>
    <row r="715" spans="1:44" x14ac:dyDescent="0.25">
      <c r="A715" s="16">
        <v>39964</v>
      </c>
      <c r="B715" s="1">
        <v>5377</v>
      </c>
      <c r="C715" s="13" t="str">
        <f t="shared" si="16"/>
        <v>11900</v>
      </c>
      <c r="D715" s="2"/>
      <c r="AR715" s="11" t="str">
        <f t="shared" si="17"/>
        <v>11900</v>
      </c>
    </row>
    <row r="716" spans="1:44" x14ac:dyDescent="0.25">
      <c r="A716" s="16">
        <v>39994</v>
      </c>
      <c r="B716" s="1">
        <v>5269</v>
      </c>
      <c r="C716" s="13" t="str">
        <f t="shared" si="16"/>
        <v>11900</v>
      </c>
      <c r="D716" s="2"/>
      <c r="AR716" s="11" t="str">
        <f t="shared" si="17"/>
        <v>11900</v>
      </c>
    </row>
    <row r="717" spans="1:44" x14ac:dyDescent="0.25">
      <c r="A717" s="16">
        <v>40025</v>
      </c>
      <c r="B717" s="1">
        <v>5398</v>
      </c>
      <c r="C717" s="13" t="str">
        <f t="shared" si="16"/>
        <v>11900</v>
      </c>
      <c r="D717" s="2"/>
      <c r="AR717" s="11" t="str">
        <f t="shared" si="17"/>
        <v>11900</v>
      </c>
    </row>
    <row r="718" spans="1:44" x14ac:dyDescent="0.25">
      <c r="A718" s="16">
        <v>40056</v>
      </c>
      <c r="B718" s="1">
        <v>5418</v>
      </c>
      <c r="C718" s="13" t="str">
        <f t="shared" si="16"/>
        <v>11900</v>
      </c>
      <c r="D718" s="2"/>
      <c r="AR718" s="11" t="str">
        <f t="shared" si="17"/>
        <v>11900</v>
      </c>
    </row>
    <row r="719" spans="1:44" x14ac:dyDescent="0.25">
      <c r="A719" s="16">
        <v>40086</v>
      </c>
      <c r="B719" s="1">
        <v>5559</v>
      </c>
      <c r="C719" s="13" t="str">
        <f t="shared" si="16"/>
        <v>11900</v>
      </c>
      <c r="D719" s="2"/>
      <c r="AR719" s="11" t="str">
        <f t="shared" si="17"/>
        <v>11900</v>
      </c>
    </row>
    <row r="720" spans="1:44" x14ac:dyDescent="0.25">
      <c r="A720" s="16">
        <v>40117</v>
      </c>
      <c r="B720" s="1">
        <v>5524</v>
      </c>
      <c r="C720" s="13" t="str">
        <f t="shared" si="16"/>
        <v>11900</v>
      </c>
      <c r="D720" s="2"/>
      <c r="AR720" s="11" t="str">
        <f t="shared" si="17"/>
        <v>11900</v>
      </c>
    </row>
    <row r="721" spans="1:44" x14ac:dyDescent="0.25">
      <c r="A721" s="16">
        <v>40147</v>
      </c>
      <c r="B721" s="1">
        <v>5395</v>
      </c>
      <c r="C721" s="13" t="str">
        <f t="shared" si="16"/>
        <v>11900</v>
      </c>
      <c r="D721" s="2"/>
      <c r="AR721" s="11" t="str">
        <f t="shared" si="17"/>
        <v>11900</v>
      </c>
    </row>
    <row r="722" spans="1:44" x14ac:dyDescent="0.25">
      <c r="A722" s="16">
        <v>40178</v>
      </c>
      <c r="B722" s="1">
        <v>5452</v>
      </c>
      <c r="C722" s="13" t="str">
        <f t="shared" si="16"/>
        <v>11900</v>
      </c>
      <c r="D722" s="2"/>
      <c r="AR722" s="11" t="str">
        <f t="shared" si="17"/>
        <v>11900</v>
      </c>
    </row>
    <row r="723" spans="1:44" x14ac:dyDescent="0.25">
      <c r="A723" s="16">
        <v>40209</v>
      </c>
      <c r="B723" s="1">
        <v>5404</v>
      </c>
      <c r="C723" s="13" t="str">
        <f t="shared" si="16"/>
        <v>11900</v>
      </c>
      <c r="D723" s="2"/>
      <c r="AR723" s="11" t="str">
        <f t="shared" si="17"/>
        <v>11900</v>
      </c>
    </row>
    <row r="724" spans="1:44" x14ac:dyDescent="0.25">
      <c r="A724" s="16">
        <v>40237</v>
      </c>
      <c r="B724" s="1">
        <v>5553</v>
      </c>
      <c r="C724" s="13" t="str">
        <f t="shared" si="16"/>
        <v>11900</v>
      </c>
      <c r="D724" s="2"/>
      <c r="AR724" s="11" t="str">
        <f t="shared" si="17"/>
        <v>11900</v>
      </c>
    </row>
    <row r="725" spans="1:44" x14ac:dyDescent="0.25">
      <c r="A725" s="16">
        <v>40268</v>
      </c>
      <c r="B725" s="1">
        <v>5515</v>
      </c>
      <c r="C725" s="13" t="str">
        <f t="shared" si="16"/>
        <v>11900</v>
      </c>
      <c r="D725" s="2"/>
      <c r="AR725" s="11" t="str">
        <f t="shared" si="17"/>
        <v>11900</v>
      </c>
    </row>
    <row r="726" spans="1:44" x14ac:dyDescent="0.25">
      <c r="A726" s="16">
        <v>40298</v>
      </c>
      <c r="B726" s="1">
        <v>5392</v>
      </c>
      <c r="C726" s="13" t="str">
        <f t="shared" si="16"/>
        <v>11900</v>
      </c>
      <c r="D726" s="2"/>
      <c r="AR726" s="11" t="str">
        <f t="shared" si="17"/>
        <v>11900</v>
      </c>
    </row>
    <row r="727" spans="1:44" x14ac:dyDescent="0.25">
      <c r="A727" s="16">
        <v>40329</v>
      </c>
      <c r="B727" s="1">
        <v>5401</v>
      </c>
      <c r="C727" s="13" t="str">
        <f t="shared" si="16"/>
        <v>11900</v>
      </c>
      <c r="D727" s="2"/>
      <c r="AR727" s="11" t="str">
        <f t="shared" si="17"/>
        <v>11900</v>
      </c>
    </row>
    <row r="728" spans="1:44" x14ac:dyDescent="0.25">
      <c r="A728" s="16">
        <v>40359</v>
      </c>
      <c r="B728" s="1">
        <v>5380</v>
      </c>
      <c r="C728" s="13" t="str">
        <f t="shared" si="16"/>
        <v>11900</v>
      </c>
      <c r="D728" s="2"/>
      <c r="AR728" s="11" t="str">
        <f t="shared" si="17"/>
        <v>11900</v>
      </c>
    </row>
    <row r="729" spans="1:44" x14ac:dyDescent="0.25">
      <c r="A729" s="16">
        <v>40390</v>
      </c>
      <c r="B729" s="1">
        <v>5298</v>
      </c>
      <c r="C729" s="13" t="str">
        <f t="shared" si="16"/>
        <v>11900</v>
      </c>
      <c r="D729" s="2"/>
      <c r="AR729" s="11" t="str">
        <f t="shared" si="17"/>
        <v>11900</v>
      </c>
    </row>
    <row r="730" spans="1:44" x14ac:dyDescent="0.25">
      <c r="A730" s="16">
        <v>40421</v>
      </c>
      <c r="B730" s="1">
        <v>5447</v>
      </c>
      <c r="C730" s="13" t="str">
        <f t="shared" si="16"/>
        <v>11900</v>
      </c>
      <c r="D730" s="2"/>
      <c r="AR730" s="11" t="str">
        <f t="shared" si="17"/>
        <v>11900</v>
      </c>
    </row>
    <row r="731" spans="1:44" x14ac:dyDescent="0.25">
      <c r="A731" s="16">
        <v>40451</v>
      </c>
      <c r="B731" s="1">
        <v>5616</v>
      </c>
      <c r="C731" s="13" t="str">
        <f t="shared" si="16"/>
        <v>11900</v>
      </c>
      <c r="D731" s="2"/>
      <c r="AR731" s="11" t="str">
        <f t="shared" si="17"/>
        <v>11900</v>
      </c>
    </row>
    <row r="732" spans="1:44" x14ac:dyDescent="0.25">
      <c r="A732" s="16">
        <v>40482</v>
      </c>
      <c r="B732" s="1">
        <v>5631</v>
      </c>
      <c r="C732" s="13" t="str">
        <f t="shared" si="16"/>
        <v>11900</v>
      </c>
      <c r="D732" s="2"/>
      <c r="AR732" s="11" t="str">
        <f t="shared" si="17"/>
        <v>11900</v>
      </c>
    </row>
    <row r="733" spans="1:44" x14ac:dyDescent="0.25">
      <c r="A733" s="16">
        <v>40512</v>
      </c>
      <c r="B733" s="1">
        <v>5576</v>
      </c>
      <c r="C733" s="13" t="str">
        <f t="shared" si="16"/>
        <v>11900</v>
      </c>
      <c r="D733" s="2"/>
      <c r="AR733" s="11" t="str">
        <f t="shared" si="17"/>
        <v>11900</v>
      </c>
    </row>
    <row r="734" spans="1:44" x14ac:dyDescent="0.25">
      <c r="A734" s="16">
        <v>40543</v>
      </c>
      <c r="B734" s="1">
        <v>5607</v>
      </c>
      <c r="C734" s="13" t="str">
        <f t="shared" si="16"/>
        <v>11900</v>
      </c>
      <c r="D734" s="2"/>
      <c r="AR734" s="11" t="str">
        <f t="shared" si="17"/>
        <v>11900</v>
      </c>
    </row>
    <row r="735" spans="1:44" x14ac:dyDescent="0.25">
      <c r="A735" s="16">
        <v>40574</v>
      </c>
      <c r="B735" s="1">
        <v>5497</v>
      </c>
      <c r="C735" s="13" t="str">
        <f t="shared" si="16"/>
        <v>11900</v>
      </c>
      <c r="D735" s="2"/>
      <c r="AR735" s="11" t="str">
        <f t="shared" si="17"/>
        <v>11900</v>
      </c>
    </row>
    <row r="736" spans="1:44" x14ac:dyDescent="0.25">
      <c r="A736" s="16">
        <v>40602</v>
      </c>
      <c r="B736" s="1">
        <v>5406</v>
      </c>
      <c r="C736" s="13" t="str">
        <f t="shared" si="16"/>
        <v>11900</v>
      </c>
      <c r="D736" s="2"/>
      <c r="AR736" s="11" t="str">
        <f t="shared" si="17"/>
        <v>11900</v>
      </c>
    </row>
    <row r="737" spans="1:44" x14ac:dyDescent="0.25">
      <c r="A737" s="16">
        <v>40633</v>
      </c>
      <c r="B737" s="1">
        <v>5618</v>
      </c>
      <c r="C737" s="13" t="str">
        <f t="shared" si="16"/>
        <v>11900</v>
      </c>
      <c r="D737" s="2"/>
      <c r="AR737" s="11" t="str">
        <f t="shared" si="17"/>
        <v>11900</v>
      </c>
    </row>
    <row r="738" spans="1:44" x14ac:dyDescent="0.25">
      <c r="A738" s="16">
        <v>40663</v>
      </c>
      <c r="B738" s="1">
        <v>5562</v>
      </c>
      <c r="C738" s="13" t="str">
        <f t="shared" si="16"/>
        <v>11900</v>
      </c>
      <c r="D738" s="2"/>
      <c r="AR738" s="11" t="str">
        <f t="shared" si="17"/>
        <v>11900</v>
      </c>
    </row>
    <row r="739" spans="1:44" x14ac:dyDescent="0.25">
      <c r="A739" s="16">
        <v>40694</v>
      </c>
      <c r="B739" s="1">
        <v>5625</v>
      </c>
      <c r="C739" s="13" t="str">
        <f t="shared" si="16"/>
        <v>11900</v>
      </c>
      <c r="D739" s="2"/>
      <c r="AR739" s="11" t="str">
        <f t="shared" si="17"/>
        <v>11900</v>
      </c>
    </row>
    <row r="740" spans="1:44" x14ac:dyDescent="0.25">
      <c r="A740" s="16">
        <v>40724</v>
      </c>
      <c r="B740" s="1">
        <v>5589</v>
      </c>
      <c r="C740" s="13" t="str">
        <f t="shared" si="16"/>
        <v>11900</v>
      </c>
      <c r="D740" s="2"/>
      <c r="AR740" s="11" t="str">
        <f t="shared" si="17"/>
        <v>11900</v>
      </c>
    </row>
    <row r="741" spans="1:44" x14ac:dyDescent="0.25">
      <c r="A741" s="16">
        <v>40755</v>
      </c>
      <c r="B741" s="1">
        <v>5440</v>
      </c>
      <c r="C741" s="13" t="str">
        <f t="shared" si="16"/>
        <v>11900</v>
      </c>
      <c r="D741" s="2"/>
      <c r="AR741" s="11" t="str">
        <f t="shared" si="17"/>
        <v>11900</v>
      </c>
    </row>
    <row r="742" spans="1:44" x14ac:dyDescent="0.25">
      <c r="A742" s="16">
        <v>40786</v>
      </c>
      <c r="B742" s="1">
        <v>5665</v>
      </c>
      <c r="C742" s="13" t="str">
        <f t="shared" si="16"/>
        <v>11900</v>
      </c>
      <c r="D742" s="2"/>
      <c r="AR742" s="11" t="str">
        <f t="shared" si="17"/>
        <v>11900</v>
      </c>
    </row>
    <row r="743" spans="1:44" x14ac:dyDescent="0.25">
      <c r="A743" s="16">
        <v>40816</v>
      </c>
      <c r="B743" s="1">
        <v>5614</v>
      </c>
      <c r="C743" s="13" t="str">
        <f t="shared" si="16"/>
        <v>11900</v>
      </c>
      <c r="D743" s="2"/>
      <c r="AR743" s="11" t="str">
        <f t="shared" si="17"/>
        <v>11900</v>
      </c>
    </row>
    <row r="744" spans="1:44" x14ac:dyDescent="0.25">
      <c r="A744" s="16">
        <v>40847</v>
      </c>
      <c r="B744" s="1">
        <v>5902</v>
      </c>
      <c r="C744" s="13" t="str">
        <f t="shared" si="16"/>
        <v>11900</v>
      </c>
      <c r="D744" s="2"/>
      <c r="AR744" s="11" t="str">
        <f t="shared" si="17"/>
        <v>11900</v>
      </c>
    </row>
    <row r="745" spans="1:44" x14ac:dyDescent="0.25">
      <c r="A745" s="16">
        <v>40877</v>
      </c>
      <c r="B745" s="1">
        <v>6039</v>
      </c>
      <c r="C745" s="13" t="str">
        <f t="shared" si="16"/>
        <v>11900</v>
      </c>
      <c r="D745" s="2"/>
      <c r="AR745" s="11" t="str">
        <f t="shared" si="17"/>
        <v>11900</v>
      </c>
    </row>
    <row r="746" spans="1:44" x14ac:dyDescent="0.25">
      <c r="A746" s="16">
        <v>40908</v>
      </c>
      <c r="B746" s="1">
        <v>6112</v>
      </c>
      <c r="C746" s="13" t="str">
        <f t="shared" si="16"/>
        <v>11900</v>
      </c>
      <c r="D746" s="2"/>
      <c r="AR746" s="11" t="str">
        <f t="shared" si="17"/>
        <v>11900</v>
      </c>
    </row>
    <row r="747" spans="1:44" x14ac:dyDescent="0.25">
      <c r="A747" s="16">
        <v>40939</v>
      </c>
      <c r="B747" s="1">
        <v>6177</v>
      </c>
      <c r="C747" s="13" t="str">
        <f t="shared" si="16"/>
        <v>11900</v>
      </c>
      <c r="D747" s="2"/>
      <c r="AR747" s="11" t="str">
        <f t="shared" si="17"/>
        <v>11900</v>
      </c>
    </row>
    <row r="748" spans="1:44" x14ac:dyDescent="0.25">
      <c r="A748" s="16">
        <v>40968</v>
      </c>
      <c r="B748" s="1">
        <v>6268</v>
      </c>
      <c r="C748" s="13" t="str">
        <f t="shared" si="16"/>
        <v>11900</v>
      </c>
      <c r="D748" s="2"/>
      <c r="AR748" s="11" t="str">
        <f t="shared" si="17"/>
        <v>11900</v>
      </c>
    </row>
    <row r="749" spans="1:44" x14ac:dyDescent="0.25">
      <c r="A749" s="16">
        <v>40999</v>
      </c>
      <c r="B749" s="1">
        <v>6327</v>
      </c>
      <c r="C749" s="13" t="str">
        <f t="shared" si="16"/>
        <v>11900</v>
      </c>
      <c r="D749" s="2"/>
      <c r="AR749" s="11" t="str">
        <f t="shared" si="17"/>
        <v>11900</v>
      </c>
    </row>
    <row r="750" spans="1:44" x14ac:dyDescent="0.25">
      <c r="A750" s="16">
        <v>41029</v>
      </c>
      <c r="B750" s="1">
        <v>6320</v>
      </c>
      <c r="C750" s="13" t="str">
        <f t="shared" si="16"/>
        <v>11900</v>
      </c>
      <c r="D750" s="2"/>
      <c r="AR750" s="11" t="str">
        <f t="shared" si="17"/>
        <v>11900</v>
      </c>
    </row>
    <row r="751" spans="1:44" x14ac:dyDescent="0.25">
      <c r="A751" s="16">
        <v>41060</v>
      </c>
      <c r="B751" s="1">
        <v>6370</v>
      </c>
      <c r="C751" s="13" t="str">
        <f t="shared" si="16"/>
        <v>11900</v>
      </c>
      <c r="D751" s="2"/>
      <c r="AR751" s="11" t="str">
        <f t="shared" si="17"/>
        <v>11900</v>
      </c>
    </row>
    <row r="752" spans="1:44" x14ac:dyDescent="0.25">
      <c r="A752" s="16">
        <v>41090</v>
      </c>
      <c r="B752" s="1">
        <v>6275</v>
      </c>
      <c r="C752" s="13" t="str">
        <f t="shared" si="16"/>
        <v>11900</v>
      </c>
      <c r="D752" s="2"/>
      <c r="AR752" s="11" t="str">
        <f t="shared" si="17"/>
        <v>11900</v>
      </c>
    </row>
    <row r="753" spans="1:44" x14ac:dyDescent="0.25">
      <c r="A753" s="16">
        <v>41121</v>
      </c>
      <c r="B753" s="1">
        <v>6431</v>
      </c>
      <c r="C753" s="13" t="str">
        <f t="shared" si="16"/>
        <v>11900</v>
      </c>
      <c r="D753" s="2"/>
      <c r="AR753" s="11" t="str">
        <f t="shared" si="17"/>
        <v>11900</v>
      </c>
    </row>
    <row r="754" spans="1:44" x14ac:dyDescent="0.25">
      <c r="A754" s="16">
        <v>41152</v>
      </c>
      <c r="B754" s="1">
        <v>6351</v>
      </c>
      <c r="C754" s="13" t="str">
        <f t="shared" si="16"/>
        <v>11900</v>
      </c>
      <c r="D754" s="2"/>
      <c r="AR754" s="11" t="str">
        <f t="shared" si="17"/>
        <v>11900</v>
      </c>
    </row>
    <row r="755" spans="1:44" x14ac:dyDescent="0.25">
      <c r="A755" s="16">
        <v>41182</v>
      </c>
      <c r="B755" s="1">
        <v>6598</v>
      </c>
      <c r="C755" s="13" t="str">
        <f t="shared" si="16"/>
        <v>11900</v>
      </c>
      <c r="D755" s="2"/>
      <c r="AR755" s="11" t="str">
        <f t="shared" si="17"/>
        <v>11900</v>
      </c>
    </row>
    <row r="756" spans="1:44" x14ac:dyDescent="0.25">
      <c r="A756" s="16">
        <v>41213</v>
      </c>
      <c r="B756" s="1">
        <v>6970</v>
      </c>
      <c r="C756" s="13" t="str">
        <f t="shared" si="16"/>
        <v>11900</v>
      </c>
      <c r="D756" s="2"/>
      <c r="AR756" s="11" t="str">
        <f t="shared" si="17"/>
        <v>11900</v>
      </c>
    </row>
    <row r="757" spans="1:44" x14ac:dyDescent="0.25">
      <c r="A757" s="16">
        <v>41243</v>
      </c>
      <c r="B757" s="1">
        <v>7082</v>
      </c>
      <c r="C757" s="13" t="str">
        <f t="shared" si="16"/>
        <v>11900</v>
      </c>
      <c r="D757" s="2"/>
      <c r="AR757" s="11" t="str">
        <f t="shared" si="17"/>
        <v>11900</v>
      </c>
    </row>
    <row r="758" spans="1:44" x14ac:dyDescent="0.25">
      <c r="A758" s="16">
        <v>41274</v>
      </c>
      <c r="B758" s="1">
        <v>7106</v>
      </c>
      <c r="C758" s="13" t="str">
        <f t="shared" si="16"/>
        <v>11900</v>
      </c>
      <c r="D758" s="2"/>
      <c r="AR758" s="11" t="str">
        <f t="shared" si="17"/>
        <v>11900</v>
      </c>
    </row>
    <row r="759" spans="1:44" x14ac:dyDescent="0.25">
      <c r="A759" s="16">
        <v>41305</v>
      </c>
      <c r="B759" s="1">
        <v>7083</v>
      </c>
      <c r="C759" s="13" t="str">
        <f t="shared" si="16"/>
        <v>11900</v>
      </c>
      <c r="D759" s="2"/>
      <c r="AR759" s="11" t="str">
        <f t="shared" si="17"/>
        <v>11900</v>
      </c>
    </row>
    <row r="760" spans="1:44" x14ac:dyDescent="0.25">
      <c r="A760" s="16">
        <v>41333</v>
      </c>
      <c r="B760" s="1">
        <v>7145</v>
      </c>
      <c r="C760" s="13" t="str">
        <f t="shared" si="16"/>
        <v>11900</v>
      </c>
      <c r="D760" s="2"/>
      <c r="AR760" s="11" t="str">
        <f t="shared" si="17"/>
        <v>11900</v>
      </c>
    </row>
    <row r="761" spans="1:44" x14ac:dyDescent="0.25">
      <c r="A761" s="16">
        <v>41364</v>
      </c>
      <c r="B761" s="1">
        <v>7214</v>
      </c>
      <c r="C761" s="13" t="str">
        <f t="shared" si="16"/>
        <v>11900</v>
      </c>
      <c r="D761" s="2"/>
      <c r="AR761" s="11" t="str">
        <f t="shared" si="17"/>
        <v>11900</v>
      </c>
    </row>
    <row r="762" spans="1:44" x14ac:dyDescent="0.25">
      <c r="A762" s="16">
        <v>41394</v>
      </c>
      <c r="B762" s="1">
        <v>7374</v>
      </c>
      <c r="C762" s="13" t="str">
        <f t="shared" si="16"/>
        <v>11900</v>
      </c>
      <c r="D762" s="2"/>
      <c r="AR762" s="11" t="str">
        <f t="shared" si="17"/>
        <v>11900</v>
      </c>
    </row>
    <row r="763" spans="1:44" x14ac:dyDescent="0.25">
      <c r="A763" s="16">
        <v>41425</v>
      </c>
      <c r="B763" s="1">
        <v>7326</v>
      </c>
      <c r="C763" s="13" t="str">
        <f t="shared" si="16"/>
        <v>11900</v>
      </c>
      <c r="D763" s="2"/>
      <c r="AR763" s="11" t="str">
        <f t="shared" si="17"/>
        <v>11900</v>
      </c>
    </row>
    <row r="764" spans="1:44" x14ac:dyDescent="0.25">
      <c r="A764" s="16">
        <v>41455</v>
      </c>
      <c r="B764" s="1">
        <v>7277</v>
      </c>
      <c r="C764" s="13" t="str">
        <f t="shared" si="16"/>
        <v>11900</v>
      </c>
      <c r="D764" s="2"/>
      <c r="AR764" s="11" t="str">
        <f t="shared" si="17"/>
        <v>11900</v>
      </c>
    </row>
    <row r="765" spans="1:44" x14ac:dyDescent="0.25">
      <c r="A765" s="16">
        <v>41486</v>
      </c>
      <c r="B765" s="1">
        <v>7522</v>
      </c>
      <c r="C765" s="13" t="str">
        <f t="shared" si="16"/>
        <v>11900</v>
      </c>
      <c r="D765" s="2"/>
      <c r="AR765" s="11" t="str">
        <f t="shared" si="17"/>
        <v>11900</v>
      </c>
    </row>
    <row r="766" spans="1:44" x14ac:dyDescent="0.25">
      <c r="A766" s="16">
        <v>41517</v>
      </c>
      <c r="B766" s="1">
        <v>7534</v>
      </c>
      <c r="C766" s="13" t="str">
        <f t="shared" si="16"/>
        <v>11900</v>
      </c>
      <c r="D766" s="2"/>
      <c r="AR766" s="11" t="str">
        <f t="shared" si="17"/>
        <v>11900</v>
      </c>
    </row>
    <row r="767" spans="1:44" x14ac:dyDescent="0.25">
      <c r="A767" s="16">
        <v>41547</v>
      </c>
      <c r="B767" s="1">
        <v>7838</v>
      </c>
      <c r="C767" s="13" t="str">
        <f t="shared" si="16"/>
        <v>11900</v>
      </c>
      <c r="D767" s="2"/>
      <c r="AR767" s="11" t="str">
        <f t="shared" si="17"/>
        <v>11900</v>
      </c>
    </row>
    <row r="768" spans="1:44" x14ac:dyDescent="0.25">
      <c r="A768" s="16">
        <v>41578</v>
      </c>
      <c r="B768" s="1">
        <v>7760</v>
      </c>
      <c r="C768" s="13" t="str">
        <f t="shared" si="16"/>
        <v>11900</v>
      </c>
      <c r="D768" s="2"/>
      <c r="AR768" s="11" t="str">
        <f t="shared" si="17"/>
        <v>11900</v>
      </c>
    </row>
    <row r="769" spans="1:44" x14ac:dyDescent="0.25">
      <c r="A769" s="16">
        <v>41608</v>
      </c>
      <c r="B769" s="1">
        <v>7919</v>
      </c>
      <c r="C769" s="13" t="str">
        <f t="shared" si="16"/>
        <v>11900</v>
      </c>
      <c r="D769" s="2"/>
      <c r="AR769" s="11" t="str">
        <f t="shared" si="17"/>
        <v>11900</v>
      </c>
    </row>
    <row r="770" spans="1:44" x14ac:dyDescent="0.25">
      <c r="A770" s="16">
        <v>41639</v>
      </c>
      <c r="B770" s="1">
        <v>7932</v>
      </c>
      <c r="C770" s="13" t="str">
        <f t="shared" si="16"/>
        <v>11900</v>
      </c>
      <c r="D770" s="2"/>
      <c r="AR770" s="11" t="str">
        <f t="shared" si="17"/>
        <v>11900</v>
      </c>
    </row>
    <row r="771" spans="1:44" x14ac:dyDescent="0.25">
      <c r="A771" s="16">
        <v>41670</v>
      </c>
      <c r="B771" s="1">
        <v>8072</v>
      </c>
      <c r="C771" s="13" t="str">
        <f t="shared" si="16"/>
        <v>11900</v>
      </c>
      <c r="D771" s="2"/>
      <c r="AR771" s="11" t="str">
        <f t="shared" si="17"/>
        <v>11900</v>
      </c>
    </row>
    <row r="772" spans="1:44" x14ac:dyDescent="0.25">
      <c r="A772" s="16">
        <v>41698</v>
      </c>
      <c r="B772" s="1">
        <v>8149</v>
      </c>
      <c r="C772" s="13" t="str">
        <f t="shared" si="16"/>
        <v>11900</v>
      </c>
      <c r="D772" s="2"/>
      <c r="AR772" s="11" t="str">
        <f t="shared" si="17"/>
        <v>11900</v>
      </c>
    </row>
    <row r="773" spans="1:44" x14ac:dyDescent="0.25">
      <c r="A773" s="16">
        <v>41729</v>
      </c>
      <c r="B773" s="1">
        <v>8291</v>
      </c>
      <c r="C773" s="13" t="str">
        <f t="shared" ref="C773:C836" si="18">MONTH(D773)&amp;YEAR(D773)</f>
        <v>11900</v>
      </c>
      <c r="D773" s="2"/>
      <c r="AR773" s="11" t="str">
        <f t="shared" ref="AR773:AR836" si="19">MONTH(AS773)&amp;YEAR(AS773)</f>
        <v>11900</v>
      </c>
    </row>
    <row r="774" spans="1:44" x14ac:dyDescent="0.25">
      <c r="A774" s="16">
        <v>41759</v>
      </c>
      <c r="B774" s="1">
        <v>8520</v>
      </c>
      <c r="C774" s="13" t="str">
        <f t="shared" si="18"/>
        <v>11900</v>
      </c>
      <c r="D774" s="2"/>
      <c r="AR774" s="11" t="str">
        <f t="shared" si="19"/>
        <v>11900</v>
      </c>
    </row>
    <row r="775" spans="1:44" x14ac:dyDescent="0.25">
      <c r="A775" s="16">
        <v>41790</v>
      </c>
      <c r="B775" s="1">
        <v>8636</v>
      </c>
      <c r="C775" s="13" t="str">
        <f t="shared" si="18"/>
        <v>11900</v>
      </c>
      <c r="D775" s="2"/>
      <c r="AR775" s="11" t="str">
        <f t="shared" si="19"/>
        <v>11900</v>
      </c>
    </row>
    <row r="776" spans="1:44" x14ac:dyDescent="0.25">
      <c r="A776" s="16">
        <v>41820</v>
      </c>
      <c r="B776" s="1">
        <v>8734</v>
      </c>
      <c r="C776" s="13" t="str">
        <f t="shared" si="18"/>
        <v>11900</v>
      </c>
      <c r="D776" s="2"/>
      <c r="AR776" s="11" t="str">
        <f t="shared" si="19"/>
        <v>11900</v>
      </c>
    </row>
    <row r="777" spans="1:44" x14ac:dyDescent="0.25">
      <c r="A777" s="16">
        <v>41851</v>
      </c>
      <c r="B777" s="1">
        <v>8837</v>
      </c>
      <c r="C777" s="13" t="str">
        <f t="shared" si="18"/>
        <v>11900</v>
      </c>
      <c r="D777" s="2"/>
      <c r="AR777" s="11" t="str">
        <f t="shared" si="19"/>
        <v>11900</v>
      </c>
    </row>
    <row r="778" spans="1:44" x14ac:dyDescent="0.25">
      <c r="A778" s="16">
        <v>41882</v>
      </c>
      <c r="B778" s="1">
        <v>8920</v>
      </c>
      <c r="C778" s="13" t="str">
        <f t="shared" si="18"/>
        <v>11900</v>
      </c>
      <c r="D778" s="2"/>
      <c r="AR778" s="11" t="str">
        <f t="shared" si="19"/>
        <v>11900</v>
      </c>
    </row>
    <row r="779" spans="1:44" x14ac:dyDescent="0.25">
      <c r="A779" s="16">
        <v>41912</v>
      </c>
      <c r="B779" s="1">
        <v>9070</v>
      </c>
      <c r="C779" s="13" t="str">
        <f t="shared" si="18"/>
        <v>11900</v>
      </c>
      <c r="D779" s="2"/>
      <c r="AR779" s="11" t="str">
        <f t="shared" si="19"/>
        <v>11900</v>
      </c>
    </row>
    <row r="780" spans="1:44" x14ac:dyDescent="0.25">
      <c r="A780" s="16">
        <v>41943</v>
      </c>
      <c r="B780" s="1">
        <v>9250</v>
      </c>
      <c r="C780" s="13" t="str">
        <f t="shared" si="18"/>
        <v>11900</v>
      </c>
      <c r="D780" s="2"/>
      <c r="AR780" s="11" t="str">
        <f t="shared" si="19"/>
        <v>11900</v>
      </c>
    </row>
    <row r="781" spans="1:44" x14ac:dyDescent="0.25">
      <c r="A781" s="16">
        <v>41973</v>
      </c>
      <c r="B781" s="1">
        <v>9307</v>
      </c>
      <c r="C781" s="13" t="str">
        <f t="shared" si="18"/>
        <v>11900</v>
      </c>
      <c r="D781" s="2"/>
      <c r="AR781" s="11" t="str">
        <f t="shared" si="19"/>
        <v>11900</v>
      </c>
    </row>
    <row r="782" spans="1:44" x14ac:dyDescent="0.25">
      <c r="A782" s="16">
        <v>42004</v>
      </c>
      <c r="B782" s="1">
        <v>9546</v>
      </c>
      <c r="C782" s="13" t="str">
        <f t="shared" si="18"/>
        <v>11900</v>
      </c>
      <c r="D782" s="2"/>
      <c r="AR782" s="11" t="str">
        <f t="shared" si="19"/>
        <v>11900</v>
      </c>
    </row>
    <row r="783" spans="1:44" x14ac:dyDescent="0.25">
      <c r="A783" s="16">
        <v>42035</v>
      </c>
      <c r="B783" s="1">
        <v>9377</v>
      </c>
      <c r="C783" s="13" t="str">
        <f t="shared" si="18"/>
        <v>11900</v>
      </c>
      <c r="D783" s="2"/>
      <c r="AR783" s="11" t="str">
        <f t="shared" si="19"/>
        <v>11900</v>
      </c>
    </row>
    <row r="784" spans="1:44" x14ac:dyDescent="0.25">
      <c r="A784" s="16">
        <v>42063</v>
      </c>
      <c r="B784" s="1">
        <v>9485</v>
      </c>
      <c r="C784" s="13" t="str">
        <f t="shared" si="18"/>
        <v>11900</v>
      </c>
      <c r="D784" s="2"/>
      <c r="AR784" s="11" t="str">
        <f t="shared" si="19"/>
        <v>11900</v>
      </c>
    </row>
    <row r="785" spans="1:44" x14ac:dyDescent="0.25">
      <c r="A785" s="16">
        <v>42094</v>
      </c>
      <c r="B785" s="1">
        <v>9580</v>
      </c>
      <c r="C785" s="13" t="str">
        <f t="shared" si="18"/>
        <v>11900</v>
      </c>
      <c r="D785" s="2"/>
      <c r="AR785" s="11" t="str">
        <f t="shared" si="19"/>
        <v>11900</v>
      </c>
    </row>
    <row r="786" spans="1:44" x14ac:dyDescent="0.25">
      <c r="A786" s="16">
        <v>42124</v>
      </c>
      <c r="B786" s="1">
        <v>9652</v>
      </c>
      <c r="C786" s="13" t="str">
        <f t="shared" si="18"/>
        <v>11900</v>
      </c>
      <c r="D786" s="2"/>
      <c r="AR786" s="11" t="str">
        <f t="shared" si="19"/>
        <v>11900</v>
      </c>
    </row>
    <row r="787" spans="1:44" x14ac:dyDescent="0.25">
      <c r="A787" s="16">
        <v>42155</v>
      </c>
      <c r="B787" s="1">
        <v>9466</v>
      </c>
      <c r="C787" s="13" t="str">
        <f t="shared" si="18"/>
        <v>11900</v>
      </c>
      <c r="D787" s="2"/>
      <c r="AR787" s="11" t="str">
        <f t="shared" si="19"/>
        <v>11900</v>
      </c>
    </row>
    <row r="788" spans="1:44" x14ac:dyDescent="0.25">
      <c r="A788" s="16">
        <v>42185</v>
      </c>
      <c r="B788" s="1">
        <v>9350</v>
      </c>
      <c r="C788" s="13" t="str">
        <f t="shared" si="18"/>
        <v>11900</v>
      </c>
      <c r="D788" s="2"/>
      <c r="AR788" s="11" t="str">
        <f t="shared" si="19"/>
        <v>11900</v>
      </c>
    </row>
    <row r="789" spans="1:44" x14ac:dyDescent="0.25">
      <c r="A789" s="16">
        <v>42216</v>
      </c>
      <c r="B789" s="1">
        <v>9436</v>
      </c>
      <c r="C789" s="13" t="str">
        <f t="shared" si="18"/>
        <v>11900</v>
      </c>
      <c r="D789" s="2"/>
      <c r="AR789" s="11" t="str">
        <f t="shared" si="19"/>
        <v>11900</v>
      </c>
    </row>
    <row r="790" spans="1:44" x14ac:dyDescent="0.25">
      <c r="A790" s="16">
        <v>42247</v>
      </c>
      <c r="B790" s="1">
        <v>9400</v>
      </c>
      <c r="C790" s="13" t="str">
        <f t="shared" si="18"/>
        <v>11900</v>
      </c>
      <c r="D790" s="2"/>
      <c r="AR790" s="11" t="str">
        <f t="shared" si="19"/>
        <v>11900</v>
      </c>
    </row>
    <row r="791" spans="1:44" x14ac:dyDescent="0.25">
      <c r="A791" s="16">
        <v>42277</v>
      </c>
      <c r="B791" s="1">
        <v>9471</v>
      </c>
      <c r="C791" s="13" t="str">
        <f t="shared" si="18"/>
        <v>11900</v>
      </c>
      <c r="D791" s="2"/>
      <c r="AR791" s="11" t="str">
        <f t="shared" si="19"/>
        <v>11900</v>
      </c>
    </row>
    <row r="792" spans="1:44" x14ac:dyDescent="0.25">
      <c r="A792" s="16">
        <v>42308</v>
      </c>
      <c r="B792" s="1">
        <v>9394</v>
      </c>
      <c r="C792" s="13" t="str">
        <f t="shared" si="18"/>
        <v>11900</v>
      </c>
      <c r="D792" s="2"/>
      <c r="AR792" s="11" t="str">
        <f t="shared" si="19"/>
        <v>11900</v>
      </c>
    </row>
    <row r="793" spans="1:44" x14ac:dyDescent="0.25">
      <c r="A793" s="16">
        <v>42338</v>
      </c>
      <c r="B793" s="1">
        <v>9328</v>
      </c>
      <c r="C793" s="13" t="str">
        <f t="shared" si="18"/>
        <v>11900</v>
      </c>
      <c r="D793" s="2"/>
      <c r="AR793" s="11" t="str">
        <f t="shared" si="19"/>
        <v>11900</v>
      </c>
    </row>
    <row r="794" spans="1:44" x14ac:dyDescent="0.25">
      <c r="A794" s="16">
        <v>42369</v>
      </c>
      <c r="B794" s="1">
        <v>9270</v>
      </c>
      <c r="C794" s="13" t="str">
        <f t="shared" si="18"/>
        <v>11900</v>
      </c>
      <c r="D794" s="2"/>
      <c r="AR794" s="11" t="str">
        <f t="shared" si="19"/>
        <v>11900</v>
      </c>
    </row>
    <row r="795" spans="1:44" x14ac:dyDescent="0.25">
      <c r="A795" s="16">
        <v>42400</v>
      </c>
      <c r="B795" s="1">
        <v>9209</v>
      </c>
      <c r="C795" s="13" t="str">
        <f t="shared" si="18"/>
        <v>11900</v>
      </c>
      <c r="D795" s="2"/>
      <c r="AR795" s="11" t="str">
        <f t="shared" si="19"/>
        <v>11900</v>
      </c>
    </row>
    <row r="796" spans="1:44" x14ac:dyDescent="0.25">
      <c r="A796" s="16">
        <v>42429</v>
      </c>
      <c r="B796" s="1">
        <v>9067</v>
      </c>
      <c r="C796" s="13" t="str">
        <f t="shared" si="18"/>
        <v>11900</v>
      </c>
      <c r="D796" s="2"/>
      <c r="AR796" s="11" t="str">
        <f t="shared" si="19"/>
        <v>11900</v>
      </c>
    </row>
    <row r="797" spans="1:44" x14ac:dyDescent="0.25">
      <c r="A797" s="16">
        <v>42460</v>
      </c>
      <c r="B797" s="1">
        <v>9109</v>
      </c>
      <c r="C797" s="13" t="str">
        <f t="shared" si="18"/>
        <v>11900</v>
      </c>
      <c r="D797" s="2"/>
      <c r="AR797" s="11" t="str">
        <f t="shared" si="19"/>
        <v>11900</v>
      </c>
    </row>
    <row r="798" spans="1:44" x14ac:dyDescent="0.25">
      <c r="A798" s="16">
        <v>42490</v>
      </c>
      <c r="B798" s="1">
        <v>8880</v>
      </c>
      <c r="C798" s="13" t="str">
        <f t="shared" si="18"/>
        <v>11900</v>
      </c>
      <c r="D798" s="2"/>
      <c r="AR798" s="11" t="str">
        <f t="shared" si="19"/>
        <v>11900</v>
      </c>
    </row>
    <row r="799" spans="1:44" x14ac:dyDescent="0.25">
      <c r="A799" s="16">
        <v>42521</v>
      </c>
      <c r="B799" s="1">
        <v>8839</v>
      </c>
      <c r="C799" s="13" t="str">
        <f t="shared" si="18"/>
        <v>11900</v>
      </c>
      <c r="D799" s="2"/>
      <c r="AR799" s="11" t="str">
        <f t="shared" si="19"/>
        <v>11900</v>
      </c>
    </row>
    <row r="800" spans="1:44" x14ac:dyDescent="0.25">
      <c r="A800" s="16">
        <v>42551</v>
      </c>
      <c r="B800" s="1">
        <v>8679</v>
      </c>
      <c r="C800" s="13" t="str">
        <f t="shared" si="18"/>
        <v>11900</v>
      </c>
      <c r="D800" s="2"/>
      <c r="AR800" s="11" t="str">
        <f t="shared" si="19"/>
        <v>11900</v>
      </c>
    </row>
    <row r="801" spans="1:44" x14ac:dyDescent="0.25">
      <c r="A801" s="16">
        <v>42582</v>
      </c>
      <c r="B801" s="1">
        <v>8669</v>
      </c>
      <c r="C801" s="13" t="str">
        <f t="shared" si="18"/>
        <v>11900</v>
      </c>
      <c r="D801" s="2"/>
      <c r="AR801" s="11" t="str">
        <f t="shared" si="19"/>
        <v>11900</v>
      </c>
    </row>
    <row r="802" spans="1:44" x14ac:dyDescent="0.25">
      <c r="A802" s="16">
        <v>42613</v>
      </c>
      <c r="B802" s="1">
        <v>8695</v>
      </c>
      <c r="C802" s="13" t="str">
        <f t="shared" si="18"/>
        <v>11900</v>
      </c>
      <c r="D802" s="2"/>
      <c r="AR802" s="11" t="str">
        <f t="shared" si="19"/>
        <v>11900</v>
      </c>
    </row>
    <row r="803" spans="1:44" x14ac:dyDescent="0.25">
      <c r="A803" s="16">
        <v>42643</v>
      </c>
      <c r="B803" s="1">
        <v>8547</v>
      </c>
      <c r="C803" s="13" t="str">
        <f t="shared" si="18"/>
        <v>11900</v>
      </c>
      <c r="D803" s="2"/>
      <c r="AR803" s="11" t="str">
        <f t="shared" si="19"/>
        <v>11900</v>
      </c>
    </row>
    <row r="804" spans="1:44" x14ac:dyDescent="0.25">
      <c r="A804" s="16">
        <v>42674</v>
      </c>
      <c r="B804" s="1">
        <v>8809</v>
      </c>
      <c r="C804" s="13" t="str">
        <f t="shared" si="18"/>
        <v>11900</v>
      </c>
      <c r="D804" s="2"/>
      <c r="AR804" s="11" t="str">
        <f t="shared" si="19"/>
        <v>11900</v>
      </c>
    </row>
    <row r="805" spans="1:44" x14ac:dyDescent="0.25">
      <c r="A805" s="16">
        <v>42704</v>
      </c>
      <c r="B805" s="1">
        <v>8908</v>
      </c>
      <c r="C805" s="13" t="str">
        <f t="shared" si="18"/>
        <v>11900</v>
      </c>
      <c r="D805" s="2"/>
      <c r="AR805" s="11" t="str">
        <f t="shared" si="19"/>
        <v>11900</v>
      </c>
    </row>
    <row r="806" spans="1:44" x14ac:dyDescent="0.25">
      <c r="A806" s="16">
        <v>42735</v>
      </c>
      <c r="B806" s="1">
        <v>8820</v>
      </c>
      <c r="C806" s="13" t="str">
        <f t="shared" si="18"/>
        <v>11900</v>
      </c>
      <c r="D806" s="2"/>
      <c r="AR806" s="11" t="str">
        <f t="shared" si="19"/>
        <v>11900</v>
      </c>
    </row>
    <row r="807" spans="1:44" x14ac:dyDescent="0.25">
      <c r="A807" s="16">
        <v>42766</v>
      </c>
      <c r="B807" s="1">
        <v>8875</v>
      </c>
      <c r="C807" s="13" t="str">
        <f t="shared" si="18"/>
        <v>11900</v>
      </c>
      <c r="D807" s="2"/>
      <c r="AR807" s="11" t="str">
        <f t="shared" si="19"/>
        <v>11900</v>
      </c>
    </row>
    <row r="808" spans="1:44" x14ac:dyDescent="0.25">
      <c r="A808" s="16">
        <v>42794</v>
      </c>
      <c r="B808" s="1">
        <v>9097</v>
      </c>
      <c r="C808" s="13" t="str">
        <f t="shared" si="18"/>
        <v>11900</v>
      </c>
      <c r="D808" s="2"/>
      <c r="AR808" s="11" t="str">
        <f t="shared" si="19"/>
        <v>11900</v>
      </c>
    </row>
    <row r="809" spans="1:44" x14ac:dyDescent="0.25">
      <c r="A809" s="16">
        <v>42825</v>
      </c>
      <c r="B809" s="1">
        <v>9168</v>
      </c>
      <c r="C809" s="13" t="str">
        <f t="shared" si="18"/>
        <v>11900</v>
      </c>
      <c r="D809" s="2"/>
      <c r="AR809" s="11" t="str">
        <f t="shared" si="19"/>
        <v>11900</v>
      </c>
    </row>
    <row r="810" spans="1:44" x14ac:dyDescent="0.25">
      <c r="A810" s="16">
        <v>42855</v>
      </c>
      <c r="B810" s="1">
        <v>9105</v>
      </c>
      <c r="C810" s="13" t="str">
        <f t="shared" si="18"/>
        <v>11900</v>
      </c>
      <c r="D810" s="2"/>
      <c r="AR810" s="11" t="str">
        <f t="shared" si="19"/>
        <v>11900</v>
      </c>
    </row>
    <row r="811" spans="1:44" x14ac:dyDescent="0.25">
      <c r="A811" s="16">
        <v>42886</v>
      </c>
      <c r="B811" s="1">
        <v>9189</v>
      </c>
      <c r="C811" s="13" t="str">
        <f t="shared" si="18"/>
        <v>11900</v>
      </c>
      <c r="D811" s="2"/>
      <c r="AR811" s="11" t="str">
        <f t="shared" si="19"/>
        <v>11900</v>
      </c>
    </row>
    <row r="812" spans="1:44" x14ac:dyDescent="0.25">
      <c r="A812" s="16">
        <v>42916</v>
      </c>
      <c r="B812" s="1">
        <v>9113</v>
      </c>
      <c r="C812" s="13" t="str">
        <f t="shared" si="18"/>
        <v>11900</v>
      </c>
      <c r="D812" s="2"/>
      <c r="AR812" s="11" t="str">
        <f t="shared" si="19"/>
        <v>11900</v>
      </c>
    </row>
    <row r="813" spans="1:44" x14ac:dyDescent="0.25">
      <c r="A813" s="16">
        <v>42947</v>
      </c>
      <c r="B813" s="1">
        <v>9260</v>
      </c>
      <c r="C813" s="13" t="str">
        <f t="shared" si="18"/>
        <v>11900</v>
      </c>
      <c r="D813" s="2"/>
      <c r="AR813" s="11" t="str">
        <f t="shared" si="19"/>
        <v>11900</v>
      </c>
    </row>
    <row r="814" spans="1:44" x14ac:dyDescent="0.25">
      <c r="A814" s="16">
        <v>42978</v>
      </c>
      <c r="B814" s="1">
        <v>9262</v>
      </c>
      <c r="C814" s="13" t="str">
        <f t="shared" si="18"/>
        <v>11900</v>
      </c>
      <c r="D814" s="2"/>
      <c r="AR814" s="11" t="str">
        <f t="shared" si="19"/>
        <v>11900</v>
      </c>
    </row>
    <row r="815" spans="1:44" x14ac:dyDescent="0.25">
      <c r="A815" s="16">
        <v>43008</v>
      </c>
      <c r="B815" s="1">
        <v>9513</v>
      </c>
      <c r="C815" s="13" t="str">
        <f t="shared" si="18"/>
        <v>11900</v>
      </c>
      <c r="D815" s="2"/>
      <c r="AR815" s="11" t="str">
        <f t="shared" si="19"/>
        <v>11900</v>
      </c>
    </row>
    <row r="816" spans="1:44" x14ac:dyDescent="0.25">
      <c r="A816" s="16">
        <v>43039</v>
      </c>
      <c r="B816" s="1">
        <v>9667</v>
      </c>
      <c r="C816" s="13" t="str">
        <f t="shared" si="18"/>
        <v>11900</v>
      </c>
      <c r="D816" s="2"/>
      <c r="AR816" s="11" t="str">
        <f t="shared" si="19"/>
        <v>11900</v>
      </c>
    </row>
    <row r="817" spans="1:44" x14ac:dyDescent="0.25">
      <c r="A817" s="16">
        <v>43069</v>
      </c>
      <c r="B817" s="1">
        <v>10086</v>
      </c>
      <c r="C817" s="13" t="str">
        <f t="shared" si="18"/>
        <v>11900</v>
      </c>
      <c r="D817" s="2"/>
      <c r="AR817" s="11" t="str">
        <f t="shared" si="19"/>
        <v>11900</v>
      </c>
    </row>
    <row r="818" spans="1:44" x14ac:dyDescent="0.25">
      <c r="A818" s="16">
        <v>43100</v>
      </c>
      <c r="B818" s="1">
        <v>9987</v>
      </c>
      <c r="C818" s="13" t="str">
        <f t="shared" si="18"/>
        <v>11900</v>
      </c>
      <c r="D818" s="2"/>
      <c r="AR818" s="11" t="str">
        <f t="shared" si="19"/>
        <v>11900</v>
      </c>
    </row>
    <row r="819" spans="1:44" x14ac:dyDescent="0.25">
      <c r="A819" s="16">
        <v>43131</v>
      </c>
      <c r="B819" s="1">
        <v>10000</v>
      </c>
      <c r="C819" s="13" t="str">
        <f t="shared" si="18"/>
        <v>11900</v>
      </c>
      <c r="D819" s="2"/>
      <c r="AR819" s="11" t="str">
        <f t="shared" si="19"/>
        <v>11900</v>
      </c>
    </row>
    <row r="820" spans="1:44" x14ac:dyDescent="0.25">
      <c r="A820" s="16">
        <v>43159</v>
      </c>
      <c r="B820" s="1">
        <v>10263</v>
      </c>
      <c r="C820" s="13" t="str">
        <f t="shared" si="18"/>
        <v>11900</v>
      </c>
      <c r="D820" s="2"/>
      <c r="AR820" s="11" t="str">
        <f t="shared" si="19"/>
        <v>11900</v>
      </c>
    </row>
    <row r="821" spans="1:44" x14ac:dyDescent="0.25">
      <c r="A821" s="16">
        <v>43190</v>
      </c>
      <c r="B821" s="1">
        <v>10467</v>
      </c>
      <c r="C821" s="13" t="str">
        <f t="shared" si="18"/>
        <v>11900</v>
      </c>
      <c r="D821" s="2"/>
      <c r="AR821" s="11" t="str">
        <f t="shared" si="19"/>
        <v>11900</v>
      </c>
    </row>
    <row r="822" spans="1:44" x14ac:dyDescent="0.25">
      <c r="A822" s="16">
        <v>43220</v>
      </c>
      <c r="B822" s="1">
        <v>10493</v>
      </c>
      <c r="C822" s="13" t="str">
        <f t="shared" si="18"/>
        <v>11900</v>
      </c>
      <c r="D822" s="2"/>
      <c r="AR822" s="11" t="str">
        <f t="shared" si="19"/>
        <v>11900</v>
      </c>
    </row>
    <row r="823" spans="1:44" x14ac:dyDescent="0.25">
      <c r="A823" s="16">
        <v>43251</v>
      </c>
      <c r="B823" s="1">
        <v>10432</v>
      </c>
      <c r="C823" s="13" t="str">
        <f t="shared" si="18"/>
        <v>11900</v>
      </c>
      <c r="D823" s="2"/>
      <c r="AR823" s="11" t="str">
        <f t="shared" si="19"/>
        <v>11900</v>
      </c>
    </row>
    <row r="824" spans="1:44" x14ac:dyDescent="0.25">
      <c r="A824" s="16">
        <v>43281</v>
      </c>
      <c r="B824" s="1">
        <v>10641</v>
      </c>
      <c r="C824" s="13" t="str">
        <f t="shared" si="18"/>
        <v>11900</v>
      </c>
      <c r="D824" s="2"/>
      <c r="AR824" s="11" t="str">
        <f t="shared" si="19"/>
        <v>11900</v>
      </c>
    </row>
    <row r="825" spans="1:44" x14ac:dyDescent="0.25">
      <c r="A825" s="16">
        <v>43312</v>
      </c>
      <c r="B825" s="1">
        <v>10903</v>
      </c>
      <c r="C825" s="13" t="str">
        <f t="shared" si="18"/>
        <v>11900</v>
      </c>
      <c r="D825" s="2"/>
      <c r="AR825" s="11" t="str">
        <f t="shared" si="19"/>
        <v>11900</v>
      </c>
    </row>
    <row r="826" spans="1:44" x14ac:dyDescent="0.25">
      <c r="A826" s="16">
        <v>43343</v>
      </c>
      <c r="B826" s="1">
        <v>11396</v>
      </c>
      <c r="C826" s="13" t="str">
        <f t="shared" si="18"/>
        <v>11900</v>
      </c>
      <c r="D826" s="2"/>
      <c r="AR826" s="11" t="str">
        <f t="shared" si="19"/>
        <v>11900</v>
      </c>
    </row>
    <row r="827" spans="1:44" x14ac:dyDescent="0.25">
      <c r="A827" s="16">
        <v>43373</v>
      </c>
      <c r="B827" s="1">
        <v>11444</v>
      </c>
      <c r="C827" s="13" t="str">
        <f t="shared" si="18"/>
        <v>11900</v>
      </c>
      <c r="D827" s="2"/>
      <c r="AR827" s="11" t="str">
        <f t="shared" si="19"/>
        <v>11900</v>
      </c>
    </row>
    <row r="828" spans="1:44" x14ac:dyDescent="0.25">
      <c r="A828" s="16">
        <v>43404</v>
      </c>
      <c r="B828" s="1">
        <v>11508</v>
      </c>
      <c r="C828" s="13" t="str">
        <f t="shared" si="18"/>
        <v>11900</v>
      </c>
      <c r="D828" s="2"/>
      <c r="AR828" s="11" t="str">
        <f t="shared" si="19"/>
        <v>11900</v>
      </c>
    </row>
    <row r="829" spans="1:44" x14ac:dyDescent="0.25">
      <c r="A829" s="16">
        <v>43434</v>
      </c>
      <c r="B829" s="1">
        <v>11892</v>
      </c>
      <c r="C829" s="13" t="str">
        <f t="shared" si="18"/>
        <v>11900</v>
      </c>
      <c r="D829" s="2"/>
      <c r="AR829" s="11" t="str">
        <f t="shared" si="19"/>
        <v>11900</v>
      </c>
    </row>
    <row r="830" spans="1:44" x14ac:dyDescent="0.25">
      <c r="A830" s="16">
        <v>43465</v>
      </c>
      <c r="B830" s="1">
        <v>11951</v>
      </c>
      <c r="C830" s="13" t="str">
        <f t="shared" si="18"/>
        <v>11900</v>
      </c>
      <c r="D830" s="2"/>
      <c r="AR830" s="11" t="str">
        <f t="shared" si="19"/>
        <v>11900</v>
      </c>
    </row>
    <row r="831" spans="1:44" x14ac:dyDescent="0.25">
      <c r="A831" s="16">
        <v>43496</v>
      </c>
      <c r="B831" s="1">
        <v>11873</v>
      </c>
      <c r="C831" s="13" t="str">
        <f t="shared" si="18"/>
        <v>11900</v>
      </c>
      <c r="D831" s="2"/>
      <c r="AR831" s="11" t="str">
        <f t="shared" si="19"/>
        <v>11900</v>
      </c>
    </row>
    <row r="832" spans="1:44" x14ac:dyDescent="0.25">
      <c r="A832" s="16">
        <v>43524</v>
      </c>
      <c r="B832" s="1">
        <v>11653</v>
      </c>
      <c r="C832" s="13" t="str">
        <f t="shared" si="18"/>
        <v>11900</v>
      </c>
      <c r="D832" s="2"/>
      <c r="AR832" s="11" t="str">
        <f t="shared" si="19"/>
        <v>11900</v>
      </c>
    </row>
    <row r="833" spans="1:44" x14ac:dyDescent="0.25">
      <c r="A833" s="16">
        <v>43555</v>
      </c>
      <c r="B833" s="1">
        <v>11912</v>
      </c>
      <c r="C833" s="13" t="str">
        <f t="shared" si="18"/>
        <v>11900</v>
      </c>
      <c r="D833" s="2"/>
      <c r="AR833" s="11" t="str">
        <f t="shared" si="19"/>
        <v>11900</v>
      </c>
    </row>
    <row r="834" spans="1:44" x14ac:dyDescent="0.25">
      <c r="A834" s="16">
        <v>43585</v>
      </c>
      <c r="B834" s="1">
        <v>12144</v>
      </c>
      <c r="C834" s="13" t="str">
        <f t="shared" si="18"/>
        <v>11900</v>
      </c>
      <c r="D834" s="2"/>
      <c r="AR834" s="11" t="str">
        <f t="shared" si="19"/>
        <v>11900</v>
      </c>
    </row>
    <row r="835" spans="1:44" x14ac:dyDescent="0.25">
      <c r="A835" s="16">
        <v>43616</v>
      </c>
      <c r="B835" s="1">
        <v>12151</v>
      </c>
      <c r="C835" s="13" t="str">
        <f t="shared" si="18"/>
        <v>11900</v>
      </c>
      <c r="D835" s="2"/>
      <c r="AR835" s="11" t="str">
        <f t="shared" si="19"/>
        <v>11900</v>
      </c>
    </row>
    <row r="836" spans="1:44" x14ac:dyDescent="0.25">
      <c r="A836" s="16">
        <v>43646</v>
      </c>
      <c r="B836" s="1">
        <v>12222</v>
      </c>
      <c r="C836" s="13" t="str">
        <f t="shared" si="18"/>
        <v>11900</v>
      </c>
      <c r="D836" s="2"/>
      <c r="AR836" s="11" t="str">
        <f t="shared" si="19"/>
        <v>11900</v>
      </c>
    </row>
    <row r="837" spans="1:44" x14ac:dyDescent="0.25">
      <c r="A837" s="16">
        <v>43677</v>
      </c>
      <c r="B837" s="1">
        <v>11907</v>
      </c>
      <c r="C837" s="13" t="str">
        <f t="shared" ref="C837:C885" si="20">MONTH(D837)&amp;YEAR(D837)</f>
        <v>11900</v>
      </c>
      <c r="D837" s="2"/>
      <c r="AR837" s="11" t="str">
        <f t="shared" ref="AR837:AR885" si="21">MONTH(AS837)&amp;YEAR(AS837)</f>
        <v>11900</v>
      </c>
    </row>
    <row r="838" spans="1:44" x14ac:dyDescent="0.25">
      <c r="A838" s="16">
        <v>43708</v>
      </c>
      <c r="B838" s="1">
        <v>12488</v>
      </c>
      <c r="C838" s="13" t="str">
        <f t="shared" si="20"/>
        <v>11900</v>
      </c>
      <c r="D838" s="2"/>
      <c r="AR838" s="11" t="str">
        <f t="shared" si="21"/>
        <v>11900</v>
      </c>
    </row>
    <row r="839" spans="1:44" x14ac:dyDescent="0.25">
      <c r="A839" s="16">
        <v>43738</v>
      </c>
      <c r="B839" s="1">
        <v>12596</v>
      </c>
      <c r="C839" s="13" t="str">
        <f t="shared" si="20"/>
        <v>11900</v>
      </c>
      <c r="D839" s="2"/>
      <c r="AR839" s="11" t="str">
        <f t="shared" si="21"/>
        <v>11900</v>
      </c>
    </row>
    <row r="840" spans="1:44" x14ac:dyDescent="0.25">
      <c r="A840" s="16">
        <v>43769</v>
      </c>
      <c r="B840" s="1">
        <v>12809</v>
      </c>
      <c r="C840" s="13" t="str">
        <f t="shared" si="20"/>
        <v>11900</v>
      </c>
      <c r="D840" s="2"/>
      <c r="AR840" s="11" t="str">
        <f t="shared" si="21"/>
        <v>11900</v>
      </c>
    </row>
    <row r="841" spans="1:44" x14ac:dyDescent="0.25">
      <c r="A841" s="16">
        <v>43799</v>
      </c>
      <c r="B841" s="1">
        <v>12998</v>
      </c>
      <c r="C841" s="13" t="str">
        <f t="shared" si="20"/>
        <v>11900</v>
      </c>
      <c r="D841" s="2"/>
      <c r="AR841" s="11" t="str">
        <f t="shared" si="21"/>
        <v>11900</v>
      </c>
    </row>
    <row r="842" spans="1:44" x14ac:dyDescent="0.25">
      <c r="A842" s="16">
        <v>43830</v>
      </c>
      <c r="B842" s="1">
        <v>12983</v>
      </c>
      <c r="C842" s="13" t="str">
        <f t="shared" si="20"/>
        <v>11900</v>
      </c>
      <c r="D842" s="2"/>
      <c r="AR842" s="11" t="str">
        <f t="shared" si="21"/>
        <v>11900</v>
      </c>
    </row>
    <row r="843" spans="1:44" x14ac:dyDescent="0.25">
      <c r="A843" s="16">
        <v>43861</v>
      </c>
      <c r="B843" s="1">
        <v>12865</v>
      </c>
      <c r="C843" s="13" t="str">
        <f t="shared" si="20"/>
        <v>11900</v>
      </c>
      <c r="D843" s="2"/>
      <c r="AR843" s="11" t="str">
        <f t="shared" si="21"/>
        <v>11900</v>
      </c>
    </row>
    <row r="844" spans="1:44" x14ac:dyDescent="0.25">
      <c r="A844" s="16">
        <v>43890</v>
      </c>
      <c r="B844" s="1">
        <v>12864</v>
      </c>
      <c r="C844" s="13" t="str">
        <f t="shared" si="20"/>
        <v>11900</v>
      </c>
      <c r="D844" s="2"/>
      <c r="AR844" s="11" t="str">
        <f t="shared" si="21"/>
        <v>11900</v>
      </c>
    </row>
    <row r="845" spans="1:44" x14ac:dyDescent="0.25">
      <c r="A845" s="16">
        <v>43921</v>
      </c>
      <c r="B845" s="1">
        <v>12805</v>
      </c>
      <c r="C845" s="13" t="str">
        <f t="shared" si="20"/>
        <v>11900</v>
      </c>
      <c r="D845" s="2"/>
      <c r="AR845" s="11" t="str">
        <f t="shared" si="21"/>
        <v>11900</v>
      </c>
    </row>
    <row r="846" spans="1:44" x14ac:dyDescent="0.25">
      <c r="A846" s="16">
        <v>43951</v>
      </c>
      <c r="B846" s="1">
        <v>11918</v>
      </c>
      <c r="C846" s="13" t="str">
        <f t="shared" si="20"/>
        <v>11900</v>
      </c>
      <c r="D846" s="2"/>
      <c r="AR846" s="11" t="str">
        <f t="shared" si="21"/>
        <v>11900</v>
      </c>
    </row>
    <row r="847" spans="1:44" x14ac:dyDescent="0.25">
      <c r="A847" s="16">
        <v>43982</v>
      </c>
      <c r="B847" s="1">
        <v>9723</v>
      </c>
      <c r="C847" s="13" t="str">
        <f t="shared" si="20"/>
        <v>11900</v>
      </c>
      <c r="D847" s="2"/>
      <c r="AR847" s="11" t="str">
        <f t="shared" si="21"/>
        <v>11900</v>
      </c>
    </row>
    <row r="848" spans="1:44" x14ac:dyDescent="0.25">
      <c r="A848" s="16">
        <v>44012</v>
      </c>
      <c r="B848" s="1">
        <v>10450</v>
      </c>
      <c r="C848" s="13" t="str">
        <f t="shared" si="20"/>
        <v>11900</v>
      </c>
      <c r="D848" s="2"/>
      <c r="AR848" s="11" t="str">
        <f t="shared" si="21"/>
        <v>11900</v>
      </c>
    </row>
    <row r="849" spans="1:44" x14ac:dyDescent="0.25">
      <c r="A849" s="16">
        <v>44043</v>
      </c>
      <c r="B849" s="1">
        <v>11014</v>
      </c>
      <c r="C849" s="13" t="str">
        <f t="shared" si="20"/>
        <v>11900</v>
      </c>
      <c r="D849" s="2"/>
      <c r="AR849" s="11" t="str">
        <f t="shared" si="21"/>
        <v>11900</v>
      </c>
    </row>
    <row r="850" spans="1:44" x14ac:dyDescent="0.25">
      <c r="A850" s="16">
        <v>44074</v>
      </c>
      <c r="B850" s="1">
        <v>10600</v>
      </c>
      <c r="C850" s="13" t="str">
        <f t="shared" si="20"/>
        <v>11900</v>
      </c>
      <c r="D850" s="2"/>
      <c r="AR850" s="11" t="str">
        <f t="shared" si="21"/>
        <v>11900</v>
      </c>
    </row>
    <row r="851" spans="1:44" x14ac:dyDescent="0.25">
      <c r="A851" s="16">
        <v>44104</v>
      </c>
      <c r="B851" s="1">
        <v>10963</v>
      </c>
      <c r="C851" s="13" t="str">
        <f t="shared" si="20"/>
        <v>11900</v>
      </c>
      <c r="D851" s="2"/>
      <c r="AR851" s="11" t="str">
        <f t="shared" si="21"/>
        <v>11900</v>
      </c>
    </row>
    <row r="852" spans="1:44" x14ac:dyDescent="0.25">
      <c r="A852" s="16">
        <v>44135</v>
      </c>
      <c r="B852" s="1">
        <v>10492</v>
      </c>
      <c r="C852" s="13" t="str">
        <f t="shared" si="20"/>
        <v>11900</v>
      </c>
      <c r="D852" s="2"/>
      <c r="AR852" s="11" t="str">
        <f t="shared" si="21"/>
        <v>11900</v>
      </c>
    </row>
    <row r="853" spans="1:44" x14ac:dyDescent="0.25">
      <c r="A853" s="16">
        <v>44165</v>
      </c>
      <c r="B853" s="1">
        <v>11225</v>
      </c>
      <c r="C853" s="13" t="str">
        <f t="shared" si="20"/>
        <v>11900</v>
      </c>
      <c r="D853" s="2"/>
      <c r="AR853" s="11" t="str">
        <f t="shared" si="21"/>
        <v>11900</v>
      </c>
    </row>
    <row r="854" spans="1:44" x14ac:dyDescent="0.25">
      <c r="A854" s="16">
        <v>44196</v>
      </c>
      <c r="B854" s="1">
        <v>11188</v>
      </c>
      <c r="C854" s="13" t="str">
        <f t="shared" si="20"/>
        <v>11900</v>
      </c>
      <c r="D854" s="2"/>
      <c r="AR854" s="11" t="str">
        <f t="shared" si="21"/>
        <v>11900</v>
      </c>
    </row>
    <row r="855" spans="1:44" x14ac:dyDescent="0.25">
      <c r="A855" s="16">
        <v>44227</v>
      </c>
      <c r="B855" s="1">
        <v>11156</v>
      </c>
      <c r="C855" s="13" t="str">
        <f t="shared" si="20"/>
        <v>11900</v>
      </c>
      <c r="D855" s="2"/>
      <c r="AR855" s="11" t="str">
        <f t="shared" si="21"/>
        <v>11900</v>
      </c>
    </row>
    <row r="856" spans="1:44" x14ac:dyDescent="0.25">
      <c r="A856" s="16">
        <v>44255</v>
      </c>
      <c r="B856" s="1">
        <v>9931</v>
      </c>
      <c r="C856" s="13" t="str">
        <f t="shared" si="20"/>
        <v>11900</v>
      </c>
      <c r="D856" s="2"/>
      <c r="AR856" s="11" t="str">
        <f t="shared" si="21"/>
        <v>11900</v>
      </c>
    </row>
    <row r="857" spans="1:44" x14ac:dyDescent="0.25">
      <c r="A857" s="16">
        <v>44286</v>
      </c>
      <c r="B857" s="1">
        <v>11376</v>
      </c>
      <c r="C857" s="13" t="str">
        <f t="shared" si="20"/>
        <v>11900</v>
      </c>
      <c r="D857" s="2"/>
      <c r="AR857" s="11" t="str">
        <f t="shared" si="21"/>
        <v>11900</v>
      </c>
    </row>
    <row r="858" spans="1:44" x14ac:dyDescent="0.25">
      <c r="A858" s="16">
        <v>44316</v>
      </c>
      <c r="B858" s="1">
        <v>11355</v>
      </c>
      <c r="C858" s="13" t="str">
        <f t="shared" si="20"/>
        <v>11900</v>
      </c>
      <c r="D858" s="2"/>
      <c r="AR858" s="11" t="str">
        <f t="shared" si="21"/>
        <v>11900</v>
      </c>
    </row>
    <row r="859" spans="1:44" x14ac:dyDescent="0.25">
      <c r="A859" s="16">
        <v>44347</v>
      </c>
      <c r="B859" s="1">
        <v>11425</v>
      </c>
      <c r="C859" s="13" t="str">
        <f t="shared" si="20"/>
        <v>11900</v>
      </c>
      <c r="D859" s="2"/>
      <c r="AR859" s="11" t="str">
        <f t="shared" si="21"/>
        <v>11900</v>
      </c>
    </row>
    <row r="860" spans="1:44" x14ac:dyDescent="0.25">
      <c r="A860" s="16">
        <v>44377</v>
      </c>
      <c r="B860" s="1">
        <v>11401</v>
      </c>
      <c r="C860" s="13" t="str">
        <f t="shared" si="20"/>
        <v>11900</v>
      </c>
      <c r="D860" s="2"/>
      <c r="AR860" s="11" t="str">
        <f t="shared" si="21"/>
        <v>11900</v>
      </c>
    </row>
    <row r="861" spans="1:44" x14ac:dyDescent="0.25">
      <c r="A861" s="16">
        <v>44408</v>
      </c>
      <c r="B861" s="1">
        <v>11420</v>
      </c>
      <c r="C861" s="13" t="str">
        <f t="shared" si="20"/>
        <v>11900</v>
      </c>
      <c r="D861" s="2"/>
      <c r="AR861" s="11" t="str">
        <f t="shared" si="21"/>
        <v>11900</v>
      </c>
    </row>
    <row r="862" spans="1:44" x14ac:dyDescent="0.25">
      <c r="A862" s="16">
        <v>44439</v>
      </c>
      <c r="B862" s="1">
        <v>11318</v>
      </c>
      <c r="C862" s="13" t="str">
        <f t="shared" si="20"/>
        <v>11900</v>
      </c>
      <c r="D862" s="2"/>
      <c r="AR862" s="11" t="str">
        <f t="shared" si="21"/>
        <v>11900</v>
      </c>
    </row>
    <row r="863" spans="1:44" x14ac:dyDescent="0.25">
      <c r="A863" s="16">
        <v>44469</v>
      </c>
      <c r="B863" s="1">
        <v>10961</v>
      </c>
      <c r="C863" s="13" t="str">
        <f t="shared" si="20"/>
        <v>11900</v>
      </c>
      <c r="D863" s="2"/>
      <c r="AR863" s="11" t="str">
        <f t="shared" si="21"/>
        <v>11900</v>
      </c>
    </row>
    <row r="864" spans="1:44" x14ac:dyDescent="0.25">
      <c r="A864" s="16">
        <v>44500</v>
      </c>
      <c r="B864" s="1">
        <v>11640</v>
      </c>
      <c r="C864" s="13" t="str">
        <f t="shared" si="20"/>
        <v>11900</v>
      </c>
      <c r="D864" s="2"/>
      <c r="AR864" s="11" t="str">
        <f t="shared" si="21"/>
        <v>11900</v>
      </c>
    </row>
    <row r="865" spans="1:44" x14ac:dyDescent="0.25">
      <c r="A865" s="16">
        <v>44530</v>
      </c>
      <c r="B865" s="1">
        <v>11871</v>
      </c>
      <c r="C865" s="13" t="str">
        <f t="shared" si="20"/>
        <v>11900</v>
      </c>
      <c r="D865" s="2"/>
      <c r="AR865" s="11" t="str">
        <f t="shared" si="21"/>
        <v>11900</v>
      </c>
    </row>
    <row r="866" spans="1:44" x14ac:dyDescent="0.25">
      <c r="A866" s="16">
        <v>44561</v>
      </c>
      <c r="B866" s="1">
        <v>11760</v>
      </c>
      <c r="C866" s="13" t="str">
        <f t="shared" si="20"/>
        <v>11900</v>
      </c>
      <c r="D866" s="2"/>
      <c r="AR866" s="11" t="str">
        <f t="shared" si="21"/>
        <v>11900</v>
      </c>
    </row>
    <row r="867" spans="1:44" x14ac:dyDescent="0.25">
      <c r="A867" s="16">
        <v>44592</v>
      </c>
      <c r="B867" s="1">
        <v>11451</v>
      </c>
      <c r="C867" s="13" t="str">
        <f t="shared" si="20"/>
        <v>11900</v>
      </c>
      <c r="D867" s="2"/>
      <c r="AR867" s="11" t="str">
        <f t="shared" si="21"/>
        <v>11900</v>
      </c>
    </row>
    <row r="868" spans="1:44" x14ac:dyDescent="0.25">
      <c r="A868" s="16">
        <v>44620</v>
      </c>
      <c r="B868" s="1">
        <v>11465</v>
      </c>
      <c r="C868" s="13" t="str">
        <f t="shared" si="20"/>
        <v>11900</v>
      </c>
      <c r="D868" s="2"/>
      <c r="AR868" s="11" t="str">
        <f t="shared" si="21"/>
        <v>11900</v>
      </c>
    </row>
    <row r="869" spans="1:44" x14ac:dyDescent="0.25">
      <c r="A869" s="16">
        <v>44651</v>
      </c>
      <c r="B869" s="1">
        <v>11888</v>
      </c>
      <c r="C869" s="13" t="str">
        <f t="shared" si="20"/>
        <v>11900</v>
      </c>
      <c r="D869" s="2"/>
      <c r="AR869" s="11" t="str">
        <f t="shared" si="21"/>
        <v>11900</v>
      </c>
    </row>
    <row r="870" spans="1:44" x14ac:dyDescent="0.25">
      <c r="A870" s="16">
        <v>44681</v>
      </c>
      <c r="B870" s="1">
        <v>11830</v>
      </c>
      <c r="C870" s="13" t="str">
        <f t="shared" si="20"/>
        <v>11900</v>
      </c>
      <c r="D870" s="2"/>
      <c r="AR870" s="11" t="str">
        <f t="shared" si="21"/>
        <v>11900</v>
      </c>
    </row>
    <row r="871" spans="1:44" x14ac:dyDescent="0.25">
      <c r="A871" s="16">
        <v>44712</v>
      </c>
      <c r="B871" s="1">
        <v>11758</v>
      </c>
      <c r="C871" s="13" t="str">
        <f t="shared" si="20"/>
        <v>11900</v>
      </c>
      <c r="D871" s="2"/>
      <c r="AR871" s="11" t="str">
        <f t="shared" si="21"/>
        <v>11900</v>
      </c>
    </row>
    <row r="872" spans="1:44" x14ac:dyDescent="0.25">
      <c r="A872" s="16">
        <v>44742</v>
      </c>
      <c r="B872" s="1">
        <v>11919</v>
      </c>
      <c r="C872" s="13" t="str">
        <f t="shared" si="20"/>
        <v>11900</v>
      </c>
      <c r="D872" s="2"/>
      <c r="AR872" s="11" t="str">
        <f t="shared" si="21"/>
        <v>11900</v>
      </c>
    </row>
    <row r="873" spans="1:44" x14ac:dyDescent="0.25">
      <c r="A873" s="16">
        <v>44773</v>
      </c>
      <c r="B873" s="1">
        <v>12009</v>
      </c>
      <c r="C873" s="13" t="str">
        <f t="shared" si="20"/>
        <v>11900</v>
      </c>
      <c r="D873" s="2"/>
      <c r="AR873" s="11" t="str">
        <f t="shared" si="21"/>
        <v>11900</v>
      </c>
    </row>
    <row r="874" spans="1:44" x14ac:dyDescent="0.25">
      <c r="A874" s="16">
        <v>44804</v>
      </c>
      <c r="B874" s="1">
        <v>12134</v>
      </c>
      <c r="C874" s="13" t="str">
        <f t="shared" si="20"/>
        <v>11900</v>
      </c>
      <c r="D874" s="2"/>
      <c r="AR874" s="11" t="str">
        <f t="shared" si="21"/>
        <v>11900</v>
      </c>
    </row>
    <row r="875" spans="1:44" x14ac:dyDescent="0.25">
      <c r="A875" s="16">
        <v>44834</v>
      </c>
      <c r="B875" s="1">
        <v>12429</v>
      </c>
      <c r="C875" s="13" t="str">
        <f t="shared" si="20"/>
        <v>11900</v>
      </c>
      <c r="D875" s="2"/>
      <c r="AR875" s="11" t="str">
        <f t="shared" si="21"/>
        <v>11900</v>
      </c>
    </row>
    <row r="876" spans="1:44" x14ac:dyDescent="0.25">
      <c r="A876" s="16">
        <v>44865</v>
      </c>
      <c r="B876" s="1">
        <v>12442</v>
      </c>
      <c r="C876" s="13" t="str">
        <f t="shared" si="20"/>
        <v>11900</v>
      </c>
      <c r="D876" s="2"/>
      <c r="AR876" s="11" t="str">
        <f t="shared" si="21"/>
        <v>11900</v>
      </c>
    </row>
    <row r="877" spans="1:44" x14ac:dyDescent="0.25">
      <c r="A877" s="16">
        <v>44895</v>
      </c>
      <c r="B877" s="1">
        <v>12493</v>
      </c>
      <c r="C877" s="13" t="str">
        <f t="shared" si="20"/>
        <v>11900</v>
      </c>
      <c r="D877" s="2"/>
      <c r="AR877" s="11" t="str">
        <f t="shared" si="21"/>
        <v>11900</v>
      </c>
    </row>
    <row r="878" spans="1:44" x14ac:dyDescent="0.25">
      <c r="A878" s="16">
        <v>44926</v>
      </c>
      <c r="B878" s="1">
        <v>12202</v>
      </c>
      <c r="C878" s="13" t="str">
        <f t="shared" si="20"/>
        <v>11900</v>
      </c>
      <c r="D878" s="2"/>
      <c r="AR878" s="11" t="str">
        <f t="shared" si="21"/>
        <v>11900</v>
      </c>
    </row>
    <row r="879" spans="1:44" x14ac:dyDescent="0.25">
      <c r="A879" s="16">
        <v>44957</v>
      </c>
      <c r="B879" s="1">
        <v>12640</v>
      </c>
      <c r="C879" s="13" t="str">
        <f t="shared" si="20"/>
        <v>11900</v>
      </c>
      <c r="D879" s="2"/>
      <c r="AR879" s="11" t="str">
        <f t="shared" si="21"/>
        <v>11900</v>
      </c>
    </row>
    <row r="880" spans="1:44" x14ac:dyDescent="0.25">
      <c r="A880" s="16">
        <v>44985</v>
      </c>
      <c r="B880" s="1">
        <v>12621</v>
      </c>
      <c r="C880" s="13" t="str">
        <f t="shared" si="20"/>
        <v>11900</v>
      </c>
      <c r="D880" s="2"/>
      <c r="AR880" s="11" t="str">
        <f t="shared" si="21"/>
        <v>11900</v>
      </c>
    </row>
    <row r="881" spans="1:44" x14ac:dyDescent="0.25">
      <c r="A881" s="16">
        <v>45016</v>
      </c>
      <c r="B881" s="1">
        <v>12867</v>
      </c>
      <c r="C881" s="13" t="str">
        <f t="shared" si="20"/>
        <v>11900</v>
      </c>
      <c r="D881" s="2"/>
      <c r="AR881" s="11" t="str">
        <f t="shared" si="21"/>
        <v>11900</v>
      </c>
    </row>
    <row r="882" spans="1:44" x14ac:dyDescent="0.25">
      <c r="A882" s="16">
        <v>45046</v>
      </c>
      <c r="B882" s="1">
        <v>12734</v>
      </c>
      <c r="C882" s="13" t="str">
        <f t="shared" si="20"/>
        <v>11900</v>
      </c>
      <c r="D882" s="2"/>
      <c r="AR882" s="11" t="str">
        <f t="shared" si="21"/>
        <v>11900</v>
      </c>
    </row>
    <row r="883" spans="1:44" x14ac:dyDescent="0.25">
      <c r="A883" s="16">
        <v>45077</v>
      </c>
      <c r="B883" s="1">
        <v>12732</v>
      </c>
      <c r="C883" s="13" t="str">
        <f t="shared" si="20"/>
        <v>11900</v>
      </c>
      <c r="D883" s="2"/>
      <c r="AR883" s="11" t="str">
        <f t="shared" si="21"/>
        <v>11900</v>
      </c>
    </row>
    <row r="884" spans="1:44" x14ac:dyDescent="0.25">
      <c r="A884" s="16">
        <v>45107</v>
      </c>
      <c r="B884" s="1">
        <v>12787</v>
      </c>
      <c r="C884" s="13" t="str">
        <f t="shared" si="20"/>
        <v>11900</v>
      </c>
      <c r="D884" s="2"/>
      <c r="AR884" s="11" t="str">
        <f t="shared" si="21"/>
        <v>11900</v>
      </c>
    </row>
    <row r="885" spans="1:44" x14ac:dyDescent="0.25">
      <c r="A885" s="16">
        <v>45138</v>
      </c>
      <c r="B885" s="1">
        <v>12912</v>
      </c>
      <c r="C885" s="13" t="str">
        <f t="shared" si="20"/>
        <v>11900</v>
      </c>
      <c r="D885" s="2"/>
      <c r="AR885" s="11" t="str">
        <f t="shared" si="21"/>
        <v>11900</v>
      </c>
    </row>
    <row r="886" spans="1:44" x14ac:dyDescent="0.25">
      <c r="A886" s="16">
        <v>45169</v>
      </c>
      <c r="B886" s="1">
        <v>12999</v>
      </c>
    </row>
    <row r="887" spans="1:44" x14ac:dyDescent="0.25">
      <c r="A887" s="16">
        <v>45199</v>
      </c>
      <c r="B887" s="1">
        <v>13178</v>
      </c>
    </row>
    <row r="888" spans="1:44" x14ac:dyDescent="0.25">
      <c r="A888" s="16">
        <v>45230</v>
      </c>
      <c r="B888" s="1">
        <v>13213</v>
      </c>
    </row>
    <row r="889" spans="1:44" x14ac:dyDescent="0.25">
      <c r="A889" s="16">
        <v>45260</v>
      </c>
      <c r="B889" s="1">
        <v>13316</v>
      </c>
    </row>
    <row r="890" spans="1:44" x14ac:dyDescent="0.25">
      <c r="A890" s="16">
        <v>45291</v>
      </c>
      <c r="B890" s="1">
        <v>13297</v>
      </c>
    </row>
    <row r="891" spans="1:44" x14ac:dyDescent="0.25">
      <c r="A891" s="16">
        <v>45322</v>
      </c>
      <c r="B891" s="1">
        <v>12517</v>
      </c>
    </row>
    <row r="892" spans="1:44" x14ac:dyDescent="0.25">
      <c r="A892" s="16">
        <v>45351</v>
      </c>
      <c r="B892" s="1">
        <v>13129</v>
      </c>
    </row>
    <row r="893" spans="1:44" x14ac:dyDescent="0.25">
      <c r="A893" s="16">
        <v>45382</v>
      </c>
      <c r="B893" s="1">
        <v>13190</v>
      </c>
    </row>
    <row r="894" spans="1:44" x14ac:dyDescent="0.25">
      <c r="A894" s="16">
        <v>45412</v>
      </c>
      <c r="B894" s="1">
        <v>13314</v>
      </c>
    </row>
    <row r="895" spans="1:44" x14ac:dyDescent="0.25">
      <c r="A895" s="16">
        <v>45443</v>
      </c>
      <c r="B895" s="1">
        <v>13256</v>
      </c>
    </row>
    <row r="896" spans="1:44" x14ac:dyDescent="0.25">
      <c r="A896" s="16">
        <v>45473</v>
      </c>
      <c r="B896" s="1">
        <v>13252</v>
      </c>
    </row>
    <row r="897" spans="1:2" x14ac:dyDescent="0.25">
      <c r="A897" s="16">
        <v>45504</v>
      </c>
      <c r="B897" s="1">
        <v>13212</v>
      </c>
    </row>
    <row r="898" spans="1:2" x14ac:dyDescent="0.25">
      <c r="A898" s="16">
        <v>45535</v>
      </c>
      <c r="B898" s="1">
        <v>13411</v>
      </c>
    </row>
    <row r="899" spans="1:2" x14ac:dyDescent="0.25">
      <c r="A899" s="16">
        <v>45565</v>
      </c>
      <c r="B899" s="1">
        <v>13171</v>
      </c>
    </row>
    <row r="900" spans="1:2" x14ac:dyDescent="0.25">
      <c r="A900" s="16">
        <v>45596</v>
      </c>
      <c r="B900" s="1">
        <v>13530</v>
      </c>
    </row>
    <row r="901" spans="1:2" x14ac:dyDescent="0.25">
      <c r="A901" s="16">
        <v>45626</v>
      </c>
      <c r="B901" s="1">
        <v>13396</v>
      </c>
    </row>
    <row r="902" spans="1:2" x14ac:dyDescent="0.25">
      <c r="A902" s="16">
        <v>45657</v>
      </c>
      <c r="B902" s="1">
        <v>13437</v>
      </c>
    </row>
    <row r="903" spans="1:2" x14ac:dyDescent="0.25">
      <c r="A903" s="16">
        <v>45688</v>
      </c>
      <c r="B903" s="1">
        <v>13140</v>
      </c>
    </row>
    <row r="904" spans="1:2" x14ac:dyDescent="0.25">
      <c r="A904" s="16">
        <v>45716</v>
      </c>
      <c r="B904" s="1">
        <v>13240</v>
      </c>
    </row>
    <row r="905" spans="1:2" x14ac:dyDescent="0.25">
      <c r="A905" s="16">
        <v>45747</v>
      </c>
      <c r="B905" s="1">
        <v>13453</v>
      </c>
    </row>
    <row r="906" spans="1:2" x14ac:dyDescent="0.25">
      <c r="A906" s="16">
        <v>45777</v>
      </c>
      <c r="B906" s="1">
        <v>13466</v>
      </c>
    </row>
    <row r="907" spans="1:2" x14ac:dyDescent="0.25">
      <c r="A907" s="16">
        <v>45808</v>
      </c>
      <c r="B907" s="1">
        <v>13447</v>
      </c>
    </row>
    <row r="908" spans="1:2" x14ac:dyDescent="0.25">
      <c r="A908" s="16">
        <v>45838</v>
      </c>
      <c r="B908" s="1">
        <v>13610</v>
      </c>
    </row>
    <row r="909" spans="1:2" x14ac:dyDescent="0.25">
      <c r="A909" s="16">
        <v>45869</v>
      </c>
      <c r="B909" s="1">
        <v>13707</v>
      </c>
    </row>
    <row r="910" spans="1:2" x14ac:dyDescent="0.25">
      <c r="A910" s="16">
        <v>45900</v>
      </c>
      <c r="B910" s="1">
        <v>13810</v>
      </c>
    </row>
    <row r="911" spans="1:2" x14ac:dyDescent="0.25">
      <c r="A911" s="16">
        <v>45930</v>
      </c>
      <c r="B911" s="1">
        <v>13828</v>
      </c>
    </row>
    <row r="912" spans="1:2" x14ac:dyDescent="0.25">
      <c r="A912" s="16">
        <v>45961</v>
      </c>
      <c r="B912" s="1">
        <v>13864</v>
      </c>
    </row>
    <row r="913" spans="1:2" x14ac:dyDescent="0.25">
      <c r="A913" s="16">
        <v>45991</v>
      </c>
      <c r="B913" s="1">
        <v>13789</v>
      </c>
    </row>
    <row r="914" spans="1:2" x14ac:dyDescent="0.25">
      <c r="A914" s="16">
        <v>46022</v>
      </c>
      <c r="B914" s="1">
        <v>13656</v>
      </c>
    </row>
    <row r="915" spans="1:2" x14ac:dyDescent="0.25">
      <c r="A915" s="16">
        <v>46053</v>
      </c>
      <c r="B915" s="1">
        <v>13246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B3D3-D959-4DB5-9892-3B5E8D3449AC}">
  <dimension ref="A1:E1897"/>
  <sheetViews>
    <sheetView workbookViewId="0">
      <pane xSplit="1" ySplit="2" topLeftCell="B400" activePane="bottomRight" state="frozen"/>
      <selection pane="topRight" activeCell="B1" sqref="B1"/>
      <selection pane="bottomLeft" activeCell="A3" sqref="A3"/>
      <selection pane="bottomRight" activeCell="D405" sqref="D405:D422"/>
    </sheetView>
  </sheetViews>
  <sheetFormatPr defaultRowHeight="15" x14ac:dyDescent="0.25"/>
  <cols>
    <col min="2" max="2" width="13.85546875" customWidth="1"/>
    <col min="4" max="4" width="13.5703125" customWidth="1"/>
    <col min="5" max="5" width="10.7109375" bestFit="1" customWidth="1"/>
  </cols>
  <sheetData>
    <row r="1" spans="1:5" x14ac:dyDescent="0.25">
      <c r="B1" t="s">
        <v>63</v>
      </c>
      <c r="D1" t="s">
        <v>64</v>
      </c>
    </row>
    <row r="2" spans="1:5" x14ac:dyDescent="0.25">
      <c r="B2" s="1" t="s">
        <v>0</v>
      </c>
    </row>
    <row r="3" spans="1:5" x14ac:dyDescent="0.25">
      <c r="A3" s="9" t="str">
        <f>MONTH(B3)&amp;YEAR(B3)</f>
        <v>11990</v>
      </c>
      <c r="B3" s="14" cm="1">
        <f t="array" ref="B3:C1897">_xll.BDH($B$2, "PX_LAST", "01/01/1990", "")</f>
        <v>32878</v>
      </c>
      <c r="C3">
        <v>20</v>
      </c>
      <c r="D3" s="9">
        <v>32904</v>
      </c>
      <c r="E3">
        <f>SUMIF(A:A,MONTH(D3)&amp;YEAR(D3),C:C)</f>
        <v>-79</v>
      </c>
    </row>
    <row r="4" spans="1:5" x14ac:dyDescent="0.25">
      <c r="A4" s="9" t="str">
        <f t="shared" ref="A4:A67" si="0">MONTH(B4)&amp;YEAR(B4)</f>
        <v>11990</v>
      </c>
      <c r="B4" s="14">
        <v>32885</v>
      </c>
      <c r="C4">
        <v>3597</v>
      </c>
      <c r="D4" s="9">
        <v>32932</v>
      </c>
      <c r="E4">
        <f t="shared" ref="E4:E67" si="1">SUMIF(A:A,MONTH(D4)&amp;YEAR(D4),C:C)</f>
        <v>-2296</v>
      </c>
    </row>
    <row r="5" spans="1:5" x14ac:dyDescent="0.25">
      <c r="A5" s="9" t="str">
        <f t="shared" si="0"/>
        <v>11990</v>
      </c>
      <c r="B5" s="14">
        <v>32892</v>
      </c>
      <c r="C5">
        <v>-1646</v>
      </c>
      <c r="D5" s="9">
        <v>32963</v>
      </c>
      <c r="E5">
        <f t="shared" si="1"/>
        <v>20780</v>
      </c>
    </row>
    <row r="6" spans="1:5" x14ac:dyDescent="0.25">
      <c r="A6" s="9" t="str">
        <f t="shared" si="0"/>
        <v>11990</v>
      </c>
      <c r="B6" s="14">
        <v>32899</v>
      </c>
      <c r="C6">
        <v>-2050</v>
      </c>
      <c r="D6" s="9">
        <v>32993</v>
      </c>
      <c r="E6">
        <f t="shared" si="1"/>
        <v>10802</v>
      </c>
    </row>
    <row r="7" spans="1:5" x14ac:dyDescent="0.25">
      <c r="A7" s="9" t="str">
        <f t="shared" si="0"/>
        <v>21990</v>
      </c>
      <c r="B7" s="14">
        <v>32906</v>
      </c>
      <c r="C7">
        <v>9539</v>
      </c>
      <c r="D7" s="9">
        <v>33024</v>
      </c>
      <c r="E7">
        <f t="shared" si="1"/>
        <v>8603</v>
      </c>
    </row>
    <row r="8" spans="1:5" x14ac:dyDescent="0.25">
      <c r="A8" s="9" t="str">
        <f t="shared" si="0"/>
        <v>21990</v>
      </c>
      <c r="B8" s="14">
        <v>32913</v>
      </c>
      <c r="C8">
        <v>-4812</v>
      </c>
      <c r="D8" s="9">
        <v>33054</v>
      </c>
      <c r="E8">
        <f t="shared" si="1"/>
        <v>5572</v>
      </c>
    </row>
    <row r="9" spans="1:5" x14ac:dyDescent="0.25">
      <c r="A9" s="9" t="str">
        <f t="shared" si="0"/>
        <v>21990</v>
      </c>
      <c r="B9" s="14">
        <v>32920</v>
      </c>
      <c r="C9">
        <v>-2447</v>
      </c>
      <c r="D9" s="9">
        <v>33085</v>
      </c>
      <c r="E9">
        <f t="shared" si="1"/>
        <v>3735</v>
      </c>
    </row>
    <row r="10" spans="1:5" x14ac:dyDescent="0.25">
      <c r="A10" s="9" t="str">
        <f t="shared" si="0"/>
        <v>21990</v>
      </c>
      <c r="B10" s="14">
        <v>32927</v>
      </c>
      <c r="C10">
        <v>-4576</v>
      </c>
      <c r="D10" s="9">
        <v>33116</v>
      </c>
      <c r="E10">
        <f t="shared" si="1"/>
        <v>-16027</v>
      </c>
    </row>
    <row r="11" spans="1:5" x14ac:dyDescent="0.25">
      <c r="A11" s="9" t="str">
        <f t="shared" si="0"/>
        <v>31990</v>
      </c>
      <c r="B11" s="14">
        <v>32934</v>
      </c>
      <c r="C11">
        <v>3731</v>
      </c>
      <c r="D11" s="9">
        <v>33146</v>
      </c>
      <c r="E11">
        <f t="shared" si="1"/>
        <v>-18310</v>
      </c>
    </row>
    <row r="12" spans="1:5" x14ac:dyDescent="0.25">
      <c r="A12" s="9" t="str">
        <f t="shared" si="0"/>
        <v>31990</v>
      </c>
      <c r="B12" s="14">
        <v>32941</v>
      </c>
      <c r="C12">
        <v>6326</v>
      </c>
      <c r="D12" s="9">
        <v>33177</v>
      </c>
      <c r="E12">
        <f t="shared" si="1"/>
        <v>-11229</v>
      </c>
    </row>
    <row r="13" spans="1:5" x14ac:dyDescent="0.25">
      <c r="A13" s="9" t="str">
        <f t="shared" si="0"/>
        <v>31990</v>
      </c>
      <c r="B13" s="14">
        <v>32948</v>
      </c>
      <c r="C13">
        <v>-1446</v>
      </c>
      <c r="D13" s="9">
        <v>33207</v>
      </c>
      <c r="E13">
        <f t="shared" si="1"/>
        <v>-488</v>
      </c>
    </row>
    <row r="14" spans="1:5" x14ac:dyDescent="0.25">
      <c r="A14" s="9" t="str">
        <f t="shared" si="0"/>
        <v>31990</v>
      </c>
      <c r="B14" s="14">
        <v>32955</v>
      </c>
      <c r="C14">
        <v>9235</v>
      </c>
      <c r="D14" s="9">
        <v>33238</v>
      </c>
      <c r="E14">
        <f t="shared" si="1"/>
        <v>-10990</v>
      </c>
    </row>
    <row r="15" spans="1:5" x14ac:dyDescent="0.25">
      <c r="A15" s="9" t="str">
        <f t="shared" si="0"/>
        <v>31990</v>
      </c>
      <c r="B15" s="14">
        <v>32962</v>
      </c>
      <c r="C15">
        <v>2934</v>
      </c>
      <c r="D15" s="9">
        <v>33269</v>
      </c>
      <c r="E15">
        <f t="shared" si="1"/>
        <v>-8112</v>
      </c>
    </row>
    <row r="16" spans="1:5" x14ac:dyDescent="0.25">
      <c r="A16" s="9" t="str">
        <f t="shared" si="0"/>
        <v>41990</v>
      </c>
      <c r="B16" s="14">
        <v>32969</v>
      </c>
      <c r="C16">
        <v>7237</v>
      </c>
      <c r="D16" s="9">
        <v>33297</v>
      </c>
      <c r="E16">
        <f t="shared" si="1"/>
        <v>9245</v>
      </c>
    </row>
    <row r="17" spans="1:5" x14ac:dyDescent="0.25">
      <c r="A17" s="9" t="str">
        <f t="shared" si="0"/>
        <v>41990</v>
      </c>
      <c r="B17" s="14">
        <v>32976</v>
      </c>
      <c r="C17">
        <v>917</v>
      </c>
      <c r="D17" s="9">
        <v>33328</v>
      </c>
      <c r="E17">
        <f t="shared" si="1"/>
        <v>10525</v>
      </c>
    </row>
    <row r="18" spans="1:5" x14ac:dyDescent="0.25">
      <c r="A18" s="9" t="str">
        <f t="shared" si="0"/>
        <v>41990</v>
      </c>
      <c r="B18" s="14">
        <v>32983</v>
      </c>
      <c r="C18">
        <v>-1560</v>
      </c>
      <c r="D18" s="9">
        <v>33358</v>
      </c>
      <c r="E18">
        <f t="shared" si="1"/>
        <v>1055</v>
      </c>
    </row>
    <row r="19" spans="1:5" x14ac:dyDescent="0.25">
      <c r="A19" s="9" t="str">
        <f t="shared" si="0"/>
        <v>41990</v>
      </c>
      <c r="B19" s="14">
        <v>32990</v>
      </c>
      <c r="C19">
        <v>4208</v>
      </c>
      <c r="D19" s="9">
        <v>33389</v>
      </c>
      <c r="E19">
        <f t="shared" si="1"/>
        <v>8341</v>
      </c>
    </row>
    <row r="20" spans="1:5" x14ac:dyDescent="0.25">
      <c r="A20" s="9" t="str">
        <f t="shared" si="0"/>
        <v>51990</v>
      </c>
      <c r="B20" s="14">
        <v>32997</v>
      </c>
      <c r="C20">
        <v>-631</v>
      </c>
      <c r="D20" s="9">
        <v>33419</v>
      </c>
      <c r="E20">
        <f t="shared" si="1"/>
        <v>-3499</v>
      </c>
    </row>
    <row r="21" spans="1:5" x14ac:dyDescent="0.25">
      <c r="A21" s="9" t="str">
        <f t="shared" si="0"/>
        <v>51990</v>
      </c>
      <c r="B21" s="14">
        <v>33004</v>
      </c>
      <c r="C21">
        <v>4713</v>
      </c>
      <c r="D21" s="9">
        <v>33450</v>
      </c>
      <c r="E21">
        <f t="shared" si="1"/>
        <v>-5330</v>
      </c>
    </row>
    <row r="22" spans="1:5" x14ac:dyDescent="0.25">
      <c r="A22" s="9" t="str">
        <f t="shared" si="0"/>
        <v>51990</v>
      </c>
      <c r="B22" s="14">
        <v>33011</v>
      </c>
      <c r="C22">
        <v>3796</v>
      </c>
      <c r="D22" s="9">
        <v>33481</v>
      </c>
      <c r="E22">
        <f t="shared" si="1"/>
        <v>7663</v>
      </c>
    </row>
    <row r="23" spans="1:5" x14ac:dyDescent="0.25">
      <c r="A23" s="9" t="str">
        <f t="shared" si="0"/>
        <v>51990</v>
      </c>
      <c r="B23" s="14">
        <v>33018</v>
      </c>
      <c r="C23">
        <v>725</v>
      </c>
      <c r="D23" s="9">
        <v>33511</v>
      </c>
      <c r="E23">
        <f t="shared" si="1"/>
        <v>-11337</v>
      </c>
    </row>
    <row r="24" spans="1:5" x14ac:dyDescent="0.25">
      <c r="A24" s="9" t="str">
        <f t="shared" si="0"/>
        <v>61990</v>
      </c>
      <c r="B24" s="14">
        <v>33025</v>
      </c>
      <c r="C24">
        <v>2482</v>
      </c>
      <c r="D24" s="9">
        <v>33542</v>
      </c>
      <c r="E24">
        <f t="shared" si="1"/>
        <v>8273</v>
      </c>
    </row>
    <row r="25" spans="1:5" x14ac:dyDescent="0.25">
      <c r="A25" s="9" t="str">
        <f t="shared" si="0"/>
        <v>61990</v>
      </c>
      <c r="B25" s="14">
        <v>33032</v>
      </c>
      <c r="C25">
        <v>1868</v>
      </c>
      <c r="D25" s="9">
        <v>33572</v>
      </c>
      <c r="E25">
        <f t="shared" si="1"/>
        <v>-8592</v>
      </c>
    </row>
    <row r="26" spans="1:5" x14ac:dyDescent="0.25">
      <c r="A26" s="9" t="str">
        <f t="shared" si="0"/>
        <v>61990</v>
      </c>
      <c r="B26" s="14">
        <v>33039</v>
      </c>
      <c r="C26">
        <v>-485</v>
      </c>
      <c r="D26" s="9">
        <v>33603</v>
      </c>
      <c r="E26">
        <f t="shared" si="1"/>
        <v>-14696</v>
      </c>
    </row>
    <row r="27" spans="1:5" x14ac:dyDescent="0.25">
      <c r="A27" s="9" t="str">
        <f t="shared" si="0"/>
        <v>61990</v>
      </c>
      <c r="B27" s="14">
        <v>33046</v>
      </c>
      <c r="C27">
        <v>703</v>
      </c>
      <c r="D27" s="9">
        <v>33634</v>
      </c>
      <c r="E27">
        <f t="shared" si="1"/>
        <v>9041</v>
      </c>
    </row>
    <row r="28" spans="1:5" x14ac:dyDescent="0.25">
      <c r="A28" s="9" t="str">
        <f t="shared" si="0"/>
        <v>61990</v>
      </c>
      <c r="B28" s="14">
        <v>33053</v>
      </c>
      <c r="C28">
        <v>1004</v>
      </c>
      <c r="D28" s="9">
        <v>33663</v>
      </c>
      <c r="E28">
        <f t="shared" si="1"/>
        <v>8189</v>
      </c>
    </row>
    <row r="29" spans="1:5" x14ac:dyDescent="0.25">
      <c r="A29" s="9" t="str">
        <f t="shared" si="0"/>
        <v>71990</v>
      </c>
      <c r="B29" s="14">
        <v>33060</v>
      </c>
      <c r="C29">
        <v>-3200</v>
      </c>
      <c r="D29" s="9">
        <v>33694</v>
      </c>
      <c r="E29">
        <f t="shared" si="1"/>
        <v>-864</v>
      </c>
    </row>
    <row r="30" spans="1:5" x14ac:dyDescent="0.25">
      <c r="A30" s="9" t="str">
        <f t="shared" si="0"/>
        <v>71990</v>
      </c>
      <c r="B30" s="14">
        <v>33067</v>
      </c>
      <c r="C30">
        <v>4543</v>
      </c>
      <c r="D30" s="9">
        <v>33724</v>
      </c>
      <c r="E30">
        <f t="shared" si="1"/>
        <v>7953</v>
      </c>
    </row>
    <row r="31" spans="1:5" x14ac:dyDescent="0.25">
      <c r="A31" s="9" t="str">
        <f t="shared" si="0"/>
        <v>71990</v>
      </c>
      <c r="B31" s="14">
        <v>33074</v>
      </c>
      <c r="C31">
        <v>-2177</v>
      </c>
      <c r="D31" s="9">
        <v>33755</v>
      </c>
      <c r="E31">
        <f t="shared" si="1"/>
        <v>-4636</v>
      </c>
    </row>
    <row r="32" spans="1:5" x14ac:dyDescent="0.25">
      <c r="A32" s="9" t="str">
        <f t="shared" si="0"/>
        <v>71990</v>
      </c>
      <c r="B32" s="14">
        <v>33081</v>
      </c>
      <c r="C32">
        <v>4569</v>
      </c>
      <c r="D32" s="9">
        <v>33785</v>
      </c>
      <c r="E32">
        <f t="shared" si="1"/>
        <v>-16234</v>
      </c>
    </row>
    <row r="33" spans="1:5" x14ac:dyDescent="0.25">
      <c r="A33" s="9" t="str">
        <f t="shared" si="0"/>
        <v>81990</v>
      </c>
      <c r="B33" s="14">
        <v>33088</v>
      </c>
      <c r="C33">
        <v>-7889</v>
      </c>
      <c r="D33" s="9">
        <v>33816</v>
      </c>
      <c r="E33">
        <f t="shared" si="1"/>
        <v>1116</v>
      </c>
    </row>
    <row r="34" spans="1:5" x14ac:dyDescent="0.25">
      <c r="A34" s="9" t="str">
        <f t="shared" si="0"/>
        <v>81990</v>
      </c>
      <c r="B34" s="14">
        <v>33095</v>
      </c>
      <c r="C34">
        <v>-4845</v>
      </c>
      <c r="D34" s="9">
        <v>33847</v>
      </c>
      <c r="E34">
        <f t="shared" si="1"/>
        <v>-5495</v>
      </c>
    </row>
    <row r="35" spans="1:5" x14ac:dyDescent="0.25">
      <c r="A35" s="9" t="str">
        <f t="shared" si="0"/>
        <v>81990</v>
      </c>
      <c r="B35" s="14">
        <v>33102</v>
      </c>
      <c r="C35">
        <v>330</v>
      </c>
      <c r="D35" s="9">
        <v>33877</v>
      </c>
      <c r="E35">
        <f t="shared" si="1"/>
        <v>-2971</v>
      </c>
    </row>
    <row r="36" spans="1:5" x14ac:dyDescent="0.25">
      <c r="A36" s="9" t="str">
        <f t="shared" si="0"/>
        <v>81990</v>
      </c>
      <c r="B36" s="14">
        <v>33109</v>
      </c>
      <c r="C36">
        <v>1624</v>
      </c>
      <c r="D36" s="9">
        <v>33908</v>
      </c>
      <c r="E36">
        <f t="shared" si="1"/>
        <v>8996</v>
      </c>
    </row>
    <row r="37" spans="1:5" x14ac:dyDescent="0.25">
      <c r="A37" s="9" t="str">
        <f t="shared" si="0"/>
        <v>81990</v>
      </c>
      <c r="B37" s="14">
        <v>33116</v>
      </c>
      <c r="C37">
        <v>-5247</v>
      </c>
      <c r="D37" s="9">
        <v>33938</v>
      </c>
      <c r="E37">
        <f t="shared" si="1"/>
        <v>-6179</v>
      </c>
    </row>
    <row r="38" spans="1:5" x14ac:dyDescent="0.25">
      <c r="A38" s="9" t="str">
        <f t="shared" si="0"/>
        <v>91990</v>
      </c>
      <c r="B38" s="14">
        <v>33123</v>
      </c>
      <c r="C38">
        <v>2889</v>
      </c>
      <c r="D38" s="9">
        <v>33969</v>
      </c>
      <c r="E38">
        <f t="shared" si="1"/>
        <v>-7271</v>
      </c>
    </row>
    <row r="39" spans="1:5" x14ac:dyDescent="0.25">
      <c r="A39" s="9" t="str">
        <f t="shared" si="0"/>
        <v>91990</v>
      </c>
      <c r="B39" s="14">
        <v>33130</v>
      </c>
      <c r="C39">
        <v>-5647</v>
      </c>
      <c r="D39" s="9">
        <v>34000</v>
      </c>
      <c r="E39">
        <f t="shared" si="1"/>
        <v>6725</v>
      </c>
    </row>
    <row r="40" spans="1:5" x14ac:dyDescent="0.25">
      <c r="A40" s="9" t="str">
        <f t="shared" si="0"/>
        <v>91990</v>
      </c>
      <c r="B40" s="14">
        <v>33137</v>
      </c>
      <c r="C40">
        <v>-5725</v>
      </c>
      <c r="D40" s="9">
        <v>34028</v>
      </c>
      <c r="E40">
        <f t="shared" si="1"/>
        <v>8075</v>
      </c>
    </row>
    <row r="41" spans="1:5" x14ac:dyDescent="0.25">
      <c r="A41" s="9" t="str">
        <f t="shared" si="0"/>
        <v>91990</v>
      </c>
      <c r="B41" s="14">
        <v>33144</v>
      </c>
      <c r="C41">
        <v>-9827</v>
      </c>
      <c r="D41" s="9">
        <v>34059</v>
      </c>
      <c r="E41">
        <f t="shared" si="1"/>
        <v>6264</v>
      </c>
    </row>
    <row r="42" spans="1:5" x14ac:dyDescent="0.25">
      <c r="A42" s="9" t="str">
        <f t="shared" si="0"/>
        <v>101990</v>
      </c>
      <c r="B42" s="14">
        <v>33151</v>
      </c>
      <c r="C42">
        <v>-2192</v>
      </c>
      <c r="D42" s="9">
        <v>34089</v>
      </c>
      <c r="E42">
        <f t="shared" si="1"/>
        <v>6575</v>
      </c>
    </row>
    <row r="43" spans="1:5" x14ac:dyDescent="0.25">
      <c r="A43" s="9" t="str">
        <f t="shared" si="0"/>
        <v>101990</v>
      </c>
      <c r="B43" s="14">
        <v>33158</v>
      </c>
      <c r="C43">
        <v>-7519</v>
      </c>
      <c r="D43" s="9">
        <v>34120</v>
      </c>
      <c r="E43">
        <f t="shared" si="1"/>
        <v>5170</v>
      </c>
    </row>
    <row r="44" spans="1:5" x14ac:dyDescent="0.25">
      <c r="A44" s="9" t="str">
        <f t="shared" si="0"/>
        <v>101990</v>
      </c>
      <c r="B44" s="14">
        <v>33165</v>
      </c>
      <c r="C44">
        <v>-2760</v>
      </c>
      <c r="D44" s="9">
        <v>34150</v>
      </c>
      <c r="E44">
        <f t="shared" si="1"/>
        <v>5868</v>
      </c>
    </row>
    <row r="45" spans="1:5" x14ac:dyDescent="0.25">
      <c r="A45" s="9" t="str">
        <f t="shared" si="0"/>
        <v>101990</v>
      </c>
      <c r="B45" s="14">
        <v>33172</v>
      </c>
      <c r="C45">
        <v>1242</v>
      </c>
      <c r="D45" s="9">
        <v>34181</v>
      </c>
      <c r="E45">
        <f t="shared" si="1"/>
        <v>-6510</v>
      </c>
    </row>
    <row r="46" spans="1:5" x14ac:dyDescent="0.25">
      <c r="A46" s="9" t="str">
        <f t="shared" si="0"/>
        <v>111990</v>
      </c>
      <c r="B46" s="14">
        <v>33179</v>
      </c>
      <c r="C46">
        <v>4049</v>
      </c>
      <c r="D46" s="9">
        <v>34212</v>
      </c>
      <c r="E46">
        <f t="shared" si="1"/>
        <v>-7080</v>
      </c>
    </row>
    <row r="47" spans="1:5" x14ac:dyDescent="0.25">
      <c r="A47" s="9" t="str">
        <f t="shared" si="0"/>
        <v>111990</v>
      </c>
      <c r="B47" s="14">
        <v>33186</v>
      </c>
      <c r="C47">
        <v>1644</v>
      </c>
      <c r="D47" s="9">
        <v>34242</v>
      </c>
      <c r="E47">
        <f t="shared" si="1"/>
        <v>-14984</v>
      </c>
    </row>
    <row r="48" spans="1:5" x14ac:dyDescent="0.25">
      <c r="A48" s="9" t="str">
        <f t="shared" si="0"/>
        <v>111990</v>
      </c>
      <c r="B48" s="14">
        <v>33193</v>
      </c>
      <c r="C48">
        <v>-5743</v>
      </c>
      <c r="D48" s="9">
        <v>34273</v>
      </c>
      <c r="E48">
        <f t="shared" si="1"/>
        <v>6134</v>
      </c>
    </row>
    <row r="49" spans="1:5" x14ac:dyDescent="0.25">
      <c r="A49" s="9" t="str">
        <f t="shared" si="0"/>
        <v>111990</v>
      </c>
      <c r="B49" s="14">
        <v>33200</v>
      </c>
      <c r="C49">
        <v>-3025</v>
      </c>
      <c r="D49" s="9">
        <v>34303</v>
      </c>
      <c r="E49">
        <f t="shared" si="1"/>
        <v>-1927</v>
      </c>
    </row>
    <row r="50" spans="1:5" x14ac:dyDescent="0.25">
      <c r="A50" s="9" t="str">
        <f t="shared" si="0"/>
        <v>111990</v>
      </c>
      <c r="B50" s="14">
        <v>33207</v>
      </c>
      <c r="C50">
        <v>2587</v>
      </c>
      <c r="D50" s="9">
        <v>34334</v>
      </c>
      <c r="E50">
        <f t="shared" si="1"/>
        <v>7466</v>
      </c>
    </row>
    <row r="51" spans="1:5" x14ac:dyDescent="0.25">
      <c r="A51" s="9" t="str">
        <f t="shared" si="0"/>
        <v>121990</v>
      </c>
      <c r="B51" s="14">
        <v>33214</v>
      </c>
      <c r="C51">
        <v>-5498</v>
      </c>
      <c r="D51" s="9">
        <v>34365</v>
      </c>
      <c r="E51">
        <f t="shared" si="1"/>
        <v>-9502</v>
      </c>
    </row>
    <row r="52" spans="1:5" x14ac:dyDescent="0.25">
      <c r="A52" s="9" t="str">
        <f t="shared" si="0"/>
        <v>121990</v>
      </c>
      <c r="B52" s="14">
        <v>33221</v>
      </c>
      <c r="C52">
        <v>-1258</v>
      </c>
      <c r="D52" s="9">
        <v>34393</v>
      </c>
      <c r="E52">
        <f t="shared" si="1"/>
        <v>-4603</v>
      </c>
    </row>
    <row r="53" spans="1:5" x14ac:dyDescent="0.25">
      <c r="A53" s="9" t="str">
        <f t="shared" si="0"/>
        <v>121990</v>
      </c>
      <c r="B53" s="14">
        <v>33228</v>
      </c>
      <c r="C53">
        <v>1838</v>
      </c>
      <c r="D53" s="9">
        <v>34424</v>
      </c>
      <c r="E53">
        <f t="shared" si="1"/>
        <v>9400</v>
      </c>
    </row>
    <row r="54" spans="1:5" x14ac:dyDescent="0.25">
      <c r="A54" s="9" t="str">
        <f t="shared" si="0"/>
        <v>121990</v>
      </c>
      <c r="B54" s="14">
        <v>33235</v>
      </c>
      <c r="C54">
        <v>-6072</v>
      </c>
      <c r="D54" s="9">
        <v>34454</v>
      </c>
      <c r="E54">
        <f t="shared" si="1"/>
        <v>3630</v>
      </c>
    </row>
    <row r="55" spans="1:5" x14ac:dyDescent="0.25">
      <c r="A55" s="9" t="str">
        <f t="shared" si="0"/>
        <v>11991</v>
      </c>
      <c r="B55" s="14">
        <v>33242</v>
      </c>
      <c r="C55">
        <v>-7613</v>
      </c>
      <c r="D55" s="9">
        <v>34485</v>
      </c>
      <c r="E55">
        <f t="shared" si="1"/>
        <v>-6344</v>
      </c>
    </row>
    <row r="56" spans="1:5" x14ac:dyDescent="0.25">
      <c r="A56" s="9" t="str">
        <f t="shared" si="0"/>
        <v>11991</v>
      </c>
      <c r="B56" s="14">
        <v>33249</v>
      </c>
      <c r="C56">
        <v>898</v>
      </c>
      <c r="D56" s="9">
        <v>34515</v>
      </c>
      <c r="E56">
        <f t="shared" si="1"/>
        <v>-5633</v>
      </c>
    </row>
    <row r="57" spans="1:5" x14ac:dyDescent="0.25">
      <c r="A57" s="9" t="str">
        <f t="shared" si="0"/>
        <v>11991</v>
      </c>
      <c r="B57" s="14">
        <v>33256</v>
      </c>
      <c r="C57">
        <v>-1389</v>
      </c>
      <c r="D57" s="9">
        <v>34546</v>
      </c>
      <c r="E57">
        <f t="shared" si="1"/>
        <v>1731</v>
      </c>
    </row>
    <row r="58" spans="1:5" x14ac:dyDescent="0.25">
      <c r="A58" s="9" t="str">
        <f t="shared" si="0"/>
        <v>11991</v>
      </c>
      <c r="B58" s="14">
        <v>33263</v>
      </c>
      <c r="C58">
        <v>-8</v>
      </c>
      <c r="D58" s="9">
        <v>34577</v>
      </c>
      <c r="E58">
        <f t="shared" si="1"/>
        <v>-4819</v>
      </c>
    </row>
    <row r="59" spans="1:5" x14ac:dyDescent="0.25">
      <c r="A59" s="9" t="str">
        <f t="shared" si="0"/>
        <v>21991</v>
      </c>
      <c r="B59" s="14">
        <v>33270</v>
      </c>
      <c r="C59">
        <v>3211</v>
      </c>
      <c r="D59" s="9">
        <v>34607</v>
      </c>
      <c r="E59">
        <f t="shared" si="1"/>
        <v>10135</v>
      </c>
    </row>
    <row r="60" spans="1:5" x14ac:dyDescent="0.25">
      <c r="A60" s="9" t="str">
        <f t="shared" si="0"/>
        <v>21991</v>
      </c>
      <c r="B60" s="14">
        <v>33277</v>
      </c>
      <c r="C60">
        <v>1210</v>
      </c>
      <c r="D60" s="9">
        <v>34638</v>
      </c>
      <c r="E60">
        <f t="shared" si="1"/>
        <v>10936</v>
      </c>
    </row>
    <row r="61" spans="1:5" x14ac:dyDescent="0.25">
      <c r="A61" s="9" t="str">
        <f t="shared" si="0"/>
        <v>21991</v>
      </c>
      <c r="B61" s="14">
        <v>33284</v>
      </c>
      <c r="C61">
        <v>5919</v>
      </c>
      <c r="D61" s="9">
        <v>34668</v>
      </c>
      <c r="E61">
        <f t="shared" si="1"/>
        <v>-7244</v>
      </c>
    </row>
    <row r="62" spans="1:5" x14ac:dyDescent="0.25">
      <c r="A62" s="9" t="str">
        <f t="shared" si="0"/>
        <v>21991</v>
      </c>
      <c r="B62" s="14">
        <v>33291</v>
      </c>
      <c r="C62">
        <v>-1095</v>
      </c>
      <c r="D62" s="9">
        <v>34699</v>
      </c>
      <c r="E62">
        <f t="shared" si="1"/>
        <v>-9241</v>
      </c>
    </row>
    <row r="63" spans="1:5" x14ac:dyDescent="0.25">
      <c r="A63" s="9" t="str">
        <f t="shared" si="0"/>
        <v>31991</v>
      </c>
      <c r="B63" s="14">
        <v>33298</v>
      </c>
      <c r="C63">
        <v>212</v>
      </c>
      <c r="D63" s="9">
        <v>34730</v>
      </c>
      <c r="E63">
        <f t="shared" si="1"/>
        <v>-6043</v>
      </c>
    </row>
    <row r="64" spans="1:5" x14ac:dyDescent="0.25">
      <c r="A64" s="9" t="str">
        <f t="shared" si="0"/>
        <v>31991</v>
      </c>
      <c r="B64" s="14">
        <v>33305</v>
      </c>
      <c r="C64">
        <v>-1672</v>
      </c>
      <c r="D64" s="9">
        <v>34758</v>
      </c>
      <c r="E64">
        <f t="shared" si="1"/>
        <v>-1389</v>
      </c>
    </row>
    <row r="65" spans="1:5" x14ac:dyDescent="0.25">
      <c r="A65" s="9" t="str">
        <f t="shared" si="0"/>
        <v>31991</v>
      </c>
      <c r="B65" s="14">
        <v>33312</v>
      </c>
      <c r="C65">
        <v>6375</v>
      </c>
      <c r="D65" s="9">
        <v>34789</v>
      </c>
      <c r="E65">
        <f t="shared" si="1"/>
        <v>15353</v>
      </c>
    </row>
    <row r="66" spans="1:5" x14ac:dyDescent="0.25">
      <c r="A66" s="9" t="str">
        <f t="shared" si="0"/>
        <v>31991</v>
      </c>
      <c r="B66" s="14">
        <v>33319</v>
      </c>
      <c r="C66">
        <v>873</v>
      </c>
      <c r="D66" s="9">
        <v>34819</v>
      </c>
      <c r="E66">
        <f t="shared" si="1"/>
        <v>-2716</v>
      </c>
    </row>
    <row r="67" spans="1:5" x14ac:dyDescent="0.25">
      <c r="A67" s="9" t="str">
        <f t="shared" si="0"/>
        <v>31991</v>
      </c>
      <c r="B67" s="14">
        <v>33326</v>
      </c>
      <c r="C67">
        <v>4737</v>
      </c>
      <c r="D67" s="9">
        <v>34850</v>
      </c>
      <c r="E67">
        <f t="shared" si="1"/>
        <v>-8305</v>
      </c>
    </row>
    <row r="68" spans="1:5" x14ac:dyDescent="0.25">
      <c r="A68" s="9" t="str">
        <f t="shared" ref="A68:A131" si="2">MONTH(B68)&amp;YEAR(B68)</f>
        <v>41991</v>
      </c>
      <c r="B68" s="14">
        <v>33333</v>
      </c>
      <c r="C68">
        <v>-5901</v>
      </c>
      <c r="D68" s="9">
        <v>34880</v>
      </c>
      <c r="E68">
        <f t="shared" ref="E68:E131" si="3">SUMIF(A:A,MONTH(D68)&amp;YEAR(D68),C:C)</f>
        <v>-6704</v>
      </c>
    </row>
    <row r="69" spans="1:5" x14ac:dyDescent="0.25">
      <c r="A69" s="9" t="str">
        <f t="shared" si="2"/>
        <v>41991</v>
      </c>
      <c r="B69" s="14">
        <v>33340</v>
      </c>
      <c r="C69">
        <v>4498</v>
      </c>
      <c r="D69" s="9">
        <v>34911</v>
      </c>
      <c r="E69">
        <f t="shared" si="3"/>
        <v>-5582</v>
      </c>
    </row>
    <row r="70" spans="1:5" x14ac:dyDescent="0.25">
      <c r="A70" s="9" t="str">
        <f t="shared" si="2"/>
        <v>41991</v>
      </c>
      <c r="B70" s="14">
        <v>33347</v>
      </c>
      <c r="C70">
        <v>-3086</v>
      </c>
      <c r="D70" s="9">
        <v>34942</v>
      </c>
      <c r="E70">
        <f t="shared" si="3"/>
        <v>-8812</v>
      </c>
    </row>
    <row r="71" spans="1:5" x14ac:dyDescent="0.25">
      <c r="A71" s="9" t="str">
        <f t="shared" si="2"/>
        <v>41991</v>
      </c>
      <c r="B71" s="14">
        <v>33354</v>
      </c>
      <c r="C71">
        <v>5544</v>
      </c>
      <c r="D71" s="9">
        <v>34972</v>
      </c>
      <c r="E71">
        <f t="shared" si="3"/>
        <v>-3422</v>
      </c>
    </row>
    <row r="72" spans="1:5" x14ac:dyDescent="0.25">
      <c r="A72" s="9" t="str">
        <f t="shared" si="2"/>
        <v>51991</v>
      </c>
      <c r="B72" s="14">
        <v>33361</v>
      </c>
      <c r="C72">
        <v>-3720</v>
      </c>
      <c r="D72" s="9">
        <v>35003</v>
      </c>
      <c r="E72">
        <f t="shared" si="3"/>
        <v>-303</v>
      </c>
    </row>
    <row r="73" spans="1:5" x14ac:dyDescent="0.25">
      <c r="A73" s="9" t="str">
        <f t="shared" si="2"/>
        <v>51991</v>
      </c>
      <c r="B73" s="14">
        <v>33368</v>
      </c>
      <c r="C73">
        <v>-235</v>
      </c>
      <c r="D73" s="9">
        <v>35033</v>
      </c>
      <c r="E73">
        <f t="shared" si="3"/>
        <v>17254</v>
      </c>
    </row>
    <row r="74" spans="1:5" x14ac:dyDescent="0.25">
      <c r="A74" s="9" t="str">
        <f t="shared" si="2"/>
        <v>51991</v>
      </c>
      <c r="B74" s="14">
        <v>33375</v>
      </c>
      <c r="C74">
        <v>5992</v>
      </c>
      <c r="D74" s="9">
        <v>35064</v>
      </c>
      <c r="E74">
        <f t="shared" si="3"/>
        <v>-17559</v>
      </c>
    </row>
    <row r="75" spans="1:5" x14ac:dyDescent="0.25">
      <c r="A75" s="9" t="str">
        <f t="shared" si="2"/>
        <v>51991</v>
      </c>
      <c r="B75" s="14">
        <v>33382</v>
      </c>
      <c r="C75">
        <v>-573</v>
      </c>
      <c r="D75" s="9">
        <v>35095</v>
      </c>
      <c r="E75">
        <f t="shared" si="3"/>
        <v>6114</v>
      </c>
    </row>
    <row r="76" spans="1:5" x14ac:dyDescent="0.25">
      <c r="A76" s="9" t="str">
        <f t="shared" si="2"/>
        <v>51991</v>
      </c>
      <c r="B76" s="14">
        <v>33389</v>
      </c>
      <c r="C76">
        <v>6877</v>
      </c>
      <c r="D76" s="9">
        <v>35124</v>
      </c>
      <c r="E76">
        <f t="shared" si="3"/>
        <v>-7162</v>
      </c>
    </row>
    <row r="77" spans="1:5" x14ac:dyDescent="0.25">
      <c r="A77" s="9" t="str">
        <f t="shared" si="2"/>
        <v>61991</v>
      </c>
      <c r="B77" s="14">
        <v>33396</v>
      </c>
      <c r="C77">
        <v>133</v>
      </c>
      <c r="D77" s="9">
        <v>35155</v>
      </c>
      <c r="E77">
        <f t="shared" si="3"/>
        <v>-3400</v>
      </c>
    </row>
    <row r="78" spans="1:5" x14ac:dyDescent="0.25">
      <c r="A78" s="9" t="str">
        <f t="shared" si="2"/>
        <v>61991</v>
      </c>
      <c r="B78" s="14">
        <v>33403</v>
      </c>
      <c r="C78">
        <v>799</v>
      </c>
      <c r="D78" s="9">
        <v>35185</v>
      </c>
      <c r="E78">
        <f t="shared" si="3"/>
        <v>-779</v>
      </c>
    </row>
    <row r="79" spans="1:5" x14ac:dyDescent="0.25">
      <c r="A79" s="9" t="str">
        <f t="shared" si="2"/>
        <v>61991</v>
      </c>
      <c r="B79" s="14">
        <v>33410</v>
      </c>
      <c r="C79">
        <v>-1378</v>
      </c>
      <c r="D79" s="9">
        <v>35216</v>
      </c>
      <c r="E79">
        <f t="shared" si="3"/>
        <v>14104</v>
      </c>
    </row>
    <row r="80" spans="1:5" x14ac:dyDescent="0.25">
      <c r="A80" s="9" t="str">
        <f t="shared" si="2"/>
        <v>61991</v>
      </c>
      <c r="B80" s="14">
        <v>33417</v>
      </c>
      <c r="C80">
        <v>-3053</v>
      </c>
      <c r="D80" s="9">
        <v>35246</v>
      </c>
      <c r="E80">
        <f t="shared" si="3"/>
        <v>2668</v>
      </c>
    </row>
    <row r="81" spans="1:5" x14ac:dyDescent="0.25">
      <c r="A81" s="9" t="str">
        <f t="shared" si="2"/>
        <v>71991</v>
      </c>
      <c r="B81" s="14">
        <v>33424</v>
      </c>
      <c r="C81">
        <v>1279</v>
      </c>
      <c r="D81" s="9">
        <v>35277</v>
      </c>
      <c r="E81">
        <f t="shared" si="3"/>
        <v>-3393</v>
      </c>
    </row>
    <row r="82" spans="1:5" x14ac:dyDescent="0.25">
      <c r="A82" s="9" t="str">
        <f t="shared" si="2"/>
        <v>71991</v>
      </c>
      <c r="B82" s="14">
        <v>33431</v>
      </c>
      <c r="C82">
        <v>-1055</v>
      </c>
      <c r="D82" s="9">
        <v>35308</v>
      </c>
      <c r="E82">
        <f t="shared" si="3"/>
        <v>2594</v>
      </c>
    </row>
    <row r="83" spans="1:5" x14ac:dyDescent="0.25">
      <c r="A83" s="9" t="str">
        <f t="shared" si="2"/>
        <v>71991</v>
      </c>
      <c r="B83" s="14">
        <v>33438</v>
      </c>
      <c r="C83">
        <v>-1785</v>
      </c>
      <c r="D83" s="9">
        <v>35338</v>
      </c>
      <c r="E83">
        <f t="shared" si="3"/>
        <v>-9363</v>
      </c>
    </row>
    <row r="84" spans="1:5" x14ac:dyDescent="0.25">
      <c r="A84" s="9" t="str">
        <f t="shared" si="2"/>
        <v>71991</v>
      </c>
      <c r="B84" s="14">
        <v>33445</v>
      </c>
      <c r="C84">
        <v>-3769</v>
      </c>
      <c r="D84" s="9">
        <v>35369</v>
      </c>
      <c r="E84">
        <f t="shared" si="3"/>
        <v>-888</v>
      </c>
    </row>
    <row r="85" spans="1:5" x14ac:dyDescent="0.25">
      <c r="A85" s="9" t="str">
        <f t="shared" si="2"/>
        <v>81991</v>
      </c>
      <c r="B85" s="14">
        <v>33452</v>
      </c>
      <c r="C85">
        <v>676</v>
      </c>
      <c r="D85" s="9">
        <v>35399</v>
      </c>
      <c r="E85">
        <f t="shared" si="3"/>
        <v>-2128</v>
      </c>
    </row>
    <row r="86" spans="1:5" x14ac:dyDescent="0.25">
      <c r="A86" s="9" t="str">
        <f t="shared" si="2"/>
        <v>81991</v>
      </c>
      <c r="B86" s="14">
        <v>33459</v>
      </c>
      <c r="C86">
        <v>1714</v>
      </c>
      <c r="D86" s="9">
        <v>35430</v>
      </c>
      <c r="E86">
        <f t="shared" si="3"/>
        <v>-7364</v>
      </c>
    </row>
    <row r="87" spans="1:5" x14ac:dyDescent="0.25">
      <c r="A87" s="9" t="str">
        <f t="shared" si="2"/>
        <v>81991</v>
      </c>
      <c r="B87" s="14">
        <v>33466</v>
      </c>
      <c r="C87">
        <v>-1933</v>
      </c>
      <c r="D87" s="9">
        <v>35461</v>
      </c>
      <c r="E87">
        <f t="shared" si="3"/>
        <v>4471</v>
      </c>
    </row>
    <row r="88" spans="1:5" x14ac:dyDescent="0.25">
      <c r="A88" s="9" t="str">
        <f t="shared" si="2"/>
        <v>81991</v>
      </c>
      <c r="B88" s="14">
        <v>33473</v>
      </c>
      <c r="C88">
        <v>5304</v>
      </c>
      <c r="D88" s="9">
        <v>35489</v>
      </c>
      <c r="E88">
        <f t="shared" si="3"/>
        <v>2346</v>
      </c>
    </row>
    <row r="89" spans="1:5" x14ac:dyDescent="0.25">
      <c r="A89" s="9" t="str">
        <f t="shared" si="2"/>
        <v>81991</v>
      </c>
      <c r="B89" s="14">
        <v>33480</v>
      </c>
      <c r="C89">
        <v>1902</v>
      </c>
      <c r="D89" s="9">
        <v>35520</v>
      </c>
      <c r="E89">
        <f t="shared" si="3"/>
        <v>10598</v>
      </c>
    </row>
    <row r="90" spans="1:5" x14ac:dyDescent="0.25">
      <c r="A90" s="9" t="str">
        <f t="shared" si="2"/>
        <v>91991</v>
      </c>
      <c r="B90" s="14">
        <v>33487</v>
      </c>
      <c r="C90">
        <v>-9608</v>
      </c>
      <c r="D90" s="9">
        <v>35550</v>
      </c>
      <c r="E90">
        <f t="shared" si="3"/>
        <v>6741</v>
      </c>
    </row>
    <row r="91" spans="1:5" x14ac:dyDescent="0.25">
      <c r="A91" s="9" t="str">
        <f t="shared" si="2"/>
        <v>91991</v>
      </c>
      <c r="B91" s="14">
        <v>33494</v>
      </c>
      <c r="C91">
        <v>-6567</v>
      </c>
      <c r="D91" s="9">
        <v>35581</v>
      </c>
      <c r="E91">
        <f t="shared" si="3"/>
        <v>8470</v>
      </c>
    </row>
    <row r="92" spans="1:5" x14ac:dyDescent="0.25">
      <c r="A92" s="9" t="str">
        <f t="shared" si="2"/>
        <v>91991</v>
      </c>
      <c r="B92" s="14">
        <v>33501</v>
      </c>
      <c r="C92">
        <v>131</v>
      </c>
      <c r="D92" s="9">
        <v>35611</v>
      </c>
      <c r="E92">
        <f t="shared" si="3"/>
        <v>-7848</v>
      </c>
    </row>
    <row r="93" spans="1:5" x14ac:dyDescent="0.25">
      <c r="A93" s="9" t="str">
        <f t="shared" si="2"/>
        <v>91991</v>
      </c>
      <c r="B93" s="14">
        <v>33508</v>
      </c>
      <c r="C93">
        <v>4707</v>
      </c>
      <c r="D93" s="9">
        <v>35642</v>
      </c>
      <c r="E93">
        <f t="shared" si="3"/>
        <v>-9337</v>
      </c>
    </row>
    <row r="94" spans="1:5" x14ac:dyDescent="0.25">
      <c r="A94" s="9" t="str">
        <f t="shared" si="2"/>
        <v>101991</v>
      </c>
      <c r="B94" s="14">
        <v>33515</v>
      </c>
      <c r="C94">
        <v>-1421</v>
      </c>
      <c r="D94" s="9">
        <v>35673</v>
      </c>
      <c r="E94">
        <f t="shared" si="3"/>
        <v>-1808</v>
      </c>
    </row>
    <row r="95" spans="1:5" x14ac:dyDescent="0.25">
      <c r="A95" s="9" t="str">
        <f t="shared" si="2"/>
        <v>101991</v>
      </c>
      <c r="B95" s="14">
        <v>33522</v>
      </c>
      <c r="C95">
        <v>3333</v>
      </c>
      <c r="D95" s="9">
        <v>35703</v>
      </c>
      <c r="E95">
        <f t="shared" si="3"/>
        <v>-4853</v>
      </c>
    </row>
    <row r="96" spans="1:5" x14ac:dyDescent="0.25">
      <c r="A96" s="9" t="str">
        <f t="shared" si="2"/>
        <v>101991</v>
      </c>
      <c r="B96" s="14">
        <v>33529</v>
      </c>
      <c r="C96">
        <v>-2460</v>
      </c>
      <c r="D96" s="9">
        <v>35734</v>
      </c>
      <c r="E96">
        <f t="shared" si="3"/>
        <v>9782</v>
      </c>
    </row>
    <row r="97" spans="1:5" x14ac:dyDescent="0.25">
      <c r="A97" s="9" t="str">
        <f t="shared" si="2"/>
        <v>101991</v>
      </c>
      <c r="B97" s="14">
        <v>33536</v>
      </c>
      <c r="C97">
        <v>8821</v>
      </c>
      <c r="D97" s="9">
        <v>35764</v>
      </c>
      <c r="E97">
        <f t="shared" si="3"/>
        <v>10700</v>
      </c>
    </row>
    <row r="98" spans="1:5" x14ac:dyDescent="0.25">
      <c r="A98" s="9" t="str">
        <f t="shared" si="2"/>
        <v>111991</v>
      </c>
      <c r="B98" s="14">
        <v>33543</v>
      </c>
      <c r="C98">
        <v>-6078</v>
      </c>
      <c r="D98" s="9">
        <v>35795</v>
      </c>
      <c r="E98">
        <f t="shared" si="3"/>
        <v>-9483</v>
      </c>
    </row>
    <row r="99" spans="1:5" x14ac:dyDescent="0.25">
      <c r="A99" s="9" t="str">
        <f t="shared" si="2"/>
        <v>111991</v>
      </c>
      <c r="B99" s="14">
        <v>33550</v>
      </c>
      <c r="C99">
        <v>3815</v>
      </c>
      <c r="D99" s="9">
        <v>35826</v>
      </c>
      <c r="E99">
        <f t="shared" si="3"/>
        <v>8795</v>
      </c>
    </row>
    <row r="100" spans="1:5" x14ac:dyDescent="0.25">
      <c r="A100" s="9" t="str">
        <f t="shared" si="2"/>
        <v>111991</v>
      </c>
      <c r="B100" s="14">
        <v>33557</v>
      </c>
      <c r="C100">
        <v>5136</v>
      </c>
      <c r="D100" s="9">
        <v>35854</v>
      </c>
      <c r="E100">
        <f t="shared" si="3"/>
        <v>2978</v>
      </c>
    </row>
    <row r="101" spans="1:5" x14ac:dyDescent="0.25">
      <c r="A101" s="9" t="str">
        <f t="shared" si="2"/>
        <v>111991</v>
      </c>
      <c r="B101" s="14">
        <v>33564</v>
      </c>
      <c r="C101">
        <v>-6008</v>
      </c>
      <c r="D101" s="9">
        <v>35885</v>
      </c>
      <c r="E101">
        <f t="shared" si="3"/>
        <v>5085</v>
      </c>
    </row>
    <row r="102" spans="1:5" x14ac:dyDescent="0.25">
      <c r="A102" s="9" t="str">
        <f t="shared" si="2"/>
        <v>111991</v>
      </c>
      <c r="B102" s="14">
        <v>33571</v>
      </c>
      <c r="C102">
        <v>-5457</v>
      </c>
      <c r="D102" s="9">
        <v>35915</v>
      </c>
      <c r="E102">
        <f t="shared" si="3"/>
        <v>12207</v>
      </c>
    </row>
    <row r="103" spans="1:5" x14ac:dyDescent="0.25">
      <c r="A103" s="9" t="str">
        <f t="shared" si="2"/>
        <v>121991</v>
      </c>
      <c r="B103" s="14">
        <v>33578</v>
      </c>
      <c r="C103">
        <v>5574</v>
      </c>
      <c r="D103" s="9">
        <v>35946</v>
      </c>
      <c r="E103">
        <f t="shared" si="3"/>
        <v>5226</v>
      </c>
    </row>
    <row r="104" spans="1:5" x14ac:dyDescent="0.25">
      <c r="A104" s="9" t="str">
        <f t="shared" si="2"/>
        <v>121991</v>
      </c>
      <c r="B104" s="14">
        <v>33585</v>
      </c>
      <c r="C104">
        <v>-6038</v>
      </c>
      <c r="D104" s="9">
        <v>35976</v>
      </c>
      <c r="E104">
        <f t="shared" si="3"/>
        <v>-3840</v>
      </c>
    </row>
    <row r="105" spans="1:5" x14ac:dyDescent="0.25">
      <c r="A105" s="9" t="str">
        <f t="shared" si="2"/>
        <v>121991</v>
      </c>
      <c r="B105" s="14">
        <v>33592</v>
      </c>
      <c r="C105">
        <v>-4152</v>
      </c>
      <c r="D105" s="9">
        <v>36007</v>
      </c>
      <c r="E105">
        <f t="shared" si="3"/>
        <v>531</v>
      </c>
    </row>
    <row r="106" spans="1:5" x14ac:dyDescent="0.25">
      <c r="A106" s="9" t="str">
        <f t="shared" si="2"/>
        <v>121991</v>
      </c>
      <c r="B106" s="14">
        <v>33599</v>
      </c>
      <c r="C106">
        <v>-10080</v>
      </c>
      <c r="D106" s="9">
        <v>36038</v>
      </c>
      <c r="E106">
        <f t="shared" si="3"/>
        <v>-6766</v>
      </c>
    </row>
    <row r="107" spans="1:5" x14ac:dyDescent="0.25">
      <c r="A107" s="9" t="str">
        <f t="shared" si="2"/>
        <v>11992</v>
      </c>
      <c r="B107" s="14">
        <v>33606</v>
      </c>
      <c r="C107">
        <v>5471</v>
      </c>
      <c r="D107" s="9">
        <v>36068</v>
      </c>
      <c r="E107">
        <f t="shared" si="3"/>
        <v>-17578</v>
      </c>
    </row>
    <row r="108" spans="1:5" x14ac:dyDescent="0.25">
      <c r="A108" s="9" t="str">
        <f t="shared" si="2"/>
        <v>11992</v>
      </c>
      <c r="B108" s="14">
        <v>33613</v>
      </c>
      <c r="C108">
        <v>3491</v>
      </c>
      <c r="D108" s="9">
        <v>36099</v>
      </c>
      <c r="E108">
        <f t="shared" si="3"/>
        <v>20556</v>
      </c>
    </row>
    <row r="109" spans="1:5" x14ac:dyDescent="0.25">
      <c r="A109" s="9" t="str">
        <f t="shared" si="2"/>
        <v>11992</v>
      </c>
      <c r="B109" s="14">
        <v>33620</v>
      </c>
      <c r="C109">
        <v>-1176</v>
      </c>
      <c r="D109" s="9">
        <v>36129</v>
      </c>
      <c r="E109">
        <f t="shared" si="3"/>
        <v>-3771</v>
      </c>
    </row>
    <row r="110" spans="1:5" x14ac:dyDescent="0.25">
      <c r="A110" s="9" t="str">
        <f t="shared" si="2"/>
        <v>11992</v>
      </c>
      <c r="B110" s="14">
        <v>33627</v>
      </c>
      <c r="C110">
        <v>5671</v>
      </c>
      <c r="D110" s="9">
        <v>36160</v>
      </c>
      <c r="E110">
        <f t="shared" si="3"/>
        <v>807</v>
      </c>
    </row>
    <row r="111" spans="1:5" x14ac:dyDescent="0.25">
      <c r="A111" s="9" t="str">
        <f t="shared" si="2"/>
        <v>11992</v>
      </c>
      <c r="B111" s="14">
        <v>33634</v>
      </c>
      <c r="C111">
        <v>-4416</v>
      </c>
      <c r="D111" s="9">
        <v>36191</v>
      </c>
      <c r="E111">
        <f t="shared" si="3"/>
        <v>-4220</v>
      </c>
    </row>
    <row r="112" spans="1:5" x14ac:dyDescent="0.25">
      <c r="A112" s="9" t="str">
        <f t="shared" si="2"/>
        <v>21992</v>
      </c>
      <c r="B112" s="14">
        <v>33641</v>
      </c>
      <c r="C112">
        <v>-200</v>
      </c>
      <c r="D112" s="9">
        <v>36219</v>
      </c>
      <c r="E112">
        <f t="shared" si="3"/>
        <v>-1287</v>
      </c>
    </row>
    <row r="113" spans="1:5" x14ac:dyDescent="0.25">
      <c r="A113" s="9" t="str">
        <f t="shared" si="2"/>
        <v>21992</v>
      </c>
      <c r="B113" s="14">
        <v>33648</v>
      </c>
      <c r="C113">
        <v>-1807</v>
      </c>
      <c r="D113" s="9">
        <v>36250</v>
      </c>
      <c r="E113">
        <f t="shared" si="3"/>
        <v>13093</v>
      </c>
    </row>
    <row r="114" spans="1:5" x14ac:dyDescent="0.25">
      <c r="A114" s="9" t="str">
        <f t="shared" si="2"/>
        <v>21992</v>
      </c>
      <c r="B114" s="14">
        <v>33655</v>
      </c>
      <c r="C114">
        <v>3175</v>
      </c>
      <c r="D114" s="9">
        <v>36280</v>
      </c>
      <c r="E114">
        <f t="shared" si="3"/>
        <v>-8369</v>
      </c>
    </row>
    <row r="115" spans="1:5" x14ac:dyDescent="0.25">
      <c r="A115" s="9" t="str">
        <f t="shared" si="2"/>
        <v>21992</v>
      </c>
      <c r="B115" s="14">
        <v>33662</v>
      </c>
      <c r="C115">
        <v>7021</v>
      </c>
      <c r="D115" s="9">
        <v>36311</v>
      </c>
      <c r="E115">
        <f t="shared" si="3"/>
        <v>-5215</v>
      </c>
    </row>
    <row r="116" spans="1:5" x14ac:dyDescent="0.25">
      <c r="A116" s="9" t="str">
        <f t="shared" si="2"/>
        <v>31992</v>
      </c>
      <c r="B116" s="14">
        <v>33669</v>
      </c>
      <c r="C116">
        <v>6570</v>
      </c>
      <c r="D116" s="9">
        <v>36341</v>
      </c>
      <c r="E116">
        <f t="shared" si="3"/>
        <v>-677</v>
      </c>
    </row>
    <row r="117" spans="1:5" x14ac:dyDescent="0.25">
      <c r="A117" s="9" t="str">
        <f t="shared" si="2"/>
        <v>31992</v>
      </c>
      <c r="B117" s="14">
        <v>33676</v>
      </c>
      <c r="C117">
        <v>-5445</v>
      </c>
      <c r="D117" s="9">
        <v>36372</v>
      </c>
      <c r="E117">
        <f t="shared" si="3"/>
        <v>-4746</v>
      </c>
    </row>
    <row r="118" spans="1:5" x14ac:dyDescent="0.25">
      <c r="A118" s="9" t="str">
        <f t="shared" si="2"/>
        <v>31992</v>
      </c>
      <c r="B118" s="14">
        <v>33683</v>
      </c>
      <c r="C118">
        <v>3531</v>
      </c>
      <c r="D118" s="9">
        <v>36403</v>
      </c>
      <c r="E118">
        <f t="shared" si="3"/>
        <v>-7831</v>
      </c>
    </row>
    <row r="119" spans="1:5" x14ac:dyDescent="0.25">
      <c r="A119" s="9" t="str">
        <f t="shared" si="2"/>
        <v>31992</v>
      </c>
      <c r="B119" s="14">
        <v>33690</v>
      </c>
      <c r="C119">
        <v>-5520</v>
      </c>
      <c r="D119" s="9">
        <v>36433</v>
      </c>
      <c r="E119">
        <f t="shared" si="3"/>
        <v>-12893</v>
      </c>
    </row>
    <row r="120" spans="1:5" x14ac:dyDescent="0.25">
      <c r="A120" s="9" t="str">
        <f t="shared" si="2"/>
        <v>41992</v>
      </c>
      <c r="B120" s="14">
        <v>33697</v>
      </c>
      <c r="C120">
        <v>-4110</v>
      </c>
      <c r="D120" s="9">
        <v>36464</v>
      </c>
      <c r="E120">
        <f t="shared" si="3"/>
        <v>-166</v>
      </c>
    </row>
    <row r="121" spans="1:5" x14ac:dyDescent="0.25">
      <c r="A121" s="9" t="str">
        <f t="shared" si="2"/>
        <v>41992</v>
      </c>
      <c r="B121" s="14">
        <v>33704</v>
      </c>
      <c r="C121">
        <v>8455</v>
      </c>
      <c r="D121" s="9">
        <v>36494</v>
      </c>
      <c r="E121">
        <f t="shared" si="3"/>
        <v>-5219</v>
      </c>
    </row>
    <row r="122" spans="1:5" x14ac:dyDescent="0.25">
      <c r="A122" s="9" t="str">
        <f t="shared" si="2"/>
        <v>41992</v>
      </c>
      <c r="B122" s="14">
        <v>33711</v>
      </c>
      <c r="C122">
        <v>2806</v>
      </c>
      <c r="D122" s="9">
        <v>36525</v>
      </c>
      <c r="E122">
        <f t="shared" si="3"/>
        <v>-9188</v>
      </c>
    </row>
    <row r="123" spans="1:5" x14ac:dyDescent="0.25">
      <c r="A123" s="9" t="str">
        <f t="shared" si="2"/>
        <v>41992</v>
      </c>
      <c r="B123" s="14">
        <v>33718</v>
      </c>
      <c r="C123">
        <v>802</v>
      </c>
      <c r="D123" s="9">
        <v>36556</v>
      </c>
      <c r="E123">
        <f t="shared" si="3"/>
        <v>-7851</v>
      </c>
    </row>
    <row r="124" spans="1:5" x14ac:dyDescent="0.25">
      <c r="A124" s="9" t="str">
        <f t="shared" si="2"/>
        <v>51992</v>
      </c>
      <c r="B124" s="14">
        <v>33725</v>
      </c>
      <c r="C124">
        <v>1964</v>
      </c>
      <c r="D124" s="9">
        <v>36585</v>
      </c>
      <c r="E124">
        <f t="shared" si="3"/>
        <v>3378</v>
      </c>
    </row>
    <row r="125" spans="1:5" x14ac:dyDescent="0.25">
      <c r="A125" s="9" t="str">
        <f t="shared" si="2"/>
        <v>51992</v>
      </c>
      <c r="B125" s="14">
        <v>33732</v>
      </c>
      <c r="C125">
        <v>-660</v>
      </c>
      <c r="D125" s="9">
        <v>36616</v>
      </c>
      <c r="E125">
        <f t="shared" si="3"/>
        <v>8054</v>
      </c>
    </row>
    <row r="126" spans="1:5" x14ac:dyDescent="0.25">
      <c r="A126" s="9" t="str">
        <f t="shared" si="2"/>
        <v>51992</v>
      </c>
      <c r="B126" s="14">
        <v>33739</v>
      </c>
      <c r="C126">
        <v>1295</v>
      </c>
      <c r="D126" s="9">
        <v>36646</v>
      </c>
      <c r="E126">
        <f t="shared" si="3"/>
        <v>10184</v>
      </c>
    </row>
    <row r="127" spans="1:5" x14ac:dyDescent="0.25">
      <c r="A127" s="9" t="str">
        <f t="shared" si="2"/>
        <v>51992</v>
      </c>
      <c r="B127" s="14">
        <v>33746</v>
      </c>
      <c r="C127">
        <v>-4589</v>
      </c>
      <c r="D127" s="9">
        <v>36677</v>
      </c>
      <c r="E127">
        <f t="shared" si="3"/>
        <v>1088</v>
      </c>
    </row>
    <row r="128" spans="1:5" x14ac:dyDescent="0.25">
      <c r="A128" s="9" t="str">
        <f t="shared" si="2"/>
        <v>51992</v>
      </c>
      <c r="B128" s="14">
        <v>33753</v>
      </c>
      <c r="C128">
        <v>-2646</v>
      </c>
      <c r="D128" s="9">
        <v>36707</v>
      </c>
      <c r="E128">
        <f t="shared" si="3"/>
        <v>-11453</v>
      </c>
    </row>
    <row r="129" spans="1:5" x14ac:dyDescent="0.25">
      <c r="A129" s="9" t="str">
        <f t="shared" si="2"/>
        <v>61992</v>
      </c>
      <c r="B129" s="14">
        <v>33760</v>
      </c>
      <c r="C129">
        <v>175</v>
      </c>
      <c r="D129" s="9">
        <v>36738</v>
      </c>
      <c r="E129">
        <f t="shared" si="3"/>
        <v>-9622</v>
      </c>
    </row>
    <row r="130" spans="1:5" x14ac:dyDescent="0.25">
      <c r="A130" s="9" t="str">
        <f t="shared" si="2"/>
        <v>61992</v>
      </c>
      <c r="B130" s="14">
        <v>33767</v>
      </c>
      <c r="C130">
        <v>796</v>
      </c>
      <c r="D130" s="9">
        <v>36769</v>
      </c>
      <c r="E130">
        <f t="shared" si="3"/>
        <v>2626</v>
      </c>
    </row>
    <row r="131" spans="1:5" x14ac:dyDescent="0.25">
      <c r="A131" s="9" t="str">
        <f t="shared" si="2"/>
        <v>61992</v>
      </c>
      <c r="B131" s="14">
        <v>33774</v>
      </c>
      <c r="C131">
        <v>-6301</v>
      </c>
      <c r="D131" s="9">
        <v>36799</v>
      </c>
      <c r="E131">
        <f t="shared" si="3"/>
        <v>-83</v>
      </c>
    </row>
    <row r="132" spans="1:5" x14ac:dyDescent="0.25">
      <c r="A132" s="9" t="str">
        <f t="shared" ref="A132:A195" si="4">MONTH(B132)&amp;YEAR(B132)</f>
        <v>61992</v>
      </c>
      <c r="B132" s="14">
        <v>33781</v>
      </c>
      <c r="C132">
        <v>-10904</v>
      </c>
      <c r="D132" s="9">
        <v>36830</v>
      </c>
      <c r="E132">
        <f t="shared" ref="E132:E195" si="5">SUMIF(A:A,MONTH(D132)&amp;YEAR(D132),C:C)</f>
        <v>-2524</v>
      </c>
    </row>
    <row r="133" spans="1:5" x14ac:dyDescent="0.25">
      <c r="A133" s="9" t="str">
        <f t="shared" si="4"/>
        <v>71992</v>
      </c>
      <c r="B133" s="14">
        <v>33788</v>
      </c>
      <c r="C133">
        <v>-947</v>
      </c>
      <c r="D133" s="9">
        <v>36860</v>
      </c>
      <c r="E133">
        <f t="shared" si="5"/>
        <v>5964</v>
      </c>
    </row>
    <row r="134" spans="1:5" x14ac:dyDescent="0.25">
      <c r="A134" s="9" t="str">
        <f t="shared" si="4"/>
        <v>71992</v>
      </c>
      <c r="B134" s="14">
        <v>33795</v>
      </c>
      <c r="C134">
        <v>2663</v>
      </c>
      <c r="D134" s="9">
        <v>36891</v>
      </c>
      <c r="E134">
        <f t="shared" si="5"/>
        <v>-1427</v>
      </c>
    </row>
    <row r="135" spans="1:5" x14ac:dyDescent="0.25">
      <c r="A135" s="9" t="str">
        <f t="shared" si="4"/>
        <v>71992</v>
      </c>
      <c r="B135" s="14">
        <v>33802</v>
      </c>
      <c r="C135">
        <v>-6365</v>
      </c>
      <c r="D135" s="9">
        <v>36922</v>
      </c>
      <c r="E135">
        <f t="shared" si="5"/>
        <v>-6041</v>
      </c>
    </row>
    <row r="136" spans="1:5" x14ac:dyDescent="0.25">
      <c r="A136" s="9" t="str">
        <f t="shared" si="4"/>
        <v>71992</v>
      </c>
      <c r="B136" s="14">
        <v>33809</v>
      </c>
      <c r="C136">
        <v>-26</v>
      </c>
      <c r="D136" s="9">
        <v>36950</v>
      </c>
      <c r="E136">
        <f t="shared" si="5"/>
        <v>-2600</v>
      </c>
    </row>
    <row r="137" spans="1:5" x14ac:dyDescent="0.25">
      <c r="A137" s="9" t="str">
        <f t="shared" si="4"/>
        <v>71992</v>
      </c>
      <c r="B137" s="14">
        <v>33816</v>
      </c>
      <c r="C137">
        <v>5791</v>
      </c>
      <c r="D137" s="9">
        <v>36981</v>
      </c>
      <c r="E137">
        <f t="shared" si="5"/>
        <v>23200</v>
      </c>
    </row>
    <row r="138" spans="1:5" x14ac:dyDescent="0.25">
      <c r="A138" s="9" t="str">
        <f t="shared" si="4"/>
        <v>81992</v>
      </c>
      <c r="B138" s="14">
        <v>33823</v>
      </c>
      <c r="C138">
        <v>-1654</v>
      </c>
      <c r="D138" s="9">
        <v>37011</v>
      </c>
      <c r="E138">
        <f t="shared" si="5"/>
        <v>15000</v>
      </c>
    </row>
    <row r="139" spans="1:5" x14ac:dyDescent="0.25">
      <c r="A139" s="9" t="str">
        <f t="shared" si="4"/>
        <v>81992</v>
      </c>
      <c r="B139" s="14">
        <v>33830</v>
      </c>
      <c r="C139">
        <v>-993</v>
      </c>
      <c r="D139" s="9">
        <v>37042</v>
      </c>
      <c r="E139">
        <f t="shared" si="5"/>
        <v>4600</v>
      </c>
    </row>
    <row r="140" spans="1:5" x14ac:dyDescent="0.25">
      <c r="A140" s="9" t="str">
        <f t="shared" si="4"/>
        <v>81992</v>
      </c>
      <c r="B140" s="14">
        <v>33837</v>
      </c>
      <c r="C140">
        <v>4604</v>
      </c>
      <c r="D140" s="9">
        <v>37072</v>
      </c>
      <c r="E140">
        <f t="shared" si="5"/>
        <v>-12108</v>
      </c>
    </row>
    <row r="141" spans="1:5" x14ac:dyDescent="0.25">
      <c r="A141" s="9" t="str">
        <f t="shared" si="4"/>
        <v>81992</v>
      </c>
      <c r="B141" s="14">
        <v>33844</v>
      </c>
      <c r="C141">
        <v>-7452</v>
      </c>
      <c r="D141" s="9">
        <v>37103</v>
      </c>
      <c r="E141">
        <f t="shared" si="5"/>
        <v>4400</v>
      </c>
    </row>
    <row r="142" spans="1:5" x14ac:dyDescent="0.25">
      <c r="A142" s="9" t="str">
        <f t="shared" si="4"/>
        <v>91992</v>
      </c>
      <c r="B142" s="14">
        <v>33851</v>
      </c>
      <c r="C142">
        <v>1610</v>
      </c>
      <c r="D142" s="9">
        <v>37134</v>
      </c>
      <c r="E142">
        <f t="shared" si="5"/>
        <v>-12600</v>
      </c>
    </row>
    <row r="143" spans="1:5" x14ac:dyDescent="0.25">
      <c r="A143" s="9" t="str">
        <f t="shared" si="4"/>
        <v>91992</v>
      </c>
      <c r="B143" s="14">
        <v>33858</v>
      </c>
      <c r="C143">
        <v>-683</v>
      </c>
      <c r="D143" s="9">
        <v>37164</v>
      </c>
      <c r="E143">
        <f t="shared" si="5"/>
        <v>5000</v>
      </c>
    </row>
    <row r="144" spans="1:5" x14ac:dyDescent="0.25">
      <c r="A144" s="9" t="str">
        <f t="shared" si="4"/>
        <v>91992</v>
      </c>
      <c r="B144" s="14">
        <v>33865</v>
      </c>
      <c r="C144">
        <v>836</v>
      </c>
      <c r="D144" s="9">
        <v>37195</v>
      </c>
      <c r="E144">
        <f t="shared" si="5"/>
        <v>800</v>
      </c>
    </row>
    <row r="145" spans="1:5" x14ac:dyDescent="0.25">
      <c r="A145" s="9" t="str">
        <f t="shared" si="4"/>
        <v>91992</v>
      </c>
      <c r="B145" s="14">
        <v>33872</v>
      </c>
      <c r="C145">
        <v>-4734</v>
      </c>
      <c r="D145" s="9">
        <v>37225</v>
      </c>
      <c r="E145">
        <f t="shared" si="5"/>
        <v>3200</v>
      </c>
    </row>
    <row r="146" spans="1:5" x14ac:dyDescent="0.25">
      <c r="A146" s="9" t="str">
        <f t="shared" si="4"/>
        <v>101992</v>
      </c>
      <c r="B146" s="14">
        <v>33879</v>
      </c>
      <c r="C146">
        <v>3100</v>
      </c>
      <c r="D146" s="9">
        <v>37256</v>
      </c>
      <c r="E146">
        <f t="shared" si="5"/>
        <v>-1600</v>
      </c>
    </row>
    <row r="147" spans="1:5" x14ac:dyDescent="0.25">
      <c r="A147" s="9" t="str">
        <f t="shared" si="4"/>
        <v>101992</v>
      </c>
      <c r="B147" s="14">
        <v>33886</v>
      </c>
      <c r="C147">
        <v>-779</v>
      </c>
      <c r="D147" s="9">
        <v>37287</v>
      </c>
      <c r="E147">
        <f t="shared" si="5"/>
        <v>7000</v>
      </c>
    </row>
    <row r="148" spans="1:5" x14ac:dyDescent="0.25">
      <c r="A148" s="9" t="str">
        <f t="shared" si="4"/>
        <v>101992</v>
      </c>
      <c r="B148" s="14">
        <v>33893</v>
      </c>
      <c r="C148">
        <v>2244</v>
      </c>
      <c r="D148" s="9">
        <v>37315</v>
      </c>
      <c r="E148">
        <f t="shared" si="5"/>
        <v>-700</v>
      </c>
    </row>
    <row r="149" spans="1:5" x14ac:dyDescent="0.25">
      <c r="A149" s="9" t="str">
        <f t="shared" si="4"/>
        <v>101992</v>
      </c>
      <c r="B149" s="14">
        <v>33900</v>
      </c>
      <c r="C149">
        <v>1025</v>
      </c>
      <c r="D149" s="9">
        <v>37346</v>
      </c>
      <c r="E149">
        <f t="shared" si="5"/>
        <v>8900</v>
      </c>
    </row>
    <row r="150" spans="1:5" x14ac:dyDescent="0.25">
      <c r="A150" s="9" t="str">
        <f t="shared" si="4"/>
        <v>101992</v>
      </c>
      <c r="B150" s="14">
        <v>33907</v>
      </c>
      <c r="C150">
        <v>3406</v>
      </c>
      <c r="D150" s="9">
        <v>37376</v>
      </c>
      <c r="E150">
        <f t="shared" si="5"/>
        <v>400</v>
      </c>
    </row>
    <row r="151" spans="1:5" x14ac:dyDescent="0.25">
      <c r="A151" s="9" t="str">
        <f t="shared" si="4"/>
        <v>111992</v>
      </c>
      <c r="B151" s="14">
        <v>33914</v>
      </c>
      <c r="C151">
        <v>-6241</v>
      </c>
      <c r="D151" s="9">
        <v>37407</v>
      </c>
      <c r="E151">
        <f t="shared" si="5"/>
        <v>-600</v>
      </c>
    </row>
    <row r="152" spans="1:5" x14ac:dyDescent="0.25">
      <c r="A152" s="9" t="str">
        <f t="shared" si="4"/>
        <v>111992</v>
      </c>
      <c r="B152" s="14">
        <v>33921</v>
      </c>
      <c r="C152">
        <v>-7041</v>
      </c>
      <c r="D152" s="9">
        <v>37437</v>
      </c>
      <c r="E152">
        <f t="shared" si="5"/>
        <v>-3700</v>
      </c>
    </row>
    <row r="153" spans="1:5" x14ac:dyDescent="0.25">
      <c r="A153" s="9" t="str">
        <f t="shared" si="4"/>
        <v>111992</v>
      </c>
      <c r="B153" s="14">
        <v>33928</v>
      </c>
      <c r="C153">
        <v>5556</v>
      </c>
      <c r="D153" s="9">
        <v>37468</v>
      </c>
      <c r="E153">
        <f t="shared" si="5"/>
        <v>-11900</v>
      </c>
    </row>
    <row r="154" spans="1:5" x14ac:dyDescent="0.25">
      <c r="A154" s="9" t="str">
        <f t="shared" si="4"/>
        <v>111992</v>
      </c>
      <c r="B154" s="14">
        <v>33935</v>
      </c>
      <c r="C154">
        <v>1547</v>
      </c>
      <c r="D154" s="9">
        <v>37499</v>
      </c>
      <c r="E154">
        <f t="shared" si="5"/>
        <v>-10800</v>
      </c>
    </row>
    <row r="155" spans="1:5" x14ac:dyDescent="0.25">
      <c r="A155" s="9" t="str">
        <f t="shared" si="4"/>
        <v>121992</v>
      </c>
      <c r="B155" s="14">
        <v>33942</v>
      </c>
      <c r="C155">
        <v>-735</v>
      </c>
      <c r="D155" s="9">
        <v>37529</v>
      </c>
      <c r="E155">
        <f t="shared" si="5"/>
        <v>-23300</v>
      </c>
    </row>
    <row r="156" spans="1:5" x14ac:dyDescent="0.25">
      <c r="A156" s="9" t="str">
        <f t="shared" si="4"/>
        <v>121992</v>
      </c>
      <c r="B156" s="14">
        <v>33949</v>
      </c>
      <c r="C156">
        <v>5572</v>
      </c>
      <c r="D156" s="9">
        <v>37560</v>
      </c>
      <c r="E156">
        <f t="shared" si="5"/>
        <v>11900</v>
      </c>
    </row>
    <row r="157" spans="1:5" x14ac:dyDescent="0.25">
      <c r="A157" s="9" t="str">
        <f t="shared" si="4"/>
        <v>121992</v>
      </c>
      <c r="B157" s="14">
        <v>33956</v>
      </c>
      <c r="C157">
        <v>-319</v>
      </c>
      <c r="D157" s="9">
        <v>37590</v>
      </c>
      <c r="E157">
        <f t="shared" si="5"/>
        <v>200</v>
      </c>
    </row>
    <row r="158" spans="1:5" x14ac:dyDescent="0.25">
      <c r="A158" s="9" t="str">
        <f t="shared" si="4"/>
        <v>121992</v>
      </c>
      <c r="B158" s="14">
        <v>33963</v>
      </c>
      <c r="C158">
        <v>-11789</v>
      </c>
      <c r="D158" s="9">
        <v>37621</v>
      </c>
      <c r="E158">
        <f t="shared" si="5"/>
        <v>-9000</v>
      </c>
    </row>
    <row r="159" spans="1:5" x14ac:dyDescent="0.25">
      <c r="A159" s="9" t="str">
        <f t="shared" si="4"/>
        <v>11993</v>
      </c>
      <c r="B159" s="14">
        <v>33970</v>
      </c>
      <c r="C159">
        <v>590</v>
      </c>
      <c r="D159" s="9">
        <v>37652</v>
      </c>
      <c r="E159">
        <f t="shared" si="5"/>
        <v>-4000</v>
      </c>
    </row>
    <row r="160" spans="1:5" x14ac:dyDescent="0.25">
      <c r="A160" s="9" t="str">
        <f t="shared" si="4"/>
        <v>11993</v>
      </c>
      <c r="B160" s="14">
        <v>33977</v>
      </c>
      <c r="C160">
        <v>-2632</v>
      </c>
      <c r="D160" s="9">
        <v>37680</v>
      </c>
      <c r="E160">
        <f t="shared" si="5"/>
        <v>-700</v>
      </c>
    </row>
    <row r="161" spans="1:5" x14ac:dyDescent="0.25">
      <c r="A161" s="9" t="str">
        <f t="shared" si="4"/>
        <v>11993</v>
      </c>
      <c r="B161" s="14">
        <v>33984</v>
      </c>
      <c r="C161">
        <v>7931</v>
      </c>
      <c r="D161" s="9">
        <v>37711</v>
      </c>
      <c r="E161">
        <f t="shared" si="5"/>
        <v>7100</v>
      </c>
    </row>
    <row r="162" spans="1:5" x14ac:dyDescent="0.25">
      <c r="A162" s="9" t="str">
        <f t="shared" si="4"/>
        <v>11993</v>
      </c>
      <c r="B162" s="14">
        <v>33991</v>
      </c>
      <c r="C162">
        <v>-1166</v>
      </c>
      <c r="D162" s="9">
        <v>37741</v>
      </c>
      <c r="E162">
        <f t="shared" si="5"/>
        <v>7300</v>
      </c>
    </row>
    <row r="163" spans="1:5" x14ac:dyDescent="0.25">
      <c r="A163" s="9" t="str">
        <f t="shared" si="4"/>
        <v>11993</v>
      </c>
      <c r="B163" s="14">
        <v>33998</v>
      </c>
      <c r="C163">
        <v>2002</v>
      </c>
      <c r="D163" s="9">
        <v>37772</v>
      </c>
      <c r="E163">
        <f t="shared" si="5"/>
        <v>1000</v>
      </c>
    </row>
    <row r="164" spans="1:5" x14ac:dyDescent="0.25">
      <c r="A164" s="9" t="str">
        <f t="shared" si="4"/>
        <v>21993</v>
      </c>
      <c r="B164" s="14">
        <v>34005</v>
      </c>
      <c r="C164">
        <v>3823</v>
      </c>
      <c r="D164" s="9">
        <v>37802</v>
      </c>
      <c r="E164">
        <f t="shared" si="5"/>
        <v>-6900</v>
      </c>
    </row>
    <row r="165" spans="1:5" x14ac:dyDescent="0.25">
      <c r="A165" s="9" t="str">
        <f t="shared" si="4"/>
        <v>21993</v>
      </c>
      <c r="B165" s="14">
        <v>34012</v>
      </c>
      <c r="C165">
        <v>6691</v>
      </c>
      <c r="D165" s="9">
        <v>37833</v>
      </c>
      <c r="E165">
        <f t="shared" si="5"/>
        <v>-4800</v>
      </c>
    </row>
    <row r="166" spans="1:5" x14ac:dyDescent="0.25">
      <c r="A166" s="9" t="str">
        <f t="shared" si="4"/>
        <v>21993</v>
      </c>
      <c r="B166" s="14">
        <v>34019</v>
      </c>
      <c r="C166">
        <v>-10322</v>
      </c>
      <c r="D166" s="9">
        <v>37864</v>
      </c>
      <c r="E166">
        <f t="shared" si="5"/>
        <v>3100</v>
      </c>
    </row>
    <row r="167" spans="1:5" x14ac:dyDescent="0.25">
      <c r="A167" s="9" t="str">
        <f t="shared" si="4"/>
        <v>21993</v>
      </c>
      <c r="B167" s="14">
        <v>34026</v>
      </c>
      <c r="C167">
        <v>7883</v>
      </c>
      <c r="D167" s="9">
        <v>37894</v>
      </c>
      <c r="E167">
        <f t="shared" si="5"/>
        <v>353</v>
      </c>
    </row>
    <row r="168" spans="1:5" x14ac:dyDescent="0.25">
      <c r="A168" s="9" t="str">
        <f t="shared" si="4"/>
        <v>31993</v>
      </c>
      <c r="B168" s="14">
        <v>34033</v>
      </c>
      <c r="C168">
        <v>5941</v>
      </c>
      <c r="D168" s="9">
        <v>37925</v>
      </c>
      <c r="E168">
        <f t="shared" si="5"/>
        <v>11100</v>
      </c>
    </row>
    <row r="169" spans="1:5" x14ac:dyDescent="0.25">
      <c r="A169" s="9" t="str">
        <f t="shared" si="4"/>
        <v>31993</v>
      </c>
      <c r="B169" s="14">
        <v>34040</v>
      </c>
      <c r="C169">
        <v>5607</v>
      </c>
      <c r="D169" s="9">
        <v>37955</v>
      </c>
      <c r="E169">
        <f t="shared" si="5"/>
        <v>-7600</v>
      </c>
    </row>
    <row r="170" spans="1:5" x14ac:dyDescent="0.25">
      <c r="A170" s="9" t="str">
        <f t="shared" si="4"/>
        <v>31993</v>
      </c>
      <c r="B170" s="14">
        <v>34047</v>
      </c>
      <c r="C170">
        <v>-13182</v>
      </c>
      <c r="D170" s="9">
        <v>37986</v>
      </c>
      <c r="E170">
        <f t="shared" si="5"/>
        <v>-13600</v>
      </c>
    </row>
    <row r="171" spans="1:5" x14ac:dyDescent="0.25">
      <c r="A171" s="9" t="str">
        <f t="shared" si="4"/>
        <v>31993</v>
      </c>
      <c r="B171" s="14">
        <v>34054</v>
      </c>
      <c r="C171">
        <v>7898</v>
      </c>
      <c r="D171" s="9">
        <v>38017</v>
      </c>
      <c r="E171">
        <f t="shared" si="5"/>
        <v>900</v>
      </c>
    </row>
    <row r="172" spans="1:5" x14ac:dyDescent="0.25">
      <c r="A172" s="9" t="str">
        <f t="shared" si="4"/>
        <v>41993</v>
      </c>
      <c r="B172" s="14">
        <v>34061</v>
      </c>
      <c r="C172">
        <v>519</v>
      </c>
      <c r="D172" s="9">
        <v>38046</v>
      </c>
      <c r="E172">
        <f t="shared" si="5"/>
        <v>4200</v>
      </c>
    </row>
    <row r="173" spans="1:5" x14ac:dyDescent="0.25">
      <c r="A173" s="9" t="str">
        <f t="shared" si="4"/>
        <v>41993</v>
      </c>
      <c r="B173" s="14">
        <v>34068</v>
      </c>
      <c r="C173">
        <v>11524</v>
      </c>
      <c r="D173" s="9">
        <v>38077</v>
      </c>
      <c r="E173">
        <f t="shared" si="5"/>
        <v>18500</v>
      </c>
    </row>
    <row r="174" spans="1:5" x14ac:dyDescent="0.25">
      <c r="A174" s="9" t="str">
        <f t="shared" si="4"/>
        <v>41993</v>
      </c>
      <c r="B174" s="14">
        <v>34075</v>
      </c>
      <c r="C174">
        <v>-9260</v>
      </c>
      <c r="D174" s="9">
        <v>38107</v>
      </c>
      <c r="E174">
        <f t="shared" si="5"/>
        <v>4600</v>
      </c>
    </row>
    <row r="175" spans="1:5" x14ac:dyDescent="0.25">
      <c r="A175" s="9" t="str">
        <f t="shared" si="4"/>
        <v>41993</v>
      </c>
      <c r="B175" s="14">
        <v>34082</v>
      </c>
      <c r="C175">
        <v>1095</v>
      </c>
      <c r="D175" s="9">
        <v>38138</v>
      </c>
      <c r="E175">
        <f t="shared" si="5"/>
        <v>2825</v>
      </c>
    </row>
    <row r="176" spans="1:5" x14ac:dyDescent="0.25">
      <c r="A176" s="9" t="str">
        <f t="shared" si="4"/>
        <v>41993</v>
      </c>
      <c r="B176" s="14">
        <v>34089</v>
      </c>
      <c r="C176">
        <v>2697</v>
      </c>
      <c r="D176" s="9">
        <v>38168</v>
      </c>
      <c r="E176">
        <f t="shared" si="5"/>
        <v>3200</v>
      </c>
    </row>
    <row r="177" spans="1:5" x14ac:dyDescent="0.25">
      <c r="A177" s="9" t="str">
        <f t="shared" si="4"/>
        <v>51993</v>
      </c>
      <c r="B177" s="14">
        <v>34096</v>
      </c>
      <c r="C177">
        <v>422</v>
      </c>
      <c r="D177" s="9">
        <v>38199</v>
      </c>
      <c r="E177">
        <f t="shared" si="5"/>
        <v>-6300</v>
      </c>
    </row>
    <row r="178" spans="1:5" x14ac:dyDescent="0.25">
      <c r="A178" s="9" t="str">
        <f t="shared" si="4"/>
        <v>51993</v>
      </c>
      <c r="B178" s="14">
        <v>34103</v>
      </c>
      <c r="C178">
        <v>5452</v>
      </c>
      <c r="D178" s="9">
        <v>38230</v>
      </c>
      <c r="E178">
        <f t="shared" si="5"/>
        <v>-11500</v>
      </c>
    </row>
    <row r="179" spans="1:5" x14ac:dyDescent="0.25">
      <c r="A179" s="9" t="str">
        <f t="shared" si="4"/>
        <v>51993</v>
      </c>
      <c r="B179" s="14">
        <v>34110</v>
      </c>
      <c r="C179">
        <v>3114</v>
      </c>
      <c r="D179" s="9">
        <v>38260</v>
      </c>
      <c r="E179">
        <f t="shared" si="5"/>
        <v>-14200</v>
      </c>
    </row>
    <row r="180" spans="1:5" x14ac:dyDescent="0.25">
      <c r="A180" s="9" t="str">
        <f t="shared" si="4"/>
        <v>51993</v>
      </c>
      <c r="B180" s="14">
        <v>34117</v>
      </c>
      <c r="C180">
        <v>-3818</v>
      </c>
      <c r="D180" s="9">
        <v>38291</v>
      </c>
      <c r="E180">
        <f t="shared" si="5"/>
        <v>16800</v>
      </c>
    </row>
    <row r="181" spans="1:5" x14ac:dyDescent="0.25">
      <c r="A181" s="9" t="str">
        <f t="shared" si="4"/>
        <v>61993</v>
      </c>
      <c r="B181" s="14">
        <v>34124</v>
      </c>
      <c r="C181">
        <v>-1761</v>
      </c>
      <c r="D181" s="9">
        <v>38321</v>
      </c>
      <c r="E181">
        <f t="shared" si="5"/>
        <v>3600</v>
      </c>
    </row>
    <row r="182" spans="1:5" x14ac:dyDescent="0.25">
      <c r="A182" s="9" t="str">
        <f t="shared" si="4"/>
        <v>61993</v>
      </c>
      <c r="B182" s="14">
        <v>34131</v>
      </c>
      <c r="C182">
        <v>-7914</v>
      </c>
      <c r="D182" s="9">
        <v>38352</v>
      </c>
      <c r="E182">
        <f t="shared" si="5"/>
        <v>-1500</v>
      </c>
    </row>
    <row r="183" spans="1:5" x14ac:dyDescent="0.25">
      <c r="A183" s="9" t="str">
        <f t="shared" si="4"/>
        <v>61993</v>
      </c>
      <c r="B183" s="14">
        <v>34138</v>
      </c>
      <c r="C183">
        <v>9253</v>
      </c>
      <c r="D183" s="9">
        <v>38383</v>
      </c>
      <c r="E183">
        <f t="shared" si="5"/>
        <v>3500</v>
      </c>
    </row>
    <row r="184" spans="1:5" x14ac:dyDescent="0.25">
      <c r="A184" s="9" t="str">
        <f t="shared" si="4"/>
        <v>61993</v>
      </c>
      <c r="B184" s="14">
        <v>34145</v>
      </c>
      <c r="C184">
        <v>6290</v>
      </c>
      <c r="D184" s="9">
        <v>38411</v>
      </c>
      <c r="E184">
        <f t="shared" si="5"/>
        <v>4100</v>
      </c>
    </row>
    <row r="185" spans="1:5" x14ac:dyDescent="0.25">
      <c r="A185" s="9" t="str">
        <f t="shared" si="4"/>
        <v>71993</v>
      </c>
      <c r="B185" s="14">
        <v>34152</v>
      </c>
      <c r="C185">
        <v>-8154</v>
      </c>
      <c r="D185" s="9">
        <v>38442</v>
      </c>
      <c r="E185">
        <f t="shared" si="5"/>
        <v>15300</v>
      </c>
    </row>
    <row r="186" spans="1:5" x14ac:dyDescent="0.25">
      <c r="A186" s="9" t="str">
        <f t="shared" si="4"/>
        <v>71993</v>
      </c>
      <c r="B186" s="14">
        <v>34159</v>
      </c>
      <c r="C186">
        <v>3422</v>
      </c>
      <c r="D186" s="9">
        <v>38472</v>
      </c>
      <c r="E186">
        <f t="shared" si="5"/>
        <v>12295</v>
      </c>
    </row>
    <row r="187" spans="1:5" x14ac:dyDescent="0.25">
      <c r="A187" s="9" t="str">
        <f t="shared" si="4"/>
        <v>71993</v>
      </c>
      <c r="B187" s="14">
        <v>34166</v>
      </c>
      <c r="C187">
        <v>8166</v>
      </c>
      <c r="D187" s="9">
        <v>38503</v>
      </c>
      <c r="E187">
        <f t="shared" si="5"/>
        <v>6810</v>
      </c>
    </row>
    <row r="188" spans="1:5" x14ac:dyDescent="0.25">
      <c r="A188" s="9" t="str">
        <f t="shared" si="4"/>
        <v>71993</v>
      </c>
      <c r="B188" s="14">
        <v>34173</v>
      </c>
      <c r="C188">
        <v>-5527</v>
      </c>
      <c r="D188" s="9">
        <v>38533</v>
      </c>
      <c r="E188">
        <f t="shared" si="5"/>
        <v>-5352</v>
      </c>
    </row>
    <row r="189" spans="1:5" x14ac:dyDescent="0.25">
      <c r="A189" s="9" t="str">
        <f t="shared" si="4"/>
        <v>71993</v>
      </c>
      <c r="B189" s="14">
        <v>34180</v>
      </c>
      <c r="C189">
        <v>-4417</v>
      </c>
      <c r="D189" s="9">
        <v>38564</v>
      </c>
      <c r="E189">
        <f t="shared" si="5"/>
        <v>-10461</v>
      </c>
    </row>
    <row r="190" spans="1:5" x14ac:dyDescent="0.25">
      <c r="A190" s="9" t="str">
        <f t="shared" si="4"/>
        <v>81993</v>
      </c>
      <c r="B190" s="14">
        <v>34187</v>
      </c>
      <c r="C190">
        <v>797</v>
      </c>
      <c r="D190" s="9">
        <v>38595</v>
      </c>
      <c r="E190">
        <f t="shared" si="5"/>
        <v>3370</v>
      </c>
    </row>
    <row r="191" spans="1:5" x14ac:dyDescent="0.25">
      <c r="A191" s="9" t="str">
        <f t="shared" si="4"/>
        <v>81993</v>
      </c>
      <c r="B191" s="14">
        <v>34194</v>
      </c>
      <c r="C191">
        <v>-4506</v>
      </c>
      <c r="D191" s="9">
        <v>38625</v>
      </c>
      <c r="E191">
        <f t="shared" si="5"/>
        <v>-15993</v>
      </c>
    </row>
    <row r="192" spans="1:5" x14ac:dyDescent="0.25">
      <c r="A192" s="9" t="str">
        <f t="shared" si="4"/>
        <v>81993</v>
      </c>
      <c r="B192" s="14">
        <v>34201</v>
      </c>
      <c r="C192">
        <v>-4727</v>
      </c>
      <c r="D192" s="9">
        <v>38656</v>
      </c>
      <c r="E192">
        <f t="shared" si="5"/>
        <v>13720</v>
      </c>
    </row>
    <row r="193" spans="1:5" x14ac:dyDescent="0.25">
      <c r="A193" s="9" t="str">
        <f t="shared" si="4"/>
        <v>81993</v>
      </c>
      <c r="B193" s="14">
        <v>34208</v>
      </c>
      <c r="C193">
        <v>1356</v>
      </c>
      <c r="D193" s="9">
        <v>38686</v>
      </c>
      <c r="E193">
        <f t="shared" si="5"/>
        <v>-1569</v>
      </c>
    </row>
    <row r="194" spans="1:5" x14ac:dyDescent="0.25">
      <c r="A194" s="9" t="str">
        <f t="shared" si="4"/>
        <v>91993</v>
      </c>
      <c r="B194" s="14">
        <v>34215</v>
      </c>
      <c r="C194">
        <v>-6569</v>
      </c>
      <c r="D194" s="9">
        <v>38717</v>
      </c>
      <c r="E194">
        <f t="shared" si="5"/>
        <v>4017</v>
      </c>
    </row>
    <row r="195" spans="1:5" x14ac:dyDescent="0.25">
      <c r="A195" s="9" t="str">
        <f t="shared" si="4"/>
        <v>91993</v>
      </c>
      <c r="B195" s="14">
        <v>34222</v>
      </c>
      <c r="C195">
        <v>1322</v>
      </c>
      <c r="D195" s="9">
        <v>38748</v>
      </c>
      <c r="E195">
        <f t="shared" si="5"/>
        <v>-536</v>
      </c>
    </row>
    <row r="196" spans="1:5" x14ac:dyDescent="0.25">
      <c r="A196" s="9" t="str">
        <f t="shared" ref="A196:A259" si="6">MONTH(B196)&amp;YEAR(B196)</f>
        <v>91993</v>
      </c>
      <c r="B196" s="14">
        <v>34229</v>
      </c>
      <c r="C196">
        <v>-211</v>
      </c>
      <c r="D196" s="9">
        <v>38776</v>
      </c>
      <c r="E196">
        <f t="shared" ref="E196:E259" si="7">SUMIF(A:A,MONTH(D196)&amp;YEAR(D196),C:C)</f>
        <v>7294</v>
      </c>
    </row>
    <row r="197" spans="1:5" x14ac:dyDescent="0.25">
      <c r="A197" s="9" t="str">
        <f t="shared" si="6"/>
        <v>91993</v>
      </c>
      <c r="B197" s="14">
        <v>34236</v>
      </c>
      <c r="C197">
        <v>-9526</v>
      </c>
      <c r="D197" s="9">
        <v>38807</v>
      </c>
      <c r="E197">
        <f t="shared" si="7"/>
        <v>14429</v>
      </c>
    </row>
    <row r="198" spans="1:5" x14ac:dyDescent="0.25">
      <c r="A198" s="9" t="str">
        <f t="shared" si="6"/>
        <v>101993</v>
      </c>
      <c r="B198" s="14">
        <v>34243</v>
      </c>
      <c r="C198">
        <v>-2459</v>
      </c>
      <c r="D198" s="9">
        <v>38837</v>
      </c>
      <c r="E198">
        <f t="shared" si="7"/>
        <v>3925</v>
      </c>
    </row>
    <row r="199" spans="1:5" x14ac:dyDescent="0.25">
      <c r="A199" s="9" t="str">
        <f t="shared" si="6"/>
        <v>101993</v>
      </c>
      <c r="B199" s="14">
        <v>34250</v>
      </c>
      <c r="C199">
        <v>4258</v>
      </c>
      <c r="D199" s="9">
        <v>38868</v>
      </c>
      <c r="E199">
        <f t="shared" si="7"/>
        <v>-1192</v>
      </c>
    </row>
    <row r="200" spans="1:5" x14ac:dyDescent="0.25">
      <c r="A200" s="9" t="str">
        <f t="shared" si="6"/>
        <v>101993</v>
      </c>
      <c r="B200" s="14">
        <v>34257</v>
      </c>
      <c r="C200">
        <v>-4874</v>
      </c>
      <c r="D200" s="9">
        <v>38898</v>
      </c>
      <c r="E200">
        <f t="shared" si="7"/>
        <v>-4199</v>
      </c>
    </row>
    <row r="201" spans="1:5" x14ac:dyDescent="0.25">
      <c r="A201" s="9" t="str">
        <f t="shared" si="6"/>
        <v>101993</v>
      </c>
      <c r="B201" s="14">
        <v>34264</v>
      </c>
      <c r="C201">
        <v>7425</v>
      </c>
      <c r="D201" s="9">
        <v>38929</v>
      </c>
      <c r="E201">
        <f t="shared" si="7"/>
        <v>-7578</v>
      </c>
    </row>
    <row r="202" spans="1:5" x14ac:dyDescent="0.25">
      <c r="A202" s="9" t="str">
        <f t="shared" si="6"/>
        <v>101993</v>
      </c>
      <c r="B202" s="14">
        <v>34271</v>
      </c>
      <c r="C202">
        <v>1784</v>
      </c>
      <c r="D202" s="9">
        <v>38960</v>
      </c>
      <c r="E202">
        <f t="shared" si="7"/>
        <v>-883</v>
      </c>
    </row>
    <row r="203" spans="1:5" x14ac:dyDescent="0.25">
      <c r="A203" s="9" t="str">
        <f t="shared" si="6"/>
        <v>111993</v>
      </c>
      <c r="B203" s="14">
        <v>34278</v>
      </c>
      <c r="C203">
        <v>-2819</v>
      </c>
      <c r="D203" s="9">
        <v>38990</v>
      </c>
      <c r="E203">
        <f t="shared" si="7"/>
        <v>-4718</v>
      </c>
    </row>
    <row r="204" spans="1:5" x14ac:dyDescent="0.25">
      <c r="A204" s="9" t="str">
        <f t="shared" si="6"/>
        <v>111993</v>
      </c>
      <c r="B204" s="14">
        <v>34285</v>
      </c>
      <c r="C204">
        <v>5011</v>
      </c>
      <c r="D204" s="9">
        <v>39021</v>
      </c>
      <c r="E204">
        <f t="shared" si="7"/>
        <v>6133</v>
      </c>
    </row>
    <row r="205" spans="1:5" x14ac:dyDescent="0.25">
      <c r="A205" s="9" t="str">
        <f t="shared" si="6"/>
        <v>111993</v>
      </c>
      <c r="B205" s="14">
        <v>34292</v>
      </c>
      <c r="C205">
        <v>-5512</v>
      </c>
      <c r="D205" s="9">
        <v>39051</v>
      </c>
      <c r="E205">
        <f t="shared" si="7"/>
        <v>6519</v>
      </c>
    </row>
    <row r="206" spans="1:5" x14ac:dyDescent="0.25">
      <c r="A206" s="9" t="str">
        <f t="shared" si="6"/>
        <v>111993</v>
      </c>
      <c r="B206" s="14">
        <v>34299</v>
      </c>
      <c r="C206">
        <v>1393</v>
      </c>
      <c r="D206" s="9">
        <v>39082</v>
      </c>
      <c r="E206">
        <f t="shared" si="7"/>
        <v>-21098</v>
      </c>
    </row>
    <row r="207" spans="1:5" x14ac:dyDescent="0.25">
      <c r="A207" s="9" t="str">
        <f t="shared" si="6"/>
        <v>121993</v>
      </c>
      <c r="B207" s="14">
        <v>34306</v>
      </c>
      <c r="C207">
        <v>5433</v>
      </c>
      <c r="D207" s="9">
        <v>39113</v>
      </c>
      <c r="E207">
        <f t="shared" si="7"/>
        <v>5251</v>
      </c>
    </row>
    <row r="208" spans="1:5" x14ac:dyDescent="0.25">
      <c r="A208" s="9" t="str">
        <f t="shared" si="6"/>
        <v>121993</v>
      </c>
      <c r="B208" s="14">
        <v>34313</v>
      </c>
      <c r="C208">
        <v>6328</v>
      </c>
      <c r="D208" s="9">
        <v>39141</v>
      </c>
      <c r="E208">
        <f t="shared" si="7"/>
        <v>4077</v>
      </c>
    </row>
    <row r="209" spans="1:5" x14ac:dyDescent="0.25">
      <c r="A209" s="9" t="str">
        <f t="shared" si="6"/>
        <v>121993</v>
      </c>
      <c r="B209" s="14">
        <v>34320</v>
      </c>
      <c r="C209">
        <v>2410</v>
      </c>
      <c r="D209" s="9">
        <v>39172</v>
      </c>
      <c r="E209">
        <f t="shared" si="7"/>
        <v>3717</v>
      </c>
    </row>
    <row r="210" spans="1:5" x14ac:dyDescent="0.25">
      <c r="A210" s="9" t="str">
        <f t="shared" si="6"/>
        <v>121993</v>
      </c>
      <c r="B210" s="14">
        <v>34327</v>
      </c>
      <c r="C210">
        <v>-168</v>
      </c>
      <c r="D210" s="9">
        <v>39202</v>
      </c>
      <c r="E210">
        <f t="shared" si="7"/>
        <v>2927</v>
      </c>
    </row>
    <row r="211" spans="1:5" x14ac:dyDescent="0.25">
      <c r="A211" s="9" t="str">
        <f t="shared" si="6"/>
        <v>121993</v>
      </c>
      <c r="B211" s="14">
        <v>34334</v>
      </c>
      <c r="C211">
        <v>-6537</v>
      </c>
      <c r="D211" s="9">
        <v>39233</v>
      </c>
      <c r="E211">
        <f t="shared" si="7"/>
        <v>6585</v>
      </c>
    </row>
    <row r="212" spans="1:5" x14ac:dyDescent="0.25">
      <c r="A212" s="9" t="str">
        <f t="shared" si="6"/>
        <v>11994</v>
      </c>
      <c r="B212" s="14">
        <v>34341</v>
      </c>
      <c r="C212">
        <v>-6920</v>
      </c>
      <c r="D212" s="9">
        <v>39263</v>
      </c>
      <c r="E212">
        <f t="shared" si="7"/>
        <v>11809</v>
      </c>
    </row>
    <row r="213" spans="1:5" x14ac:dyDescent="0.25">
      <c r="A213" s="9" t="str">
        <f t="shared" si="6"/>
        <v>11994</v>
      </c>
      <c r="B213" s="14">
        <v>34348</v>
      </c>
      <c r="C213">
        <v>-194</v>
      </c>
      <c r="D213" s="9">
        <v>39294</v>
      </c>
      <c r="E213">
        <f t="shared" si="7"/>
        <v>-9511</v>
      </c>
    </row>
    <row r="214" spans="1:5" x14ac:dyDescent="0.25">
      <c r="A214" s="9" t="str">
        <f t="shared" si="6"/>
        <v>11994</v>
      </c>
      <c r="B214" s="14">
        <v>34355</v>
      </c>
      <c r="C214">
        <v>-5478</v>
      </c>
      <c r="D214" s="9">
        <v>39325</v>
      </c>
      <c r="E214">
        <f t="shared" si="7"/>
        <v>-14871</v>
      </c>
    </row>
    <row r="215" spans="1:5" x14ac:dyDescent="0.25">
      <c r="A215" s="9" t="str">
        <f t="shared" si="6"/>
        <v>11994</v>
      </c>
      <c r="B215" s="14">
        <v>34362</v>
      </c>
      <c r="C215">
        <v>3090</v>
      </c>
      <c r="D215" s="9">
        <v>39355</v>
      </c>
      <c r="E215">
        <f t="shared" si="7"/>
        <v>-7905</v>
      </c>
    </row>
    <row r="216" spans="1:5" x14ac:dyDescent="0.25">
      <c r="A216" s="9" t="str">
        <f t="shared" si="6"/>
        <v>21994</v>
      </c>
      <c r="B216" s="14">
        <v>34369</v>
      </c>
      <c r="C216">
        <v>3906</v>
      </c>
      <c r="D216" s="9">
        <v>39386</v>
      </c>
      <c r="E216">
        <f t="shared" si="7"/>
        <v>-9072</v>
      </c>
    </row>
    <row r="217" spans="1:5" x14ac:dyDescent="0.25">
      <c r="A217" s="9" t="str">
        <f t="shared" si="6"/>
        <v>21994</v>
      </c>
      <c r="B217" s="14">
        <v>34376</v>
      </c>
      <c r="C217">
        <v>-4355</v>
      </c>
      <c r="D217" s="9">
        <v>39416</v>
      </c>
      <c r="E217">
        <f t="shared" si="7"/>
        <v>-7443</v>
      </c>
    </row>
    <row r="218" spans="1:5" x14ac:dyDescent="0.25">
      <c r="A218" s="9" t="str">
        <f t="shared" si="6"/>
        <v>21994</v>
      </c>
      <c r="B218" s="14">
        <v>34383</v>
      </c>
      <c r="C218">
        <v>3028</v>
      </c>
      <c r="D218" s="9">
        <v>39447</v>
      </c>
      <c r="E218">
        <f t="shared" si="7"/>
        <v>-15663</v>
      </c>
    </row>
    <row r="219" spans="1:5" x14ac:dyDescent="0.25">
      <c r="A219" s="9" t="str">
        <f t="shared" si="6"/>
        <v>21994</v>
      </c>
      <c r="B219" s="14">
        <v>34390</v>
      </c>
      <c r="C219">
        <v>-7182</v>
      </c>
      <c r="D219" s="9">
        <v>39478</v>
      </c>
      <c r="E219">
        <f t="shared" si="7"/>
        <v>3375</v>
      </c>
    </row>
    <row r="220" spans="1:5" x14ac:dyDescent="0.25">
      <c r="A220" s="9" t="str">
        <f t="shared" si="6"/>
        <v>31994</v>
      </c>
      <c r="B220" s="14">
        <v>34397</v>
      </c>
      <c r="C220">
        <v>7704</v>
      </c>
      <c r="D220" s="9">
        <v>39507</v>
      </c>
      <c r="E220">
        <f t="shared" si="7"/>
        <v>12497</v>
      </c>
    </row>
    <row r="221" spans="1:5" x14ac:dyDescent="0.25">
      <c r="A221" s="9" t="str">
        <f t="shared" si="6"/>
        <v>31994</v>
      </c>
      <c r="B221" s="14">
        <v>34404</v>
      </c>
      <c r="C221">
        <v>-5076</v>
      </c>
      <c r="D221" s="9">
        <v>39538</v>
      </c>
      <c r="E221">
        <f t="shared" si="7"/>
        <v>13715</v>
      </c>
    </row>
    <row r="222" spans="1:5" x14ac:dyDescent="0.25">
      <c r="A222" s="9" t="str">
        <f t="shared" si="6"/>
        <v>31994</v>
      </c>
      <c r="B222" s="14">
        <v>34411</v>
      </c>
      <c r="C222">
        <v>11903</v>
      </c>
      <c r="D222" s="9">
        <v>39568</v>
      </c>
      <c r="E222">
        <f t="shared" si="7"/>
        <v>765</v>
      </c>
    </row>
    <row r="223" spans="1:5" x14ac:dyDescent="0.25">
      <c r="A223" s="9" t="str">
        <f t="shared" si="6"/>
        <v>31994</v>
      </c>
      <c r="B223" s="14">
        <v>34418</v>
      </c>
      <c r="C223">
        <v>-5131</v>
      </c>
      <c r="D223" s="9">
        <v>39599</v>
      </c>
      <c r="E223">
        <f t="shared" si="7"/>
        <v>-13172</v>
      </c>
    </row>
    <row r="224" spans="1:5" x14ac:dyDescent="0.25">
      <c r="A224" s="9" t="str">
        <f t="shared" si="6"/>
        <v>41994</v>
      </c>
      <c r="B224" s="14">
        <v>34425</v>
      </c>
      <c r="C224">
        <v>196</v>
      </c>
      <c r="D224" s="9">
        <v>39629</v>
      </c>
      <c r="E224">
        <f t="shared" si="7"/>
        <v>-6981</v>
      </c>
    </row>
    <row r="225" spans="1:5" x14ac:dyDescent="0.25">
      <c r="A225" s="9" t="str">
        <f t="shared" si="6"/>
        <v>41994</v>
      </c>
      <c r="B225" s="14">
        <v>34432</v>
      </c>
      <c r="C225">
        <v>515</v>
      </c>
      <c r="D225" s="9">
        <v>39660</v>
      </c>
      <c r="E225">
        <f t="shared" si="7"/>
        <v>-4527</v>
      </c>
    </row>
    <row r="226" spans="1:5" x14ac:dyDescent="0.25">
      <c r="A226" s="9" t="str">
        <f t="shared" si="6"/>
        <v>41994</v>
      </c>
      <c r="B226" s="14">
        <v>34439</v>
      </c>
      <c r="C226">
        <v>1931</v>
      </c>
      <c r="D226" s="9">
        <v>39691</v>
      </c>
      <c r="E226">
        <f t="shared" si="7"/>
        <v>8613</v>
      </c>
    </row>
    <row r="227" spans="1:5" x14ac:dyDescent="0.25">
      <c r="A227" s="9" t="str">
        <f t="shared" si="6"/>
        <v>41994</v>
      </c>
      <c r="B227" s="14">
        <v>34446</v>
      </c>
      <c r="C227">
        <v>78</v>
      </c>
      <c r="D227" s="9">
        <v>39721</v>
      </c>
      <c r="E227">
        <f t="shared" si="7"/>
        <v>-9398</v>
      </c>
    </row>
    <row r="228" spans="1:5" x14ac:dyDescent="0.25">
      <c r="A228" s="9" t="str">
        <f t="shared" si="6"/>
        <v>41994</v>
      </c>
      <c r="B228" s="14">
        <v>34453</v>
      </c>
      <c r="C228">
        <v>910</v>
      </c>
      <c r="D228" s="9">
        <v>39752</v>
      </c>
      <c r="E228">
        <f t="shared" si="7"/>
        <v>17463</v>
      </c>
    </row>
    <row r="229" spans="1:5" x14ac:dyDescent="0.25">
      <c r="A229" s="9" t="str">
        <f t="shared" si="6"/>
        <v>51994</v>
      </c>
      <c r="B229" s="14">
        <v>34460</v>
      </c>
      <c r="C229">
        <v>-5966</v>
      </c>
      <c r="D229" s="9">
        <v>39782</v>
      </c>
      <c r="E229">
        <f t="shared" si="7"/>
        <v>8445</v>
      </c>
    </row>
    <row r="230" spans="1:5" x14ac:dyDescent="0.25">
      <c r="A230" s="9" t="str">
        <f t="shared" si="6"/>
        <v>51994</v>
      </c>
      <c r="B230" s="14">
        <v>34467</v>
      </c>
      <c r="C230">
        <v>-938</v>
      </c>
      <c r="D230" s="9">
        <v>39813</v>
      </c>
      <c r="E230">
        <f t="shared" si="7"/>
        <v>-1635</v>
      </c>
    </row>
    <row r="231" spans="1:5" x14ac:dyDescent="0.25">
      <c r="A231" s="9" t="str">
        <f t="shared" si="6"/>
        <v>51994</v>
      </c>
      <c r="B231" s="14">
        <v>34474</v>
      </c>
      <c r="C231">
        <v>1654</v>
      </c>
      <c r="D231" s="9">
        <v>39844</v>
      </c>
      <c r="E231">
        <f t="shared" si="7"/>
        <v>27314</v>
      </c>
    </row>
    <row r="232" spans="1:5" x14ac:dyDescent="0.25">
      <c r="A232" s="9" t="str">
        <f t="shared" si="6"/>
        <v>51994</v>
      </c>
      <c r="B232" s="14">
        <v>34481</v>
      </c>
      <c r="C232">
        <v>-1094</v>
      </c>
      <c r="D232" s="9">
        <v>39872</v>
      </c>
      <c r="E232">
        <f t="shared" si="7"/>
        <v>4539</v>
      </c>
    </row>
    <row r="233" spans="1:5" x14ac:dyDescent="0.25">
      <c r="A233" s="9" t="str">
        <f t="shared" si="6"/>
        <v>61994</v>
      </c>
      <c r="B233" s="14">
        <v>34488</v>
      </c>
      <c r="C233">
        <v>-4736</v>
      </c>
      <c r="D233" s="9">
        <v>39903</v>
      </c>
      <c r="E233">
        <f t="shared" si="7"/>
        <v>8837</v>
      </c>
    </row>
    <row r="234" spans="1:5" x14ac:dyDescent="0.25">
      <c r="A234" s="9" t="str">
        <f t="shared" si="6"/>
        <v>61994</v>
      </c>
      <c r="B234" s="14">
        <v>34495</v>
      </c>
      <c r="C234">
        <v>-2809</v>
      </c>
      <c r="D234" s="9">
        <v>39933</v>
      </c>
      <c r="E234">
        <f t="shared" si="7"/>
        <v>15226</v>
      </c>
    </row>
    <row r="235" spans="1:5" x14ac:dyDescent="0.25">
      <c r="A235" s="9" t="str">
        <f t="shared" si="6"/>
        <v>61994</v>
      </c>
      <c r="B235" s="14">
        <v>34502</v>
      </c>
      <c r="C235">
        <v>-1567</v>
      </c>
      <c r="D235" s="9">
        <v>39964</v>
      </c>
      <c r="E235">
        <f t="shared" si="7"/>
        <v>-8676</v>
      </c>
    </row>
    <row r="236" spans="1:5" x14ac:dyDescent="0.25">
      <c r="A236" s="9" t="str">
        <f t="shared" si="6"/>
        <v>61994</v>
      </c>
      <c r="B236" s="14">
        <v>34509</v>
      </c>
      <c r="C236">
        <v>3479</v>
      </c>
      <c r="D236" s="9">
        <v>39994</v>
      </c>
      <c r="E236">
        <f t="shared" si="7"/>
        <v>-15784</v>
      </c>
    </row>
    <row r="237" spans="1:5" x14ac:dyDescent="0.25">
      <c r="A237" s="9" t="str">
        <f t="shared" si="6"/>
        <v>71994</v>
      </c>
      <c r="B237" s="14">
        <v>34516</v>
      </c>
      <c r="C237">
        <v>970</v>
      </c>
      <c r="D237" s="9">
        <v>40025</v>
      </c>
      <c r="E237">
        <f t="shared" si="7"/>
        <v>-683</v>
      </c>
    </row>
    <row r="238" spans="1:5" x14ac:dyDescent="0.25">
      <c r="A238" s="9" t="str">
        <f t="shared" si="6"/>
        <v>71994</v>
      </c>
      <c r="B238" s="14">
        <v>34523</v>
      </c>
      <c r="C238">
        <v>174</v>
      </c>
      <c r="D238" s="9">
        <v>40056</v>
      </c>
      <c r="E238">
        <f t="shared" si="7"/>
        <v>-6122</v>
      </c>
    </row>
    <row r="239" spans="1:5" x14ac:dyDescent="0.25">
      <c r="A239" s="9" t="str">
        <f t="shared" si="6"/>
        <v>71994</v>
      </c>
      <c r="B239" s="14">
        <v>34530</v>
      </c>
      <c r="C239">
        <v>3182</v>
      </c>
      <c r="D239" s="9">
        <v>40086</v>
      </c>
      <c r="E239">
        <f t="shared" si="7"/>
        <v>-4984</v>
      </c>
    </row>
    <row r="240" spans="1:5" x14ac:dyDescent="0.25">
      <c r="A240" s="9" t="str">
        <f t="shared" si="6"/>
        <v>71994</v>
      </c>
      <c r="B240" s="14">
        <v>34537</v>
      </c>
      <c r="C240">
        <v>3257</v>
      </c>
      <c r="D240" s="9">
        <v>40117</v>
      </c>
      <c r="E240">
        <f t="shared" si="7"/>
        <v>-2490</v>
      </c>
    </row>
    <row r="241" spans="1:5" x14ac:dyDescent="0.25">
      <c r="A241" s="9" t="str">
        <f t="shared" si="6"/>
        <v>71994</v>
      </c>
      <c r="B241" s="14">
        <v>34544</v>
      </c>
      <c r="C241">
        <v>-5852</v>
      </c>
      <c r="D241" s="9">
        <v>40147</v>
      </c>
      <c r="E241">
        <f t="shared" si="7"/>
        <v>3985</v>
      </c>
    </row>
    <row r="242" spans="1:5" x14ac:dyDescent="0.25">
      <c r="A242" s="9" t="str">
        <f t="shared" si="6"/>
        <v>81994</v>
      </c>
      <c r="B242" s="14">
        <v>34551</v>
      </c>
      <c r="C242">
        <v>-2653</v>
      </c>
      <c r="D242" s="9">
        <v>40178</v>
      </c>
      <c r="E242">
        <f t="shared" si="7"/>
        <v>-13891</v>
      </c>
    </row>
    <row r="243" spans="1:5" x14ac:dyDescent="0.25">
      <c r="A243" s="9" t="str">
        <f t="shared" si="6"/>
        <v>81994</v>
      </c>
      <c r="B243" s="14">
        <v>34558</v>
      </c>
      <c r="C243">
        <v>3115</v>
      </c>
      <c r="D243" s="9">
        <v>40209</v>
      </c>
      <c r="E243">
        <f t="shared" si="7"/>
        <v>2986</v>
      </c>
    </row>
    <row r="244" spans="1:5" x14ac:dyDescent="0.25">
      <c r="A244" s="9" t="str">
        <f t="shared" si="6"/>
        <v>81994</v>
      </c>
      <c r="B244" s="14">
        <v>34565</v>
      </c>
      <c r="C244">
        <v>-2837</v>
      </c>
      <c r="D244" s="9">
        <v>40237</v>
      </c>
      <c r="E244">
        <f t="shared" si="7"/>
        <v>12577</v>
      </c>
    </row>
    <row r="245" spans="1:5" x14ac:dyDescent="0.25">
      <c r="A245" s="9" t="str">
        <f t="shared" si="6"/>
        <v>81994</v>
      </c>
      <c r="B245" s="14">
        <v>34572</v>
      </c>
      <c r="C245">
        <v>-2444</v>
      </c>
      <c r="D245" s="9">
        <v>40268</v>
      </c>
      <c r="E245">
        <f t="shared" si="7"/>
        <v>12618</v>
      </c>
    </row>
    <row r="246" spans="1:5" x14ac:dyDescent="0.25">
      <c r="A246" s="9" t="str">
        <f t="shared" si="6"/>
        <v>91994</v>
      </c>
      <c r="B246" s="14">
        <v>34579</v>
      </c>
      <c r="C246">
        <v>-224</v>
      </c>
      <c r="D246" s="9">
        <v>40298</v>
      </c>
      <c r="E246">
        <f t="shared" si="7"/>
        <v>6386</v>
      </c>
    </row>
    <row r="247" spans="1:5" x14ac:dyDescent="0.25">
      <c r="A247" s="9" t="str">
        <f t="shared" si="6"/>
        <v>91994</v>
      </c>
      <c r="B247" s="14">
        <v>34586</v>
      </c>
      <c r="C247">
        <v>-262</v>
      </c>
      <c r="D247" s="9">
        <v>40329</v>
      </c>
      <c r="E247">
        <f t="shared" si="7"/>
        <v>2669</v>
      </c>
    </row>
    <row r="248" spans="1:5" x14ac:dyDescent="0.25">
      <c r="A248" s="9" t="str">
        <f t="shared" si="6"/>
        <v>91994</v>
      </c>
      <c r="B248" s="14">
        <v>34593</v>
      </c>
      <c r="C248">
        <v>1455</v>
      </c>
      <c r="D248" s="9">
        <v>40359</v>
      </c>
      <c r="E248">
        <f t="shared" si="7"/>
        <v>-129</v>
      </c>
    </row>
    <row r="249" spans="1:5" x14ac:dyDescent="0.25">
      <c r="A249" s="9" t="str">
        <f t="shared" si="6"/>
        <v>91994</v>
      </c>
      <c r="B249" s="14">
        <v>34600</v>
      </c>
      <c r="C249">
        <v>5895</v>
      </c>
      <c r="D249" s="9">
        <v>40390</v>
      </c>
      <c r="E249">
        <f t="shared" si="7"/>
        <v>-5135</v>
      </c>
    </row>
    <row r="250" spans="1:5" x14ac:dyDescent="0.25">
      <c r="A250" s="9" t="str">
        <f t="shared" si="6"/>
        <v>91994</v>
      </c>
      <c r="B250" s="14">
        <v>34607</v>
      </c>
      <c r="C250">
        <v>3271</v>
      </c>
      <c r="D250" s="9">
        <v>40421</v>
      </c>
      <c r="E250">
        <f t="shared" si="7"/>
        <v>3727</v>
      </c>
    </row>
    <row r="251" spans="1:5" x14ac:dyDescent="0.25">
      <c r="A251" s="9" t="str">
        <f t="shared" si="6"/>
        <v>101994</v>
      </c>
      <c r="B251" s="14">
        <v>34614</v>
      </c>
      <c r="C251">
        <v>-1010</v>
      </c>
      <c r="D251" s="9">
        <v>40451</v>
      </c>
      <c r="E251">
        <f t="shared" si="7"/>
        <v>-3847</v>
      </c>
    </row>
    <row r="252" spans="1:5" x14ac:dyDescent="0.25">
      <c r="A252" s="9" t="str">
        <f t="shared" si="6"/>
        <v>101994</v>
      </c>
      <c r="B252" s="14">
        <v>34621</v>
      </c>
      <c r="C252">
        <v>4440</v>
      </c>
      <c r="D252" s="9">
        <v>40482</v>
      </c>
      <c r="E252">
        <f t="shared" si="7"/>
        <v>10296</v>
      </c>
    </row>
    <row r="253" spans="1:5" x14ac:dyDescent="0.25">
      <c r="A253" s="9" t="str">
        <f t="shared" si="6"/>
        <v>101994</v>
      </c>
      <c r="B253" s="14">
        <v>34628</v>
      </c>
      <c r="C253">
        <v>-1829</v>
      </c>
      <c r="D253" s="9">
        <v>40512</v>
      </c>
      <c r="E253">
        <f t="shared" si="7"/>
        <v>-8465</v>
      </c>
    </row>
    <row r="254" spans="1:5" x14ac:dyDescent="0.25">
      <c r="A254" s="9" t="str">
        <f t="shared" si="6"/>
        <v>101994</v>
      </c>
      <c r="B254" s="14">
        <v>34635</v>
      </c>
      <c r="C254">
        <v>9335</v>
      </c>
      <c r="D254" s="9">
        <v>40543</v>
      </c>
      <c r="E254">
        <f t="shared" si="7"/>
        <v>-24425</v>
      </c>
    </row>
    <row r="255" spans="1:5" x14ac:dyDescent="0.25">
      <c r="A255" s="9" t="str">
        <f t="shared" si="6"/>
        <v>111994</v>
      </c>
      <c r="B255" s="14">
        <v>34642</v>
      </c>
      <c r="C255">
        <v>-1066</v>
      </c>
      <c r="D255" s="9">
        <v>40574</v>
      </c>
      <c r="E255">
        <f t="shared" si="7"/>
        <v>7893</v>
      </c>
    </row>
    <row r="256" spans="1:5" x14ac:dyDescent="0.25">
      <c r="A256" s="9" t="str">
        <f t="shared" si="6"/>
        <v>111994</v>
      </c>
      <c r="B256" s="14">
        <v>34649</v>
      </c>
      <c r="C256">
        <v>-728</v>
      </c>
      <c r="D256" s="9">
        <v>40602</v>
      </c>
      <c r="E256">
        <f t="shared" si="7"/>
        <v>3216</v>
      </c>
    </row>
    <row r="257" spans="1:5" x14ac:dyDescent="0.25">
      <c r="A257" s="9" t="str">
        <f t="shared" si="6"/>
        <v>111994</v>
      </c>
      <c r="B257" s="14">
        <v>34656</v>
      </c>
      <c r="C257">
        <v>-2978</v>
      </c>
      <c r="D257" s="9">
        <v>40633</v>
      </c>
      <c r="E257">
        <f t="shared" si="7"/>
        <v>9337</v>
      </c>
    </row>
    <row r="258" spans="1:5" x14ac:dyDescent="0.25">
      <c r="A258" s="9" t="str">
        <f t="shared" si="6"/>
        <v>111994</v>
      </c>
      <c r="B258" s="14">
        <v>34663</v>
      </c>
      <c r="C258">
        <v>-2472</v>
      </c>
      <c r="D258" s="9">
        <v>40663</v>
      </c>
      <c r="E258">
        <f t="shared" si="7"/>
        <v>10834</v>
      </c>
    </row>
    <row r="259" spans="1:5" x14ac:dyDescent="0.25">
      <c r="A259" s="9" t="str">
        <f t="shared" si="6"/>
        <v>121994</v>
      </c>
      <c r="B259" s="14">
        <v>34670</v>
      </c>
      <c r="C259">
        <v>-394</v>
      </c>
      <c r="D259" s="9">
        <v>40694</v>
      </c>
      <c r="E259">
        <f t="shared" si="7"/>
        <v>7260</v>
      </c>
    </row>
    <row r="260" spans="1:5" x14ac:dyDescent="0.25">
      <c r="A260" s="9" t="str">
        <f t="shared" ref="A260:A323" si="8">MONTH(B260)&amp;YEAR(B260)</f>
        <v>121994</v>
      </c>
      <c r="B260" s="14">
        <v>34677</v>
      </c>
      <c r="C260">
        <v>-1488</v>
      </c>
      <c r="D260" s="9">
        <v>40724</v>
      </c>
      <c r="E260">
        <f t="shared" ref="E260:E323" si="9">SUMIF(A:A,MONTH(D260)&amp;YEAR(D260),C:C)</f>
        <v>-14337</v>
      </c>
    </row>
    <row r="261" spans="1:5" x14ac:dyDescent="0.25">
      <c r="A261" s="9" t="str">
        <f t="shared" si="8"/>
        <v>121994</v>
      </c>
      <c r="B261" s="14">
        <v>34684</v>
      </c>
      <c r="C261">
        <v>-655</v>
      </c>
      <c r="D261" s="9">
        <v>40755</v>
      </c>
      <c r="E261">
        <f t="shared" si="9"/>
        <v>-4494</v>
      </c>
    </row>
    <row r="262" spans="1:5" x14ac:dyDescent="0.25">
      <c r="A262" s="9" t="str">
        <f t="shared" si="8"/>
        <v>121994</v>
      </c>
      <c r="B262" s="14">
        <v>34691</v>
      </c>
      <c r="C262">
        <v>686</v>
      </c>
      <c r="D262" s="9">
        <v>40786</v>
      </c>
      <c r="E262">
        <f t="shared" si="9"/>
        <v>2076</v>
      </c>
    </row>
    <row r="263" spans="1:5" x14ac:dyDescent="0.25">
      <c r="A263" s="9" t="str">
        <f t="shared" si="8"/>
        <v>121994</v>
      </c>
      <c r="B263" s="14">
        <v>34698</v>
      </c>
      <c r="C263">
        <v>-7390</v>
      </c>
      <c r="D263" s="9">
        <v>40816</v>
      </c>
      <c r="E263">
        <f t="shared" si="9"/>
        <v>-20767</v>
      </c>
    </row>
    <row r="264" spans="1:5" x14ac:dyDescent="0.25">
      <c r="A264" s="9" t="str">
        <f t="shared" si="8"/>
        <v>11995</v>
      </c>
      <c r="B264" s="14">
        <v>34705</v>
      </c>
      <c r="C264">
        <v>1934</v>
      </c>
      <c r="D264" s="9">
        <v>40847</v>
      </c>
      <c r="E264">
        <f t="shared" si="9"/>
        <v>3176</v>
      </c>
    </row>
    <row r="265" spans="1:5" x14ac:dyDescent="0.25">
      <c r="A265" s="9" t="str">
        <f t="shared" si="8"/>
        <v>11995</v>
      </c>
      <c r="B265" s="14">
        <v>34712</v>
      </c>
      <c r="C265">
        <v>-1282</v>
      </c>
      <c r="D265" s="9">
        <v>40877</v>
      </c>
      <c r="E265">
        <f t="shared" si="9"/>
        <v>-4713</v>
      </c>
    </row>
    <row r="266" spans="1:5" x14ac:dyDescent="0.25">
      <c r="A266" s="9" t="str">
        <f t="shared" si="8"/>
        <v>11995</v>
      </c>
      <c r="B266" s="14">
        <v>34719</v>
      </c>
      <c r="C266">
        <v>-6414</v>
      </c>
      <c r="D266" s="9">
        <v>40908</v>
      </c>
      <c r="E266">
        <f t="shared" si="9"/>
        <v>-5058</v>
      </c>
    </row>
    <row r="267" spans="1:5" x14ac:dyDescent="0.25">
      <c r="A267" s="9" t="str">
        <f t="shared" si="8"/>
        <v>11995</v>
      </c>
      <c r="B267" s="14">
        <v>34726</v>
      </c>
      <c r="C267">
        <v>-281</v>
      </c>
      <c r="D267" s="9">
        <v>40939</v>
      </c>
      <c r="E267">
        <f t="shared" si="9"/>
        <v>9253</v>
      </c>
    </row>
    <row r="268" spans="1:5" x14ac:dyDescent="0.25">
      <c r="A268" s="9" t="str">
        <f t="shared" si="8"/>
        <v>21995</v>
      </c>
      <c r="B268" s="14">
        <v>34733</v>
      </c>
      <c r="C268">
        <v>3153</v>
      </c>
      <c r="D268" s="9">
        <v>40968</v>
      </c>
      <c r="E268">
        <f t="shared" si="9"/>
        <v>5926</v>
      </c>
    </row>
    <row r="269" spans="1:5" x14ac:dyDescent="0.25">
      <c r="A269" s="9" t="str">
        <f t="shared" si="8"/>
        <v>21995</v>
      </c>
      <c r="B269" s="14">
        <v>34740</v>
      </c>
      <c r="C269">
        <v>-6334</v>
      </c>
      <c r="D269" s="9">
        <v>40999</v>
      </c>
      <c r="E269">
        <f t="shared" si="9"/>
        <v>17531</v>
      </c>
    </row>
    <row r="270" spans="1:5" x14ac:dyDescent="0.25">
      <c r="A270" s="9" t="str">
        <f t="shared" si="8"/>
        <v>21995</v>
      </c>
      <c r="B270" s="14">
        <v>34747</v>
      </c>
      <c r="C270">
        <v>7363</v>
      </c>
      <c r="D270" s="9">
        <v>41029</v>
      </c>
      <c r="E270">
        <f t="shared" si="9"/>
        <v>13465</v>
      </c>
    </row>
    <row r="271" spans="1:5" x14ac:dyDescent="0.25">
      <c r="A271" s="9" t="str">
        <f t="shared" si="8"/>
        <v>21995</v>
      </c>
      <c r="B271" s="14">
        <v>34754</v>
      </c>
      <c r="C271">
        <v>-5571</v>
      </c>
      <c r="D271" s="9">
        <v>41060</v>
      </c>
      <c r="E271">
        <f t="shared" si="9"/>
        <v>8876</v>
      </c>
    </row>
    <row r="272" spans="1:5" x14ac:dyDescent="0.25">
      <c r="A272" s="9" t="str">
        <f t="shared" si="8"/>
        <v>31995</v>
      </c>
      <c r="B272" s="14">
        <v>34761</v>
      </c>
      <c r="C272">
        <v>2518</v>
      </c>
      <c r="D272" s="9">
        <v>41090</v>
      </c>
      <c r="E272">
        <f t="shared" si="9"/>
        <v>-1844</v>
      </c>
    </row>
    <row r="273" spans="1:5" x14ac:dyDescent="0.25">
      <c r="A273" s="9" t="str">
        <f t="shared" si="8"/>
        <v>31995</v>
      </c>
      <c r="B273" s="14">
        <v>34768</v>
      </c>
      <c r="C273">
        <v>485</v>
      </c>
      <c r="D273" s="9">
        <v>41121</v>
      </c>
      <c r="E273">
        <f t="shared" si="9"/>
        <v>-9310</v>
      </c>
    </row>
    <row r="274" spans="1:5" x14ac:dyDescent="0.25">
      <c r="A274" s="9" t="str">
        <f t="shared" si="8"/>
        <v>31995</v>
      </c>
      <c r="B274" s="14">
        <v>34775</v>
      </c>
      <c r="C274">
        <v>539</v>
      </c>
      <c r="D274" s="9">
        <v>41152</v>
      </c>
      <c r="E274">
        <f t="shared" si="9"/>
        <v>-16488</v>
      </c>
    </row>
    <row r="275" spans="1:5" x14ac:dyDescent="0.25">
      <c r="A275" s="9" t="str">
        <f t="shared" si="8"/>
        <v>31995</v>
      </c>
      <c r="B275" s="14">
        <v>34782</v>
      </c>
      <c r="C275">
        <v>4050</v>
      </c>
      <c r="D275" s="9">
        <v>41182</v>
      </c>
      <c r="E275">
        <f t="shared" si="9"/>
        <v>7600</v>
      </c>
    </row>
    <row r="276" spans="1:5" x14ac:dyDescent="0.25">
      <c r="A276" s="9" t="str">
        <f t="shared" si="8"/>
        <v>31995</v>
      </c>
      <c r="B276" s="14">
        <v>34789</v>
      </c>
      <c r="C276">
        <v>7761</v>
      </c>
      <c r="D276" s="9">
        <v>41213</v>
      </c>
      <c r="E276">
        <f t="shared" si="9"/>
        <v>8383</v>
      </c>
    </row>
    <row r="277" spans="1:5" x14ac:dyDescent="0.25">
      <c r="A277" s="9" t="str">
        <f t="shared" si="8"/>
        <v>41995</v>
      </c>
      <c r="B277" s="14">
        <v>34796</v>
      </c>
      <c r="C277">
        <v>-2815</v>
      </c>
      <c r="D277" s="9">
        <v>41243</v>
      </c>
      <c r="E277">
        <f t="shared" si="9"/>
        <v>-1315</v>
      </c>
    </row>
    <row r="278" spans="1:5" x14ac:dyDescent="0.25">
      <c r="A278" s="9" t="str">
        <f t="shared" si="8"/>
        <v>41995</v>
      </c>
      <c r="B278" s="14">
        <v>34803</v>
      </c>
      <c r="C278">
        <v>1184</v>
      </c>
      <c r="D278" s="9">
        <v>41274</v>
      </c>
      <c r="E278">
        <f t="shared" si="9"/>
        <v>-11827</v>
      </c>
    </row>
    <row r="279" spans="1:5" x14ac:dyDescent="0.25">
      <c r="A279" s="9" t="str">
        <f t="shared" si="8"/>
        <v>41995</v>
      </c>
      <c r="B279" s="14">
        <v>34810</v>
      </c>
      <c r="C279">
        <v>3022</v>
      </c>
      <c r="D279" s="9">
        <v>41305</v>
      </c>
      <c r="E279">
        <f t="shared" si="9"/>
        <v>9123</v>
      </c>
    </row>
    <row r="280" spans="1:5" x14ac:dyDescent="0.25">
      <c r="A280" s="9" t="str">
        <f t="shared" si="8"/>
        <v>41995</v>
      </c>
      <c r="B280" s="14">
        <v>34817</v>
      </c>
      <c r="C280">
        <v>-4107</v>
      </c>
      <c r="D280" s="9">
        <v>41333</v>
      </c>
      <c r="E280">
        <f t="shared" si="9"/>
        <v>8456</v>
      </c>
    </row>
    <row r="281" spans="1:5" x14ac:dyDescent="0.25">
      <c r="A281" s="9" t="str">
        <f t="shared" si="8"/>
        <v>51995</v>
      </c>
      <c r="B281" s="14">
        <v>34824</v>
      </c>
      <c r="C281">
        <v>-1960</v>
      </c>
      <c r="D281" s="9">
        <v>41364</v>
      </c>
      <c r="E281">
        <f t="shared" si="9"/>
        <v>11106</v>
      </c>
    </row>
    <row r="282" spans="1:5" x14ac:dyDescent="0.25">
      <c r="A282" s="9" t="str">
        <f t="shared" si="8"/>
        <v>51995</v>
      </c>
      <c r="B282" s="14">
        <v>34831</v>
      </c>
      <c r="C282">
        <v>823</v>
      </c>
      <c r="D282" s="9">
        <v>41394</v>
      </c>
      <c r="E282">
        <f t="shared" si="9"/>
        <v>6660</v>
      </c>
    </row>
    <row r="283" spans="1:5" x14ac:dyDescent="0.25">
      <c r="A283" s="9" t="str">
        <f t="shared" si="8"/>
        <v>51995</v>
      </c>
      <c r="B283" s="14">
        <v>34838</v>
      </c>
      <c r="C283">
        <v>-4149</v>
      </c>
      <c r="D283" s="9">
        <v>41425</v>
      </c>
      <c r="E283">
        <f t="shared" si="9"/>
        <v>-3999</v>
      </c>
    </row>
    <row r="284" spans="1:5" x14ac:dyDescent="0.25">
      <c r="A284" s="9" t="str">
        <f t="shared" si="8"/>
        <v>51995</v>
      </c>
      <c r="B284" s="14">
        <v>34845</v>
      </c>
      <c r="C284">
        <v>-3019</v>
      </c>
      <c r="D284" s="9">
        <v>41455</v>
      </c>
      <c r="E284">
        <f t="shared" si="9"/>
        <v>-7493</v>
      </c>
    </row>
    <row r="285" spans="1:5" x14ac:dyDescent="0.25">
      <c r="A285" s="9" t="str">
        <f t="shared" si="8"/>
        <v>61995</v>
      </c>
      <c r="B285" s="14">
        <v>34852</v>
      </c>
      <c r="C285">
        <v>-1921</v>
      </c>
      <c r="D285" s="9">
        <v>41486</v>
      </c>
      <c r="E285">
        <f t="shared" si="9"/>
        <v>-19170</v>
      </c>
    </row>
    <row r="286" spans="1:5" x14ac:dyDescent="0.25">
      <c r="A286" s="9" t="str">
        <f t="shared" si="8"/>
        <v>61995</v>
      </c>
      <c r="B286" s="14">
        <v>34859</v>
      </c>
      <c r="C286">
        <v>-553</v>
      </c>
      <c r="D286" s="9">
        <v>41517</v>
      </c>
      <c r="E286">
        <f t="shared" si="9"/>
        <v>-4410</v>
      </c>
    </row>
    <row r="287" spans="1:5" x14ac:dyDescent="0.25">
      <c r="A287" s="9" t="str">
        <f t="shared" si="8"/>
        <v>61995</v>
      </c>
      <c r="B287" s="14">
        <v>34866</v>
      </c>
      <c r="C287">
        <v>-489</v>
      </c>
      <c r="D287" s="9">
        <v>41547</v>
      </c>
      <c r="E287">
        <f t="shared" si="9"/>
        <v>3520</v>
      </c>
    </row>
    <row r="288" spans="1:5" x14ac:dyDescent="0.25">
      <c r="A288" s="9" t="str">
        <f t="shared" si="8"/>
        <v>61995</v>
      </c>
      <c r="B288" s="14">
        <v>34873</v>
      </c>
      <c r="C288">
        <v>-7467</v>
      </c>
      <c r="D288" s="9">
        <v>41578</v>
      </c>
      <c r="E288">
        <f t="shared" si="9"/>
        <v>20139</v>
      </c>
    </row>
    <row r="289" spans="1:5" x14ac:dyDescent="0.25">
      <c r="A289" s="9" t="str">
        <f t="shared" si="8"/>
        <v>61995</v>
      </c>
      <c r="B289" s="14">
        <v>34880</v>
      </c>
      <c r="C289">
        <v>3726</v>
      </c>
      <c r="D289" s="9">
        <v>41608</v>
      </c>
      <c r="E289">
        <f t="shared" si="9"/>
        <v>1960</v>
      </c>
    </row>
    <row r="290" spans="1:5" x14ac:dyDescent="0.25">
      <c r="A290" s="9" t="str">
        <f t="shared" si="8"/>
        <v>71995</v>
      </c>
      <c r="B290" s="14">
        <v>34887</v>
      </c>
      <c r="C290">
        <v>-1631</v>
      </c>
      <c r="D290" s="9">
        <v>41639</v>
      </c>
      <c r="E290">
        <f t="shared" si="9"/>
        <v>-25264</v>
      </c>
    </row>
    <row r="291" spans="1:5" x14ac:dyDescent="0.25">
      <c r="A291" s="9" t="str">
        <f t="shared" si="8"/>
        <v>71995</v>
      </c>
      <c r="B291" s="14">
        <v>34894</v>
      </c>
      <c r="C291">
        <v>-17</v>
      </c>
      <c r="D291" s="9">
        <v>41670</v>
      </c>
      <c r="E291">
        <f t="shared" si="9"/>
        <v>-2482</v>
      </c>
    </row>
    <row r="292" spans="1:5" x14ac:dyDescent="0.25">
      <c r="A292" s="9" t="str">
        <f t="shared" si="8"/>
        <v>71995</v>
      </c>
      <c r="B292" s="14">
        <v>34901</v>
      </c>
      <c r="C292">
        <v>-6883</v>
      </c>
      <c r="D292" s="9">
        <v>41698</v>
      </c>
      <c r="E292">
        <f t="shared" si="9"/>
        <v>5737</v>
      </c>
    </row>
    <row r="293" spans="1:5" x14ac:dyDescent="0.25">
      <c r="A293" s="9" t="str">
        <f t="shared" si="8"/>
        <v>71995</v>
      </c>
      <c r="B293" s="14">
        <v>34908</v>
      </c>
      <c r="C293">
        <v>2949</v>
      </c>
      <c r="D293" s="9">
        <v>41729</v>
      </c>
      <c r="E293">
        <f t="shared" si="9"/>
        <v>16270</v>
      </c>
    </row>
    <row r="294" spans="1:5" x14ac:dyDescent="0.25">
      <c r="A294" s="9" t="str">
        <f t="shared" si="8"/>
        <v>81995</v>
      </c>
      <c r="B294" s="14">
        <v>34915</v>
      </c>
      <c r="C294">
        <v>-6880</v>
      </c>
      <c r="D294" s="9">
        <v>41759</v>
      </c>
      <c r="E294">
        <f t="shared" si="9"/>
        <v>19265</v>
      </c>
    </row>
    <row r="295" spans="1:5" x14ac:dyDescent="0.25">
      <c r="A295" s="9" t="str">
        <f t="shared" si="8"/>
        <v>81995</v>
      </c>
      <c r="B295" s="14">
        <v>34922</v>
      </c>
      <c r="C295">
        <v>2505</v>
      </c>
      <c r="D295" s="9">
        <v>41790</v>
      </c>
      <c r="E295">
        <f t="shared" si="9"/>
        <v>-9834</v>
      </c>
    </row>
    <row r="296" spans="1:5" x14ac:dyDescent="0.25">
      <c r="A296" s="9" t="str">
        <f t="shared" si="8"/>
        <v>81995</v>
      </c>
      <c r="B296" s="14">
        <v>34929</v>
      </c>
      <c r="C296">
        <v>-7390</v>
      </c>
      <c r="D296" s="9">
        <v>41820</v>
      </c>
      <c r="E296">
        <f t="shared" si="9"/>
        <v>-4588</v>
      </c>
    </row>
    <row r="297" spans="1:5" x14ac:dyDescent="0.25">
      <c r="A297" s="9" t="str">
        <f t="shared" si="8"/>
        <v>81995</v>
      </c>
      <c r="B297" s="14">
        <v>34936</v>
      </c>
      <c r="C297">
        <v>2953</v>
      </c>
      <c r="D297" s="9">
        <v>41851</v>
      </c>
      <c r="E297">
        <f t="shared" si="9"/>
        <v>-17561</v>
      </c>
    </row>
    <row r="298" spans="1:5" x14ac:dyDescent="0.25">
      <c r="A298" s="9" t="str">
        <f t="shared" si="8"/>
        <v>91995</v>
      </c>
      <c r="B298" s="14">
        <v>34943</v>
      </c>
      <c r="C298">
        <v>7692</v>
      </c>
      <c r="D298" s="9">
        <v>41882</v>
      </c>
      <c r="E298">
        <f t="shared" si="9"/>
        <v>-7804</v>
      </c>
    </row>
    <row r="299" spans="1:5" x14ac:dyDescent="0.25">
      <c r="A299" s="9" t="str">
        <f t="shared" si="8"/>
        <v>91995</v>
      </c>
      <c r="B299" s="14">
        <v>34950</v>
      </c>
      <c r="C299">
        <v>-4602</v>
      </c>
      <c r="D299" s="9">
        <v>41912</v>
      </c>
      <c r="E299">
        <f t="shared" si="9"/>
        <v>-2935</v>
      </c>
    </row>
    <row r="300" spans="1:5" x14ac:dyDescent="0.25">
      <c r="A300" s="9" t="str">
        <f t="shared" si="8"/>
        <v>91995</v>
      </c>
      <c r="B300" s="14">
        <v>34957</v>
      </c>
      <c r="C300">
        <v>-907</v>
      </c>
      <c r="D300" s="9">
        <v>41943</v>
      </c>
      <c r="E300">
        <f t="shared" si="9"/>
        <v>23570</v>
      </c>
    </row>
    <row r="301" spans="1:5" x14ac:dyDescent="0.25">
      <c r="A301" s="9" t="str">
        <f t="shared" si="8"/>
        <v>91995</v>
      </c>
      <c r="B301" s="14">
        <v>34964</v>
      </c>
      <c r="C301">
        <v>-550</v>
      </c>
      <c r="D301" s="9">
        <v>41973</v>
      </c>
      <c r="E301">
        <f t="shared" si="9"/>
        <v>-870</v>
      </c>
    </row>
    <row r="302" spans="1:5" x14ac:dyDescent="0.25">
      <c r="A302" s="9" t="str">
        <f t="shared" si="8"/>
        <v>91995</v>
      </c>
      <c r="B302" s="14">
        <v>34971</v>
      </c>
      <c r="C302">
        <v>-5055</v>
      </c>
      <c r="D302" s="9">
        <v>42004</v>
      </c>
      <c r="E302">
        <f t="shared" si="9"/>
        <v>6120</v>
      </c>
    </row>
    <row r="303" spans="1:5" x14ac:dyDescent="0.25">
      <c r="A303" s="9" t="str">
        <f t="shared" si="8"/>
        <v>101995</v>
      </c>
      <c r="B303" s="14">
        <v>34978</v>
      </c>
      <c r="C303">
        <v>-3978</v>
      </c>
      <c r="D303" s="9">
        <v>42035</v>
      </c>
      <c r="E303">
        <f t="shared" si="9"/>
        <v>27605</v>
      </c>
    </row>
    <row r="304" spans="1:5" x14ac:dyDescent="0.25">
      <c r="A304" s="9" t="str">
        <f t="shared" si="8"/>
        <v>101995</v>
      </c>
      <c r="B304" s="14">
        <v>34985</v>
      </c>
      <c r="C304">
        <v>-25</v>
      </c>
      <c r="D304" s="9">
        <v>42063</v>
      </c>
      <c r="E304">
        <f t="shared" si="9"/>
        <v>31314</v>
      </c>
    </row>
    <row r="305" spans="1:5" x14ac:dyDescent="0.25">
      <c r="A305" s="9" t="str">
        <f t="shared" si="8"/>
        <v>101995</v>
      </c>
      <c r="B305" s="14">
        <v>34992</v>
      </c>
      <c r="C305">
        <v>2176</v>
      </c>
      <c r="D305" s="9">
        <v>42094</v>
      </c>
      <c r="E305">
        <f t="shared" si="9"/>
        <v>27070</v>
      </c>
    </row>
    <row r="306" spans="1:5" x14ac:dyDescent="0.25">
      <c r="A306" s="9" t="str">
        <f t="shared" si="8"/>
        <v>101995</v>
      </c>
      <c r="B306" s="14">
        <v>34999</v>
      </c>
      <c r="C306">
        <v>1524</v>
      </c>
      <c r="D306" s="9">
        <v>42124</v>
      </c>
      <c r="E306">
        <f t="shared" si="9"/>
        <v>19468</v>
      </c>
    </row>
    <row r="307" spans="1:5" x14ac:dyDescent="0.25">
      <c r="A307" s="9" t="str">
        <f t="shared" si="8"/>
        <v>111995</v>
      </c>
      <c r="B307" s="14">
        <v>35006</v>
      </c>
      <c r="C307">
        <v>3192</v>
      </c>
      <c r="D307" s="9">
        <v>42155</v>
      </c>
      <c r="E307">
        <f t="shared" si="9"/>
        <v>-13497</v>
      </c>
    </row>
    <row r="308" spans="1:5" x14ac:dyDescent="0.25">
      <c r="A308" s="9" t="str">
        <f t="shared" si="8"/>
        <v>111995</v>
      </c>
      <c r="B308" s="14">
        <v>35013</v>
      </c>
      <c r="C308">
        <v>-1626</v>
      </c>
      <c r="D308" s="9">
        <v>42185</v>
      </c>
      <c r="E308">
        <f t="shared" si="9"/>
        <v>-12036</v>
      </c>
    </row>
    <row r="309" spans="1:5" x14ac:dyDescent="0.25">
      <c r="A309" s="9" t="str">
        <f t="shared" si="8"/>
        <v>111995</v>
      </c>
      <c r="B309" s="14">
        <v>35020</v>
      </c>
      <c r="C309">
        <v>9609</v>
      </c>
      <c r="D309" s="9">
        <v>42216</v>
      </c>
      <c r="E309">
        <f t="shared" si="9"/>
        <v>-10104</v>
      </c>
    </row>
    <row r="310" spans="1:5" x14ac:dyDescent="0.25">
      <c r="A310" s="9" t="str">
        <f t="shared" si="8"/>
        <v>111995</v>
      </c>
      <c r="B310" s="14">
        <v>35027</v>
      </c>
      <c r="C310">
        <v>6079</v>
      </c>
      <c r="D310" s="9">
        <v>42247</v>
      </c>
      <c r="E310">
        <f t="shared" si="9"/>
        <v>153</v>
      </c>
    </row>
    <row r="311" spans="1:5" x14ac:dyDescent="0.25">
      <c r="A311" s="9" t="str">
        <f t="shared" si="8"/>
        <v>121995</v>
      </c>
      <c r="B311" s="14">
        <v>35034</v>
      </c>
      <c r="C311">
        <v>-3078</v>
      </c>
      <c r="D311" s="9">
        <v>42277</v>
      </c>
      <c r="E311">
        <f t="shared" si="9"/>
        <v>2496</v>
      </c>
    </row>
    <row r="312" spans="1:5" x14ac:dyDescent="0.25">
      <c r="A312" s="9" t="str">
        <f t="shared" si="8"/>
        <v>121995</v>
      </c>
      <c r="B312" s="14">
        <v>35041</v>
      </c>
      <c r="C312">
        <v>-4260</v>
      </c>
      <c r="D312" s="9">
        <v>42308</v>
      </c>
      <c r="E312">
        <f t="shared" si="9"/>
        <v>24886</v>
      </c>
    </row>
    <row r="313" spans="1:5" x14ac:dyDescent="0.25">
      <c r="A313" s="9" t="str">
        <f t="shared" si="8"/>
        <v>121995</v>
      </c>
      <c r="B313" s="14">
        <v>35048</v>
      </c>
      <c r="C313">
        <v>5862</v>
      </c>
      <c r="D313" s="9">
        <v>42338</v>
      </c>
      <c r="E313">
        <f t="shared" si="9"/>
        <v>6614</v>
      </c>
    </row>
    <row r="314" spans="1:5" x14ac:dyDescent="0.25">
      <c r="A314" s="9" t="str">
        <f t="shared" si="8"/>
        <v>121995</v>
      </c>
      <c r="B314" s="14">
        <v>35055</v>
      </c>
      <c r="C314">
        <v>-5857</v>
      </c>
      <c r="D314" s="9">
        <v>42369</v>
      </c>
      <c r="E314">
        <f t="shared" si="9"/>
        <v>-2015</v>
      </c>
    </row>
    <row r="315" spans="1:5" x14ac:dyDescent="0.25">
      <c r="A315" s="9" t="str">
        <f t="shared" si="8"/>
        <v>121995</v>
      </c>
      <c r="B315" s="14">
        <v>35062</v>
      </c>
      <c r="C315">
        <v>-10226</v>
      </c>
      <c r="D315" s="9">
        <v>42400</v>
      </c>
      <c r="E315">
        <f t="shared" si="9"/>
        <v>15303</v>
      </c>
    </row>
    <row r="316" spans="1:5" x14ac:dyDescent="0.25">
      <c r="A316" s="9" t="str">
        <f t="shared" si="8"/>
        <v>11996</v>
      </c>
      <c r="B316" s="14">
        <v>35069</v>
      </c>
      <c r="C316">
        <v>653</v>
      </c>
      <c r="D316" s="9">
        <v>42429</v>
      </c>
      <c r="E316">
        <f t="shared" si="9"/>
        <v>15269</v>
      </c>
    </row>
    <row r="317" spans="1:5" x14ac:dyDescent="0.25">
      <c r="A317" s="9" t="str">
        <f t="shared" si="8"/>
        <v>11996</v>
      </c>
      <c r="B317" s="14">
        <v>35076</v>
      </c>
      <c r="C317">
        <v>2928</v>
      </c>
      <c r="D317" s="9">
        <v>42460</v>
      </c>
      <c r="E317">
        <f t="shared" si="9"/>
        <v>16853</v>
      </c>
    </row>
    <row r="318" spans="1:5" x14ac:dyDescent="0.25">
      <c r="A318" s="9" t="str">
        <f t="shared" si="8"/>
        <v>11996</v>
      </c>
      <c r="B318" s="14">
        <v>35083</v>
      </c>
      <c r="C318">
        <v>4278</v>
      </c>
      <c r="D318" s="9">
        <v>42490</v>
      </c>
      <c r="E318">
        <f t="shared" si="9"/>
        <v>8560</v>
      </c>
    </row>
    <row r="319" spans="1:5" x14ac:dyDescent="0.25">
      <c r="A319" s="9" t="str">
        <f t="shared" si="8"/>
        <v>11996</v>
      </c>
      <c r="B319" s="14">
        <v>35090</v>
      </c>
      <c r="C319">
        <v>-1745</v>
      </c>
      <c r="D319" s="9">
        <v>42521</v>
      </c>
      <c r="E319">
        <f t="shared" si="9"/>
        <v>-7692</v>
      </c>
    </row>
    <row r="320" spans="1:5" x14ac:dyDescent="0.25">
      <c r="A320" s="9" t="str">
        <f t="shared" si="8"/>
        <v>21996</v>
      </c>
      <c r="B320" s="14">
        <v>35097</v>
      </c>
      <c r="C320">
        <v>-2211</v>
      </c>
      <c r="D320" s="9">
        <v>42551</v>
      </c>
      <c r="E320">
        <f t="shared" si="9"/>
        <v>-9129</v>
      </c>
    </row>
    <row r="321" spans="1:5" x14ac:dyDescent="0.25">
      <c r="A321" s="9" t="str">
        <f t="shared" si="8"/>
        <v>21996</v>
      </c>
      <c r="B321" s="14">
        <v>35104</v>
      </c>
      <c r="C321">
        <v>-2234</v>
      </c>
      <c r="D321" s="9">
        <v>42582</v>
      </c>
      <c r="E321">
        <f t="shared" si="9"/>
        <v>-4027</v>
      </c>
    </row>
    <row r="322" spans="1:5" x14ac:dyDescent="0.25">
      <c r="A322" s="9" t="str">
        <f t="shared" si="8"/>
        <v>21996</v>
      </c>
      <c r="B322" s="14">
        <v>35111</v>
      </c>
      <c r="C322">
        <v>-3060</v>
      </c>
      <c r="D322" s="9">
        <v>42613</v>
      </c>
      <c r="E322">
        <f t="shared" si="9"/>
        <v>3324</v>
      </c>
    </row>
    <row r="323" spans="1:5" x14ac:dyDescent="0.25">
      <c r="A323" s="9" t="str">
        <f t="shared" si="8"/>
        <v>21996</v>
      </c>
      <c r="B323" s="14">
        <v>35118</v>
      </c>
      <c r="C323">
        <v>343</v>
      </c>
      <c r="D323" s="9">
        <v>42643</v>
      </c>
      <c r="E323">
        <f t="shared" si="9"/>
        <v>-26130</v>
      </c>
    </row>
    <row r="324" spans="1:5" x14ac:dyDescent="0.25">
      <c r="A324" s="9" t="str">
        <f t="shared" ref="A324:A387" si="10">MONTH(B324)&amp;YEAR(B324)</f>
        <v>31996</v>
      </c>
      <c r="B324" s="14">
        <v>35125</v>
      </c>
      <c r="C324">
        <v>-3076</v>
      </c>
      <c r="D324" s="9">
        <v>42674</v>
      </c>
      <c r="E324">
        <f t="shared" ref="E324:E387" si="11">SUMIF(A:A,MONTH(D324)&amp;YEAR(D324),C:C)</f>
        <v>13470</v>
      </c>
    </row>
    <row r="325" spans="1:5" x14ac:dyDescent="0.25">
      <c r="A325" s="9" t="str">
        <f t="shared" si="10"/>
        <v>31996</v>
      </c>
      <c r="B325" s="14">
        <v>35132</v>
      </c>
      <c r="C325">
        <v>8225</v>
      </c>
      <c r="D325" s="9">
        <v>42704</v>
      </c>
      <c r="E325">
        <f t="shared" si="11"/>
        <v>5567</v>
      </c>
    </row>
    <row r="326" spans="1:5" x14ac:dyDescent="0.25">
      <c r="A326" s="9" t="str">
        <f t="shared" si="10"/>
        <v>31996</v>
      </c>
      <c r="B326" s="14">
        <v>35139</v>
      </c>
      <c r="C326">
        <v>-5269</v>
      </c>
      <c r="D326" s="9">
        <v>42735</v>
      </c>
      <c r="E326">
        <f t="shared" si="11"/>
        <v>-9133</v>
      </c>
    </row>
    <row r="327" spans="1:5" x14ac:dyDescent="0.25">
      <c r="A327" s="9" t="str">
        <f t="shared" si="10"/>
        <v>31996</v>
      </c>
      <c r="B327" s="14">
        <v>35146</v>
      </c>
      <c r="C327">
        <v>-1217</v>
      </c>
      <c r="D327" s="9">
        <v>42766</v>
      </c>
      <c r="E327">
        <f t="shared" si="11"/>
        <v>15750</v>
      </c>
    </row>
    <row r="328" spans="1:5" x14ac:dyDescent="0.25">
      <c r="A328" s="9" t="str">
        <f t="shared" si="10"/>
        <v>31996</v>
      </c>
      <c r="B328" s="14">
        <v>35153</v>
      </c>
      <c r="C328">
        <v>-2063</v>
      </c>
      <c r="D328" s="9">
        <v>42794</v>
      </c>
      <c r="E328">
        <f t="shared" si="11"/>
        <v>25422</v>
      </c>
    </row>
    <row r="329" spans="1:5" x14ac:dyDescent="0.25">
      <c r="A329" s="9" t="str">
        <f t="shared" si="10"/>
        <v>41996</v>
      </c>
      <c r="B329" s="14">
        <v>35160</v>
      </c>
      <c r="C329">
        <v>2221</v>
      </c>
      <c r="D329" s="9">
        <v>42825</v>
      </c>
      <c r="E329">
        <f t="shared" si="11"/>
        <v>15359</v>
      </c>
    </row>
    <row r="330" spans="1:5" x14ac:dyDescent="0.25">
      <c r="A330" s="9" t="str">
        <f t="shared" si="10"/>
        <v>41996</v>
      </c>
      <c r="B330" s="14">
        <v>35167</v>
      </c>
      <c r="C330">
        <v>1399</v>
      </c>
      <c r="D330" s="9">
        <v>42855</v>
      </c>
      <c r="E330">
        <f t="shared" si="11"/>
        <v>-7771</v>
      </c>
    </row>
    <row r="331" spans="1:5" x14ac:dyDescent="0.25">
      <c r="A331" s="9" t="str">
        <f t="shared" si="10"/>
        <v>41996</v>
      </c>
      <c r="B331" s="14">
        <v>35174</v>
      </c>
      <c r="C331">
        <v>-4029</v>
      </c>
      <c r="D331" s="9">
        <v>42886</v>
      </c>
      <c r="E331">
        <f t="shared" si="11"/>
        <v>-17860</v>
      </c>
    </row>
    <row r="332" spans="1:5" x14ac:dyDescent="0.25">
      <c r="A332" s="9" t="str">
        <f t="shared" si="10"/>
        <v>41996</v>
      </c>
      <c r="B332" s="14">
        <v>35181</v>
      </c>
      <c r="C332">
        <v>-370</v>
      </c>
      <c r="D332" s="9">
        <v>42916</v>
      </c>
      <c r="E332">
        <f t="shared" si="11"/>
        <v>-6998</v>
      </c>
    </row>
    <row r="333" spans="1:5" x14ac:dyDescent="0.25">
      <c r="A333" s="9" t="str">
        <f t="shared" si="10"/>
        <v>51996</v>
      </c>
      <c r="B333" s="14">
        <v>35188</v>
      </c>
      <c r="C333">
        <v>7193</v>
      </c>
      <c r="D333" s="9">
        <v>42947</v>
      </c>
      <c r="E333">
        <f t="shared" si="11"/>
        <v>-21026</v>
      </c>
    </row>
    <row r="334" spans="1:5" x14ac:dyDescent="0.25">
      <c r="A334" s="9" t="str">
        <f t="shared" si="10"/>
        <v>51996</v>
      </c>
      <c r="B334" s="14">
        <v>35195</v>
      </c>
      <c r="C334">
        <v>-1702</v>
      </c>
      <c r="D334" s="9">
        <v>42978</v>
      </c>
      <c r="E334">
        <f t="shared" si="11"/>
        <v>-24115</v>
      </c>
    </row>
    <row r="335" spans="1:5" x14ac:dyDescent="0.25">
      <c r="A335" s="9" t="str">
        <f t="shared" si="10"/>
        <v>51996</v>
      </c>
      <c r="B335" s="14">
        <v>35202</v>
      </c>
      <c r="C335">
        <v>-4452</v>
      </c>
      <c r="D335" s="9">
        <v>43008</v>
      </c>
      <c r="E335">
        <f t="shared" si="11"/>
        <v>7190</v>
      </c>
    </row>
    <row r="336" spans="1:5" x14ac:dyDescent="0.25">
      <c r="A336" s="9" t="str">
        <f t="shared" si="10"/>
        <v>51996</v>
      </c>
      <c r="B336" s="14">
        <v>35209</v>
      </c>
      <c r="C336">
        <v>1128</v>
      </c>
      <c r="D336" s="9">
        <v>43039</v>
      </c>
      <c r="E336">
        <f t="shared" si="11"/>
        <v>-10057</v>
      </c>
    </row>
    <row r="337" spans="1:5" x14ac:dyDescent="0.25">
      <c r="A337" s="9" t="str">
        <f t="shared" si="10"/>
        <v>51996</v>
      </c>
      <c r="B337" s="14">
        <v>35216</v>
      </c>
      <c r="C337">
        <v>11937</v>
      </c>
      <c r="D337" s="9">
        <v>43069</v>
      </c>
      <c r="E337">
        <f t="shared" si="11"/>
        <v>-1193</v>
      </c>
    </row>
    <row r="338" spans="1:5" x14ac:dyDescent="0.25">
      <c r="A338" s="9" t="str">
        <f t="shared" si="10"/>
        <v>61996</v>
      </c>
      <c r="B338" s="14">
        <v>35223</v>
      </c>
      <c r="C338">
        <v>-2031</v>
      </c>
      <c r="D338" s="9">
        <v>43100</v>
      </c>
      <c r="E338">
        <f t="shared" si="11"/>
        <v>-29250</v>
      </c>
    </row>
    <row r="339" spans="1:5" x14ac:dyDescent="0.25">
      <c r="A339" s="9" t="str">
        <f t="shared" si="10"/>
        <v>61996</v>
      </c>
      <c r="B339" s="14">
        <v>35230</v>
      </c>
      <c r="C339">
        <v>-3010</v>
      </c>
      <c r="D339" s="9">
        <v>43131</v>
      </c>
      <c r="E339">
        <f t="shared" si="11"/>
        <v>-6104</v>
      </c>
    </row>
    <row r="340" spans="1:5" x14ac:dyDescent="0.25">
      <c r="A340" s="9" t="str">
        <f t="shared" si="10"/>
        <v>61996</v>
      </c>
      <c r="B340" s="14">
        <v>35237</v>
      </c>
      <c r="C340">
        <v>856</v>
      </c>
      <c r="D340" s="9">
        <v>43159</v>
      </c>
      <c r="E340">
        <f t="shared" si="11"/>
        <v>5139</v>
      </c>
    </row>
    <row r="341" spans="1:5" x14ac:dyDescent="0.25">
      <c r="A341" s="9" t="str">
        <f t="shared" si="10"/>
        <v>61996</v>
      </c>
      <c r="B341" s="14">
        <v>35244</v>
      </c>
      <c r="C341">
        <v>6853</v>
      </c>
      <c r="D341" s="9">
        <v>43190</v>
      </c>
      <c r="E341">
        <f t="shared" si="11"/>
        <v>1834</v>
      </c>
    </row>
    <row r="342" spans="1:5" x14ac:dyDescent="0.25">
      <c r="A342" s="9" t="str">
        <f t="shared" si="10"/>
        <v>71996</v>
      </c>
      <c r="B342" s="14">
        <v>35251</v>
      </c>
      <c r="C342">
        <v>1857</v>
      </c>
      <c r="D342" s="9">
        <v>43220</v>
      </c>
      <c r="E342">
        <f t="shared" si="11"/>
        <v>10623</v>
      </c>
    </row>
    <row r="343" spans="1:5" x14ac:dyDescent="0.25">
      <c r="A343" s="9" t="str">
        <f t="shared" si="10"/>
        <v>71996</v>
      </c>
      <c r="B343" s="14">
        <v>35258</v>
      </c>
      <c r="C343">
        <v>-2527</v>
      </c>
      <c r="D343" s="9">
        <v>43251</v>
      </c>
      <c r="E343">
        <f t="shared" si="11"/>
        <v>-1443</v>
      </c>
    </row>
    <row r="344" spans="1:5" x14ac:dyDescent="0.25">
      <c r="A344" s="9" t="str">
        <f t="shared" si="10"/>
        <v>71996</v>
      </c>
      <c r="B344" s="14">
        <v>35265</v>
      </c>
      <c r="C344">
        <v>-3838</v>
      </c>
      <c r="D344" s="9">
        <v>43281</v>
      </c>
      <c r="E344">
        <f t="shared" si="11"/>
        <v>-16631</v>
      </c>
    </row>
    <row r="345" spans="1:5" x14ac:dyDescent="0.25">
      <c r="A345" s="9" t="str">
        <f t="shared" si="10"/>
        <v>71996</v>
      </c>
      <c r="B345" s="14">
        <v>35272</v>
      </c>
      <c r="C345">
        <v>1115</v>
      </c>
      <c r="D345" s="9">
        <v>43312</v>
      </c>
      <c r="E345">
        <f t="shared" si="11"/>
        <v>-9141</v>
      </c>
    </row>
    <row r="346" spans="1:5" x14ac:dyDescent="0.25">
      <c r="A346" s="9" t="str">
        <f t="shared" si="10"/>
        <v>81996</v>
      </c>
      <c r="B346" s="14">
        <v>35279</v>
      </c>
      <c r="C346">
        <v>-2761</v>
      </c>
      <c r="D346" s="9">
        <v>43343</v>
      </c>
      <c r="E346">
        <f t="shared" si="11"/>
        <v>-7250</v>
      </c>
    </row>
    <row r="347" spans="1:5" x14ac:dyDescent="0.25">
      <c r="A347" s="9" t="str">
        <f t="shared" si="10"/>
        <v>81996</v>
      </c>
      <c r="B347" s="14">
        <v>35286</v>
      </c>
      <c r="C347">
        <v>-1161</v>
      </c>
      <c r="D347" s="9">
        <v>43373</v>
      </c>
      <c r="E347">
        <f t="shared" si="11"/>
        <v>2474</v>
      </c>
    </row>
    <row r="348" spans="1:5" x14ac:dyDescent="0.25">
      <c r="A348" s="9" t="str">
        <f t="shared" si="10"/>
        <v>81996</v>
      </c>
      <c r="B348" s="14">
        <v>35293</v>
      </c>
      <c r="C348">
        <v>1880</v>
      </c>
      <c r="D348" s="9">
        <v>43404</v>
      </c>
      <c r="E348">
        <f t="shared" si="11"/>
        <v>22040</v>
      </c>
    </row>
    <row r="349" spans="1:5" x14ac:dyDescent="0.25">
      <c r="A349" s="9" t="str">
        <f t="shared" si="10"/>
        <v>81996</v>
      </c>
      <c r="B349" s="14">
        <v>35300</v>
      </c>
      <c r="C349">
        <v>9701</v>
      </c>
      <c r="D349" s="9">
        <v>43434</v>
      </c>
      <c r="E349">
        <f t="shared" si="11"/>
        <v>17158</v>
      </c>
    </row>
    <row r="350" spans="1:5" x14ac:dyDescent="0.25">
      <c r="A350" s="9" t="str">
        <f t="shared" si="10"/>
        <v>81996</v>
      </c>
      <c r="B350" s="14">
        <v>35307</v>
      </c>
      <c r="C350">
        <v>-5065</v>
      </c>
      <c r="D350" s="9">
        <v>43465</v>
      </c>
      <c r="E350">
        <f t="shared" si="11"/>
        <v>-1744</v>
      </c>
    </row>
    <row r="351" spans="1:5" x14ac:dyDescent="0.25">
      <c r="A351" s="9" t="str">
        <f t="shared" si="10"/>
        <v>91996</v>
      </c>
      <c r="B351" s="14">
        <v>35314</v>
      </c>
      <c r="C351">
        <v>-3439</v>
      </c>
      <c r="D351" s="9">
        <v>43496</v>
      </c>
      <c r="E351">
        <f t="shared" si="11"/>
        <v>4526</v>
      </c>
    </row>
    <row r="352" spans="1:5" x14ac:dyDescent="0.25">
      <c r="A352" s="9" t="str">
        <f t="shared" si="10"/>
        <v>91996</v>
      </c>
      <c r="B352" s="14">
        <v>35321</v>
      </c>
      <c r="C352">
        <v>-1987</v>
      </c>
      <c r="D352" s="9">
        <v>43524</v>
      </c>
      <c r="E352">
        <f t="shared" si="11"/>
        <v>-79</v>
      </c>
    </row>
    <row r="353" spans="1:5" x14ac:dyDescent="0.25">
      <c r="A353" s="9" t="str">
        <f t="shared" si="10"/>
        <v>91996</v>
      </c>
      <c r="B353" s="14">
        <v>35328</v>
      </c>
      <c r="C353">
        <v>1176</v>
      </c>
      <c r="D353" s="9">
        <v>43555</v>
      </c>
      <c r="E353">
        <f t="shared" si="11"/>
        <v>3656</v>
      </c>
    </row>
    <row r="354" spans="1:5" x14ac:dyDescent="0.25">
      <c r="A354" s="9" t="str">
        <f t="shared" si="10"/>
        <v>91996</v>
      </c>
      <c r="B354" s="14">
        <v>35335</v>
      </c>
      <c r="C354">
        <v>-5113</v>
      </c>
      <c r="D354" s="9">
        <v>43585</v>
      </c>
      <c r="E354">
        <f t="shared" si="11"/>
        <v>21046</v>
      </c>
    </row>
    <row r="355" spans="1:5" x14ac:dyDescent="0.25">
      <c r="A355" s="9" t="str">
        <f t="shared" si="10"/>
        <v>101996</v>
      </c>
      <c r="B355" s="14">
        <v>35342</v>
      </c>
      <c r="C355">
        <v>-269</v>
      </c>
      <c r="D355" s="9">
        <v>43616</v>
      </c>
      <c r="E355">
        <f t="shared" si="11"/>
        <v>12697</v>
      </c>
    </row>
    <row r="356" spans="1:5" x14ac:dyDescent="0.25">
      <c r="A356" s="9" t="str">
        <f t="shared" si="10"/>
        <v>101996</v>
      </c>
      <c r="B356" s="14">
        <v>35349</v>
      </c>
      <c r="C356">
        <v>-3301</v>
      </c>
      <c r="D356" s="9">
        <v>43646</v>
      </c>
      <c r="E356">
        <f t="shared" si="11"/>
        <v>-14773</v>
      </c>
    </row>
    <row r="357" spans="1:5" x14ac:dyDescent="0.25">
      <c r="A357" s="9" t="str">
        <f t="shared" si="10"/>
        <v>101996</v>
      </c>
      <c r="B357" s="14">
        <v>35356</v>
      </c>
      <c r="C357">
        <v>5741</v>
      </c>
      <c r="D357" s="9">
        <v>43677</v>
      </c>
      <c r="E357">
        <f t="shared" si="11"/>
        <v>-31946</v>
      </c>
    </row>
    <row r="358" spans="1:5" x14ac:dyDescent="0.25">
      <c r="A358" s="9" t="str">
        <f t="shared" si="10"/>
        <v>101996</v>
      </c>
      <c r="B358" s="14">
        <v>35363</v>
      </c>
      <c r="C358">
        <v>-3059</v>
      </c>
      <c r="D358" s="9">
        <v>43708</v>
      </c>
      <c r="E358">
        <f t="shared" si="11"/>
        <v>-13565</v>
      </c>
    </row>
    <row r="359" spans="1:5" x14ac:dyDescent="0.25">
      <c r="A359" s="9" t="str">
        <f t="shared" si="10"/>
        <v>111996</v>
      </c>
      <c r="B359" s="14">
        <v>35370</v>
      </c>
      <c r="C359">
        <v>10036</v>
      </c>
      <c r="D359" s="9">
        <v>43738</v>
      </c>
      <c r="E359">
        <f t="shared" si="11"/>
        <v>-338</v>
      </c>
    </row>
    <row r="360" spans="1:5" x14ac:dyDescent="0.25">
      <c r="A360" s="9" t="str">
        <f t="shared" si="10"/>
        <v>111996</v>
      </c>
      <c r="B360" s="14">
        <v>35377</v>
      </c>
      <c r="C360">
        <v>-5130</v>
      </c>
      <c r="D360" s="9">
        <v>43769</v>
      </c>
      <c r="E360">
        <f t="shared" si="11"/>
        <v>16211</v>
      </c>
    </row>
    <row r="361" spans="1:5" x14ac:dyDescent="0.25">
      <c r="A361" s="9" t="str">
        <f t="shared" si="10"/>
        <v>111996</v>
      </c>
      <c r="B361" s="14">
        <v>35384</v>
      </c>
      <c r="C361">
        <v>-2465</v>
      </c>
      <c r="D361" s="9">
        <v>43799</v>
      </c>
      <c r="E361">
        <f t="shared" si="11"/>
        <v>8243</v>
      </c>
    </row>
    <row r="362" spans="1:5" x14ac:dyDescent="0.25">
      <c r="A362" s="9" t="str">
        <f t="shared" si="10"/>
        <v>111996</v>
      </c>
      <c r="B362" s="14">
        <v>35391</v>
      </c>
      <c r="C362">
        <v>-4796</v>
      </c>
      <c r="D362" s="9">
        <v>43830</v>
      </c>
      <c r="E362">
        <f t="shared" si="11"/>
        <v>-17200</v>
      </c>
    </row>
    <row r="363" spans="1:5" x14ac:dyDescent="0.25">
      <c r="A363" s="9" t="str">
        <f t="shared" si="10"/>
        <v>111996</v>
      </c>
      <c r="B363" s="14">
        <v>35398</v>
      </c>
      <c r="C363">
        <v>227</v>
      </c>
      <c r="D363" s="9">
        <v>43861</v>
      </c>
      <c r="E363">
        <f t="shared" si="11"/>
        <v>5113</v>
      </c>
    </row>
    <row r="364" spans="1:5" x14ac:dyDescent="0.25">
      <c r="A364" s="9" t="str">
        <f t="shared" si="10"/>
        <v>121996</v>
      </c>
      <c r="B364" s="14">
        <v>35405</v>
      </c>
      <c r="C364">
        <v>-756</v>
      </c>
      <c r="D364" s="9">
        <v>43890</v>
      </c>
      <c r="E364">
        <f t="shared" si="11"/>
        <v>9110</v>
      </c>
    </row>
    <row r="365" spans="1:5" x14ac:dyDescent="0.25">
      <c r="A365" s="9" t="str">
        <f t="shared" si="10"/>
        <v>121996</v>
      </c>
      <c r="B365" s="14">
        <v>35412</v>
      </c>
      <c r="C365">
        <v>-2947</v>
      </c>
      <c r="D365" s="9">
        <v>43921</v>
      </c>
      <c r="E365">
        <f t="shared" si="11"/>
        <v>25074</v>
      </c>
    </row>
    <row r="366" spans="1:5" x14ac:dyDescent="0.25">
      <c r="A366" s="9" t="str">
        <f t="shared" si="10"/>
        <v>121996</v>
      </c>
      <c r="B366" s="14">
        <v>35419</v>
      </c>
      <c r="C366">
        <v>-6103</v>
      </c>
      <c r="D366" s="9">
        <v>43951</v>
      </c>
      <c r="E366">
        <f t="shared" si="11"/>
        <v>58438</v>
      </c>
    </row>
    <row r="367" spans="1:5" x14ac:dyDescent="0.25">
      <c r="A367" s="9" t="str">
        <f t="shared" si="10"/>
        <v>121996</v>
      </c>
      <c r="B367" s="14">
        <v>35426</v>
      </c>
      <c r="C367">
        <v>2442</v>
      </c>
      <c r="D367" s="9">
        <v>43982</v>
      </c>
      <c r="E367">
        <f t="shared" si="11"/>
        <v>4714</v>
      </c>
    </row>
    <row r="368" spans="1:5" x14ac:dyDescent="0.25">
      <c r="A368" s="9" t="str">
        <f t="shared" si="10"/>
        <v>11997</v>
      </c>
      <c r="B368" s="14">
        <v>35433</v>
      </c>
      <c r="C368">
        <v>-8523</v>
      </c>
      <c r="D368" s="9">
        <v>44012</v>
      </c>
      <c r="E368">
        <f t="shared" si="11"/>
        <v>1182</v>
      </c>
    </row>
    <row r="369" spans="1:5" x14ac:dyDescent="0.25">
      <c r="A369" s="9" t="str">
        <f t="shared" si="10"/>
        <v>11997</v>
      </c>
      <c r="B369" s="14">
        <v>35440</v>
      </c>
      <c r="C369">
        <v>5052</v>
      </c>
      <c r="D369" s="9">
        <v>44043</v>
      </c>
      <c r="E369">
        <f t="shared" si="11"/>
        <v>-14931</v>
      </c>
    </row>
    <row r="370" spans="1:5" x14ac:dyDescent="0.25">
      <c r="A370" s="9" t="str">
        <f t="shared" si="10"/>
        <v>11997</v>
      </c>
      <c r="B370" s="14">
        <v>35447</v>
      </c>
      <c r="C370">
        <v>-1465</v>
      </c>
      <c r="D370" s="9">
        <v>44074</v>
      </c>
      <c r="E370">
        <f t="shared" si="11"/>
        <v>-20195</v>
      </c>
    </row>
    <row r="371" spans="1:5" x14ac:dyDescent="0.25">
      <c r="A371" s="9" t="str">
        <f t="shared" si="10"/>
        <v>11997</v>
      </c>
      <c r="B371" s="14">
        <v>35454</v>
      </c>
      <c r="C371">
        <v>3372</v>
      </c>
      <c r="D371" s="9">
        <v>44104</v>
      </c>
      <c r="E371">
        <f t="shared" si="11"/>
        <v>-5975</v>
      </c>
    </row>
    <row r="372" spans="1:5" x14ac:dyDescent="0.25">
      <c r="A372" s="9" t="str">
        <f t="shared" si="10"/>
        <v>11997</v>
      </c>
      <c r="B372" s="14">
        <v>35461</v>
      </c>
      <c r="C372">
        <v>6035</v>
      </c>
      <c r="D372" s="9">
        <v>44135</v>
      </c>
      <c r="E372">
        <f t="shared" si="11"/>
        <v>-7997</v>
      </c>
    </row>
    <row r="373" spans="1:5" x14ac:dyDescent="0.25">
      <c r="A373" s="9" t="str">
        <f t="shared" si="10"/>
        <v>21997</v>
      </c>
      <c r="B373" s="14">
        <v>35468</v>
      </c>
      <c r="C373">
        <v>3448</v>
      </c>
      <c r="D373" s="9">
        <v>44165</v>
      </c>
      <c r="E373">
        <f t="shared" si="11"/>
        <v>3613</v>
      </c>
    </row>
    <row r="374" spans="1:5" x14ac:dyDescent="0.25">
      <c r="A374" s="9" t="str">
        <f t="shared" si="10"/>
        <v>21997</v>
      </c>
      <c r="B374" s="14">
        <v>35475</v>
      </c>
      <c r="C374">
        <v>4485</v>
      </c>
      <c r="D374" s="9">
        <v>44196</v>
      </c>
      <c r="E374">
        <f t="shared" si="11"/>
        <v>5427</v>
      </c>
    </row>
    <row r="375" spans="1:5" x14ac:dyDescent="0.25">
      <c r="A375" s="9" t="str">
        <f t="shared" si="10"/>
        <v>21997</v>
      </c>
      <c r="B375" s="14">
        <v>35482</v>
      </c>
      <c r="C375">
        <v>-164</v>
      </c>
      <c r="D375" s="9">
        <v>44227</v>
      </c>
      <c r="E375">
        <f t="shared" si="11"/>
        <v>-17810</v>
      </c>
    </row>
    <row r="376" spans="1:5" x14ac:dyDescent="0.25">
      <c r="A376" s="9" t="str">
        <f t="shared" si="10"/>
        <v>21997</v>
      </c>
      <c r="B376" s="14">
        <v>35489</v>
      </c>
      <c r="C376">
        <v>-5423</v>
      </c>
      <c r="D376" s="9">
        <v>44255</v>
      </c>
      <c r="E376">
        <f t="shared" si="11"/>
        <v>8946</v>
      </c>
    </row>
    <row r="377" spans="1:5" x14ac:dyDescent="0.25">
      <c r="A377" s="9" t="str">
        <f t="shared" si="10"/>
        <v>31997</v>
      </c>
      <c r="B377" s="14">
        <v>35496</v>
      </c>
      <c r="C377">
        <v>5230</v>
      </c>
      <c r="D377" s="9">
        <v>44286</v>
      </c>
      <c r="E377">
        <f t="shared" si="11"/>
        <v>17230</v>
      </c>
    </row>
    <row r="378" spans="1:5" x14ac:dyDescent="0.25">
      <c r="A378" s="9" t="str">
        <f t="shared" si="10"/>
        <v>31997</v>
      </c>
      <c r="B378" s="14">
        <v>35503</v>
      </c>
      <c r="C378">
        <v>110</v>
      </c>
      <c r="D378" s="9">
        <v>44316</v>
      </c>
      <c r="E378">
        <f t="shared" si="11"/>
        <v>-16718</v>
      </c>
    </row>
    <row r="379" spans="1:5" x14ac:dyDescent="0.25">
      <c r="A379" s="9" t="str">
        <f t="shared" si="10"/>
        <v>31997</v>
      </c>
      <c r="B379" s="14">
        <v>35510</v>
      </c>
      <c r="C379">
        <v>-1088</v>
      </c>
      <c r="D379" s="9">
        <v>44347</v>
      </c>
      <c r="E379">
        <f t="shared" si="11"/>
        <v>-5847</v>
      </c>
    </row>
    <row r="380" spans="1:5" x14ac:dyDescent="0.25">
      <c r="A380" s="9" t="str">
        <f t="shared" si="10"/>
        <v>31997</v>
      </c>
      <c r="B380" s="14">
        <v>35517</v>
      </c>
      <c r="C380">
        <v>6346</v>
      </c>
      <c r="D380" s="9">
        <v>44377</v>
      </c>
      <c r="E380">
        <f t="shared" si="11"/>
        <v>-26928</v>
      </c>
    </row>
    <row r="381" spans="1:5" x14ac:dyDescent="0.25">
      <c r="A381" s="9" t="str">
        <f t="shared" si="10"/>
        <v>41997</v>
      </c>
      <c r="B381" s="14">
        <v>35524</v>
      </c>
      <c r="C381">
        <v>-159</v>
      </c>
      <c r="D381" s="9">
        <v>44408</v>
      </c>
      <c r="E381">
        <f t="shared" si="11"/>
        <v>-13117</v>
      </c>
    </row>
    <row r="382" spans="1:5" x14ac:dyDescent="0.25">
      <c r="A382" s="9" t="str">
        <f t="shared" si="10"/>
        <v>41997</v>
      </c>
      <c r="B382" s="14">
        <v>35531</v>
      </c>
      <c r="C382">
        <v>2624</v>
      </c>
      <c r="D382" s="9">
        <v>44439</v>
      </c>
      <c r="E382">
        <f t="shared" si="11"/>
        <v>-13830</v>
      </c>
    </row>
    <row r="383" spans="1:5" x14ac:dyDescent="0.25">
      <c r="A383" s="9" t="str">
        <f t="shared" si="10"/>
        <v>41997</v>
      </c>
      <c r="B383" s="14">
        <v>35538</v>
      </c>
      <c r="C383">
        <v>1450</v>
      </c>
      <c r="D383" s="9">
        <v>44469</v>
      </c>
      <c r="E383">
        <f t="shared" si="11"/>
        <v>-6853</v>
      </c>
    </row>
    <row r="384" spans="1:5" x14ac:dyDescent="0.25">
      <c r="A384" s="9" t="str">
        <f t="shared" si="10"/>
        <v>41997</v>
      </c>
      <c r="B384" s="14">
        <v>35545</v>
      </c>
      <c r="C384">
        <v>2826</v>
      </c>
      <c r="D384" s="9">
        <v>44500</v>
      </c>
      <c r="E384">
        <f t="shared" si="11"/>
        <v>15560</v>
      </c>
    </row>
    <row r="385" spans="1:5" x14ac:dyDescent="0.25">
      <c r="A385" s="9" t="str">
        <f t="shared" si="10"/>
        <v>51997</v>
      </c>
      <c r="B385" s="14">
        <v>35552</v>
      </c>
      <c r="C385">
        <v>94</v>
      </c>
      <c r="D385" s="9">
        <v>44530</v>
      </c>
      <c r="E385">
        <f t="shared" si="11"/>
        <v>-991</v>
      </c>
    </row>
    <row r="386" spans="1:5" x14ac:dyDescent="0.25">
      <c r="A386" s="9" t="str">
        <f t="shared" si="10"/>
        <v>51997</v>
      </c>
      <c r="B386" s="14">
        <v>35559</v>
      </c>
      <c r="C386">
        <v>6395</v>
      </c>
      <c r="D386" s="9">
        <v>44561</v>
      </c>
      <c r="E386">
        <f t="shared" si="11"/>
        <v>-15260</v>
      </c>
    </row>
    <row r="387" spans="1:5" x14ac:dyDescent="0.25">
      <c r="A387" s="9" t="str">
        <f t="shared" si="10"/>
        <v>51997</v>
      </c>
      <c r="B387" s="14">
        <v>35566</v>
      </c>
      <c r="C387">
        <v>-5435</v>
      </c>
      <c r="D387" s="9">
        <v>44592</v>
      </c>
      <c r="E387">
        <f t="shared" si="11"/>
        <v>-2708</v>
      </c>
    </row>
    <row r="388" spans="1:5" x14ac:dyDescent="0.25">
      <c r="A388" s="9" t="str">
        <f t="shared" ref="A388:A451" si="12">MONTH(B388)&amp;YEAR(B388)</f>
        <v>51997</v>
      </c>
      <c r="B388" s="14">
        <v>35573</v>
      </c>
      <c r="C388">
        <v>3214</v>
      </c>
      <c r="D388" s="9">
        <v>44620</v>
      </c>
      <c r="E388">
        <f t="shared" ref="E388:E446" si="13">SUMIF(A:A,MONTH(D388)&amp;YEAR(D388),C:C)</f>
        <v>-1718</v>
      </c>
    </row>
    <row r="389" spans="1:5" x14ac:dyDescent="0.25">
      <c r="A389" s="9" t="str">
        <f t="shared" si="12"/>
        <v>51997</v>
      </c>
      <c r="B389" s="14">
        <v>35580</v>
      </c>
      <c r="C389">
        <v>4202</v>
      </c>
      <c r="D389" s="9">
        <v>44651</v>
      </c>
      <c r="E389">
        <f t="shared" si="13"/>
        <v>-3475</v>
      </c>
    </row>
    <row r="390" spans="1:5" x14ac:dyDescent="0.25">
      <c r="A390" s="9" t="str">
        <f t="shared" si="12"/>
        <v>61997</v>
      </c>
      <c r="B390" s="14">
        <v>35587</v>
      </c>
      <c r="C390">
        <v>-402</v>
      </c>
      <c r="D390" s="9">
        <v>44681</v>
      </c>
      <c r="E390">
        <f t="shared" si="13"/>
        <v>5777</v>
      </c>
    </row>
    <row r="391" spans="1:5" x14ac:dyDescent="0.25">
      <c r="A391" s="9" t="str">
        <f t="shared" si="12"/>
        <v>61997</v>
      </c>
      <c r="B391" s="14">
        <v>35594</v>
      </c>
      <c r="C391">
        <v>-1256</v>
      </c>
      <c r="D391" s="9">
        <v>44712</v>
      </c>
      <c r="E391">
        <f t="shared" si="13"/>
        <v>-994</v>
      </c>
    </row>
    <row r="392" spans="1:5" x14ac:dyDescent="0.25">
      <c r="A392" s="9" t="str">
        <f t="shared" si="12"/>
        <v>61997</v>
      </c>
      <c r="B392" s="14">
        <v>35601</v>
      </c>
      <c r="C392">
        <v>-463</v>
      </c>
      <c r="D392" s="9">
        <v>44742</v>
      </c>
      <c r="E392">
        <f t="shared" si="13"/>
        <v>833</v>
      </c>
    </row>
    <row r="393" spans="1:5" x14ac:dyDescent="0.25">
      <c r="A393" s="9" t="str">
        <f t="shared" si="12"/>
        <v>61997</v>
      </c>
      <c r="B393" s="14">
        <v>35608</v>
      </c>
      <c r="C393">
        <v>-5727</v>
      </c>
      <c r="D393" s="9">
        <v>44773</v>
      </c>
      <c r="E393">
        <f t="shared" si="13"/>
        <v>10987</v>
      </c>
    </row>
    <row r="394" spans="1:5" x14ac:dyDescent="0.25">
      <c r="A394" s="9" t="str">
        <f t="shared" si="12"/>
        <v>71997</v>
      </c>
      <c r="B394" s="14">
        <v>35615</v>
      </c>
      <c r="C394">
        <v>4997</v>
      </c>
      <c r="D394" s="9">
        <v>44804</v>
      </c>
      <c r="E394">
        <f t="shared" si="13"/>
        <v>-8207</v>
      </c>
    </row>
    <row r="395" spans="1:5" x14ac:dyDescent="0.25">
      <c r="A395" s="9" t="str">
        <f t="shared" si="12"/>
        <v>71997</v>
      </c>
      <c r="B395" s="14">
        <v>35622</v>
      </c>
      <c r="C395">
        <v>-2459</v>
      </c>
      <c r="D395" s="9">
        <v>44834</v>
      </c>
      <c r="E395">
        <f t="shared" si="13"/>
        <v>10857</v>
      </c>
    </row>
    <row r="396" spans="1:5" x14ac:dyDescent="0.25">
      <c r="A396" s="9" t="str">
        <f t="shared" si="12"/>
        <v>71997</v>
      </c>
      <c r="B396" s="14">
        <v>35629</v>
      </c>
      <c r="C396">
        <v>-1985</v>
      </c>
      <c r="D396" s="9">
        <v>44865</v>
      </c>
      <c r="E396">
        <f t="shared" si="13"/>
        <v>7627</v>
      </c>
    </row>
    <row r="397" spans="1:5" x14ac:dyDescent="0.25">
      <c r="A397" s="9" t="str">
        <f t="shared" si="12"/>
        <v>71997</v>
      </c>
      <c r="B397" s="14">
        <v>35636</v>
      </c>
      <c r="C397">
        <v>-9890</v>
      </c>
      <c r="D397" s="9">
        <v>44895</v>
      </c>
      <c r="E397">
        <f t="shared" si="13"/>
        <v>-17746</v>
      </c>
    </row>
    <row r="398" spans="1:5" x14ac:dyDescent="0.25">
      <c r="A398" s="9" t="str">
        <f t="shared" si="12"/>
        <v>81997</v>
      </c>
      <c r="B398" s="14">
        <v>35643</v>
      </c>
      <c r="C398">
        <v>-714</v>
      </c>
      <c r="D398" s="9">
        <v>44926</v>
      </c>
      <c r="E398">
        <f t="shared" si="13"/>
        <v>1562</v>
      </c>
    </row>
    <row r="399" spans="1:5" x14ac:dyDescent="0.25">
      <c r="A399" s="9" t="str">
        <f t="shared" si="12"/>
        <v>81997</v>
      </c>
      <c r="B399" s="14">
        <v>35650</v>
      </c>
      <c r="C399">
        <v>5138</v>
      </c>
      <c r="D399" s="9">
        <v>44957</v>
      </c>
      <c r="E399">
        <f t="shared" si="13"/>
        <v>32042</v>
      </c>
    </row>
    <row r="400" spans="1:5" x14ac:dyDescent="0.25">
      <c r="A400" s="9" t="str">
        <f t="shared" si="12"/>
        <v>81997</v>
      </c>
      <c r="B400" s="14">
        <v>35657</v>
      </c>
      <c r="C400">
        <v>624</v>
      </c>
      <c r="D400" s="9">
        <v>44985</v>
      </c>
      <c r="E400">
        <f t="shared" si="13"/>
        <v>27519</v>
      </c>
    </row>
    <row r="401" spans="1:5" x14ac:dyDescent="0.25">
      <c r="A401" s="9" t="str">
        <f t="shared" si="12"/>
        <v>81997</v>
      </c>
      <c r="B401" s="14">
        <v>35664</v>
      </c>
      <c r="C401">
        <v>-5254</v>
      </c>
      <c r="D401" s="9">
        <v>45016</v>
      </c>
      <c r="E401">
        <f t="shared" si="13"/>
        <v>-10255</v>
      </c>
    </row>
    <row r="402" spans="1:5" x14ac:dyDescent="0.25">
      <c r="A402" s="9" t="str">
        <f t="shared" si="12"/>
        <v>81997</v>
      </c>
      <c r="B402" s="14">
        <v>35671</v>
      </c>
      <c r="C402">
        <v>-1602</v>
      </c>
      <c r="D402" s="9">
        <v>45046</v>
      </c>
      <c r="E402">
        <f t="shared" si="13"/>
        <v>-10319</v>
      </c>
    </row>
    <row r="403" spans="1:5" x14ac:dyDescent="0.25">
      <c r="A403" s="9" t="str">
        <f t="shared" si="12"/>
        <v>91997</v>
      </c>
      <c r="B403" s="14">
        <v>35678</v>
      </c>
      <c r="C403">
        <v>-6082</v>
      </c>
      <c r="D403" s="9">
        <v>45077</v>
      </c>
      <c r="E403">
        <f t="shared" si="13"/>
        <v>24</v>
      </c>
    </row>
    <row r="404" spans="1:5" x14ac:dyDescent="0.25">
      <c r="A404" s="9" t="str">
        <f t="shared" si="12"/>
        <v>91997</v>
      </c>
      <c r="B404" s="14">
        <v>35685</v>
      </c>
      <c r="C404">
        <v>3794</v>
      </c>
      <c r="D404" s="9">
        <v>45107</v>
      </c>
      <c r="E404">
        <f t="shared" si="13"/>
        <v>-7475</v>
      </c>
    </row>
    <row r="405" spans="1:5" x14ac:dyDescent="0.25">
      <c r="A405" s="9" t="str">
        <f t="shared" si="12"/>
        <v>91997</v>
      </c>
      <c r="B405" s="14">
        <v>35692</v>
      </c>
      <c r="C405">
        <v>-3883</v>
      </c>
      <c r="D405" s="9">
        <v>45138</v>
      </c>
      <c r="E405">
        <f t="shared" si="13"/>
        <v>-12411</v>
      </c>
    </row>
    <row r="406" spans="1:5" x14ac:dyDescent="0.25">
      <c r="A406" s="9" t="str">
        <f t="shared" si="12"/>
        <v>91997</v>
      </c>
      <c r="B406" s="14">
        <v>35699</v>
      </c>
      <c r="C406">
        <v>1318</v>
      </c>
      <c r="D406" s="9">
        <v>45169</v>
      </c>
      <c r="E406">
        <f t="shared" si="13"/>
        <v>-16827</v>
      </c>
    </row>
    <row r="407" spans="1:5" x14ac:dyDescent="0.25">
      <c r="A407" s="9" t="str">
        <f t="shared" si="12"/>
        <v>101997</v>
      </c>
      <c r="B407" s="14">
        <v>35706</v>
      </c>
      <c r="C407">
        <v>4628</v>
      </c>
      <c r="D407" s="9">
        <v>45199</v>
      </c>
      <c r="E407">
        <f t="shared" si="13"/>
        <v>-8881</v>
      </c>
    </row>
    <row r="408" spans="1:5" x14ac:dyDescent="0.25">
      <c r="A408" s="9" t="str">
        <f t="shared" si="12"/>
        <v>101997</v>
      </c>
      <c r="B408" s="14">
        <v>35713</v>
      </c>
      <c r="C408">
        <v>-2172</v>
      </c>
      <c r="D408" s="9">
        <v>45230</v>
      </c>
      <c r="E408">
        <f t="shared" si="13"/>
        <v>7830</v>
      </c>
    </row>
    <row r="409" spans="1:5" x14ac:dyDescent="0.25">
      <c r="A409" s="9" t="str">
        <f t="shared" si="12"/>
        <v>101997</v>
      </c>
      <c r="B409" s="14">
        <v>35720</v>
      </c>
      <c r="C409">
        <v>-3298</v>
      </c>
      <c r="D409" s="9">
        <f>EOMONTH(D408,1)</f>
        <v>45260</v>
      </c>
      <c r="E409">
        <f t="shared" si="13"/>
        <v>27771</v>
      </c>
    </row>
    <row r="410" spans="1:5" x14ac:dyDescent="0.25">
      <c r="A410" s="9" t="str">
        <f t="shared" si="12"/>
        <v>101997</v>
      </c>
      <c r="B410" s="14">
        <v>35727</v>
      </c>
      <c r="C410">
        <v>4605</v>
      </c>
      <c r="D410" s="9">
        <f t="shared" ref="D410:D422" si="14">EOMONTH(D409,1)</f>
        <v>45291</v>
      </c>
      <c r="E410">
        <f t="shared" si="13"/>
        <v>-18599</v>
      </c>
    </row>
    <row r="411" spans="1:5" x14ac:dyDescent="0.25">
      <c r="A411" s="9" t="str">
        <f t="shared" si="12"/>
        <v>101997</v>
      </c>
      <c r="B411" s="14">
        <v>35734</v>
      </c>
      <c r="C411">
        <v>6019</v>
      </c>
      <c r="D411" s="9">
        <f t="shared" si="14"/>
        <v>45322</v>
      </c>
      <c r="E411">
        <f t="shared" si="13"/>
        <v>-9153</v>
      </c>
    </row>
    <row r="412" spans="1:5" x14ac:dyDescent="0.25">
      <c r="A412" s="9" t="str">
        <f t="shared" si="12"/>
        <v>111997</v>
      </c>
      <c r="B412" s="14">
        <v>35741</v>
      </c>
      <c r="C412">
        <v>-1180</v>
      </c>
      <c r="D412" s="9">
        <f t="shared" si="14"/>
        <v>45351</v>
      </c>
      <c r="E412">
        <f t="shared" si="13"/>
        <v>25251</v>
      </c>
    </row>
    <row r="413" spans="1:5" x14ac:dyDescent="0.25">
      <c r="A413" s="9" t="str">
        <f t="shared" si="12"/>
        <v>111997</v>
      </c>
      <c r="B413" s="14">
        <v>35748</v>
      </c>
      <c r="C413">
        <v>5286</v>
      </c>
      <c r="D413" s="9">
        <f t="shared" si="14"/>
        <v>45382</v>
      </c>
      <c r="E413">
        <f t="shared" si="13"/>
        <v>4254</v>
      </c>
    </row>
    <row r="414" spans="1:5" x14ac:dyDescent="0.25">
      <c r="A414" s="9" t="str">
        <f t="shared" si="12"/>
        <v>111997</v>
      </c>
      <c r="B414" s="14">
        <v>35755</v>
      </c>
      <c r="C414">
        <v>3774</v>
      </c>
      <c r="D414" s="9">
        <f t="shared" si="14"/>
        <v>45412</v>
      </c>
      <c r="E414">
        <f t="shared" si="13"/>
        <v>9473</v>
      </c>
    </row>
    <row r="415" spans="1:5" x14ac:dyDescent="0.25">
      <c r="A415" s="9" t="str">
        <f t="shared" si="12"/>
        <v>111997</v>
      </c>
      <c r="B415" s="14">
        <v>35762</v>
      </c>
      <c r="C415">
        <v>2820</v>
      </c>
      <c r="D415" s="9">
        <f t="shared" si="14"/>
        <v>45443</v>
      </c>
      <c r="E415">
        <f t="shared" si="13"/>
        <v>-4968</v>
      </c>
    </row>
    <row r="416" spans="1:5" x14ac:dyDescent="0.25">
      <c r="A416" s="9" t="str">
        <f t="shared" si="12"/>
        <v>121997</v>
      </c>
      <c r="B416" s="14">
        <v>35769</v>
      </c>
      <c r="C416">
        <v>-4802</v>
      </c>
      <c r="D416" s="9">
        <f t="shared" si="14"/>
        <v>45473</v>
      </c>
      <c r="E416">
        <f t="shared" si="13"/>
        <v>-7383</v>
      </c>
    </row>
    <row r="417" spans="1:5" x14ac:dyDescent="0.25">
      <c r="A417" s="9" t="str">
        <f t="shared" si="12"/>
        <v>121997</v>
      </c>
      <c r="B417" s="14">
        <v>35776</v>
      </c>
      <c r="C417">
        <v>2540</v>
      </c>
      <c r="D417" s="9">
        <f t="shared" si="14"/>
        <v>45504</v>
      </c>
      <c r="E417">
        <f t="shared" si="13"/>
        <v>-15490</v>
      </c>
    </row>
    <row r="418" spans="1:5" x14ac:dyDescent="0.25">
      <c r="A418" s="9" t="str">
        <f t="shared" si="12"/>
        <v>121997</v>
      </c>
      <c r="B418" s="14">
        <v>35783</v>
      </c>
      <c r="C418">
        <v>-3969</v>
      </c>
      <c r="D418" s="9">
        <f t="shared" si="14"/>
        <v>45535</v>
      </c>
      <c r="E418">
        <f t="shared" si="13"/>
        <v>-14739</v>
      </c>
    </row>
    <row r="419" spans="1:5" x14ac:dyDescent="0.25">
      <c r="A419" s="9" t="str">
        <f t="shared" si="12"/>
        <v>121997</v>
      </c>
      <c r="B419" s="14">
        <v>35790</v>
      </c>
      <c r="C419">
        <v>-3252</v>
      </c>
      <c r="D419" s="9">
        <f t="shared" si="14"/>
        <v>45565</v>
      </c>
      <c r="E419">
        <f t="shared" si="13"/>
        <v>-1379</v>
      </c>
    </row>
    <row r="420" spans="1:5" x14ac:dyDescent="0.25">
      <c r="A420" s="9" t="str">
        <f t="shared" si="12"/>
        <v>11998</v>
      </c>
      <c r="B420" s="14">
        <v>35797</v>
      </c>
      <c r="C420">
        <v>-6402</v>
      </c>
      <c r="D420" s="9">
        <f t="shared" si="14"/>
        <v>45596</v>
      </c>
      <c r="E420">
        <f t="shared" si="13"/>
        <v>8578</v>
      </c>
    </row>
    <row r="421" spans="1:5" x14ac:dyDescent="0.25">
      <c r="A421" s="9" t="str">
        <f t="shared" si="12"/>
        <v>11998</v>
      </c>
      <c r="B421" s="14">
        <v>35804</v>
      </c>
      <c r="C421">
        <v>-1079</v>
      </c>
      <c r="D421" s="9">
        <f t="shared" si="14"/>
        <v>45626</v>
      </c>
      <c r="E421">
        <f t="shared" si="13"/>
        <v>-2134</v>
      </c>
    </row>
    <row r="422" spans="1:5" x14ac:dyDescent="0.25">
      <c r="A422" s="9" t="str">
        <f t="shared" si="12"/>
        <v>11998</v>
      </c>
      <c r="B422" s="14">
        <v>35811</v>
      </c>
      <c r="C422">
        <v>11212</v>
      </c>
      <c r="D422" s="9">
        <f t="shared" si="14"/>
        <v>45657</v>
      </c>
      <c r="E422">
        <f t="shared" si="13"/>
        <v>-7774</v>
      </c>
    </row>
    <row r="423" spans="1:5" x14ac:dyDescent="0.25">
      <c r="A423" s="9" t="str">
        <f t="shared" si="12"/>
        <v>11998</v>
      </c>
      <c r="B423" s="14">
        <v>35818</v>
      </c>
      <c r="C423">
        <v>5686</v>
      </c>
      <c r="D423" s="9">
        <v>45658</v>
      </c>
      <c r="E423">
        <f t="shared" si="13"/>
        <v>8189</v>
      </c>
    </row>
    <row r="424" spans="1:5" x14ac:dyDescent="0.25">
      <c r="A424" s="9" t="str">
        <f t="shared" si="12"/>
        <v>11998</v>
      </c>
      <c r="B424" s="14">
        <v>35825</v>
      </c>
      <c r="C424">
        <v>-622</v>
      </c>
      <c r="D424" s="9">
        <v>45689</v>
      </c>
      <c r="E424">
        <f t="shared" si="13"/>
        <v>9985</v>
      </c>
    </row>
    <row r="425" spans="1:5" x14ac:dyDescent="0.25">
      <c r="A425" s="9" t="str">
        <f t="shared" si="12"/>
        <v>21998</v>
      </c>
      <c r="B425" s="14">
        <v>35832</v>
      </c>
      <c r="C425">
        <v>-8</v>
      </c>
      <c r="D425" s="9">
        <v>45717</v>
      </c>
      <c r="E425">
        <f t="shared" si="13"/>
        <v>6017</v>
      </c>
    </row>
    <row r="426" spans="1:5" x14ac:dyDescent="0.25">
      <c r="A426" s="9" t="str">
        <f t="shared" si="12"/>
        <v>21998</v>
      </c>
      <c r="B426" s="14">
        <v>35839</v>
      </c>
      <c r="C426">
        <v>1702</v>
      </c>
      <c r="D426" s="9">
        <v>45748</v>
      </c>
      <c r="E426">
        <f t="shared" si="13"/>
        <v>616</v>
      </c>
    </row>
    <row r="427" spans="1:5" x14ac:dyDescent="0.25">
      <c r="A427" s="9" t="str">
        <f t="shared" si="12"/>
        <v>21998</v>
      </c>
      <c r="B427" s="14">
        <v>35846</v>
      </c>
      <c r="C427">
        <v>2883</v>
      </c>
      <c r="D427" s="9">
        <v>45778</v>
      </c>
      <c r="E427">
        <f t="shared" si="13"/>
        <v>-4349</v>
      </c>
    </row>
    <row r="428" spans="1:5" x14ac:dyDescent="0.25">
      <c r="A428" s="9" t="str">
        <f t="shared" si="12"/>
        <v>21998</v>
      </c>
      <c r="B428" s="14">
        <v>35853</v>
      </c>
      <c r="C428">
        <v>-1599</v>
      </c>
      <c r="D428" s="9">
        <v>45809</v>
      </c>
      <c r="E428">
        <f t="shared" si="13"/>
        <v>-17108</v>
      </c>
    </row>
    <row r="429" spans="1:5" x14ac:dyDescent="0.25">
      <c r="A429" s="9" t="str">
        <f t="shared" si="12"/>
        <v>31998</v>
      </c>
      <c r="B429" s="14">
        <v>35860</v>
      </c>
      <c r="C429">
        <v>-921</v>
      </c>
      <c r="D429" s="9">
        <v>45839</v>
      </c>
      <c r="E429">
        <f t="shared" si="13"/>
        <v>7070</v>
      </c>
    </row>
    <row r="430" spans="1:5" x14ac:dyDescent="0.25">
      <c r="A430" s="9" t="str">
        <f t="shared" si="12"/>
        <v>31998</v>
      </c>
      <c r="B430" s="14">
        <v>35867</v>
      </c>
      <c r="C430">
        <v>-2057</v>
      </c>
      <c r="D430" s="9">
        <v>45870</v>
      </c>
      <c r="E430">
        <f t="shared" si="13"/>
        <v>0</v>
      </c>
    </row>
    <row r="431" spans="1:5" x14ac:dyDescent="0.25">
      <c r="A431" s="9" t="str">
        <f t="shared" si="12"/>
        <v>31998</v>
      </c>
      <c r="B431" s="14">
        <v>35874</v>
      </c>
      <c r="C431">
        <v>6469</v>
      </c>
      <c r="D431" s="9">
        <v>45901</v>
      </c>
      <c r="E431">
        <f t="shared" si="13"/>
        <v>0</v>
      </c>
    </row>
    <row r="432" spans="1:5" x14ac:dyDescent="0.25">
      <c r="A432" s="9" t="str">
        <f t="shared" si="12"/>
        <v>31998</v>
      </c>
      <c r="B432" s="14">
        <v>35881</v>
      </c>
      <c r="C432">
        <v>1594</v>
      </c>
      <c r="D432" s="9">
        <v>45931</v>
      </c>
      <c r="E432">
        <f t="shared" si="13"/>
        <v>0</v>
      </c>
    </row>
    <row r="433" spans="1:5" x14ac:dyDescent="0.25">
      <c r="A433" s="9" t="str">
        <f t="shared" si="12"/>
        <v>41998</v>
      </c>
      <c r="B433" s="14">
        <v>35888</v>
      </c>
      <c r="C433">
        <v>1567</v>
      </c>
      <c r="D433" s="9">
        <v>45962</v>
      </c>
      <c r="E433">
        <f t="shared" si="13"/>
        <v>0</v>
      </c>
    </row>
    <row r="434" spans="1:5" x14ac:dyDescent="0.25">
      <c r="A434" s="9" t="str">
        <f t="shared" si="12"/>
        <v>41998</v>
      </c>
      <c r="B434" s="14">
        <v>35895</v>
      </c>
      <c r="C434">
        <v>5330</v>
      </c>
      <c r="D434" s="9">
        <v>45992</v>
      </c>
      <c r="E434">
        <f t="shared" si="13"/>
        <v>0</v>
      </c>
    </row>
    <row r="435" spans="1:5" x14ac:dyDescent="0.25">
      <c r="A435" s="9" t="str">
        <f t="shared" si="12"/>
        <v>41998</v>
      </c>
      <c r="B435" s="14">
        <v>35902</v>
      </c>
      <c r="C435">
        <v>5007</v>
      </c>
      <c r="D435" s="9">
        <v>46023</v>
      </c>
      <c r="E435">
        <f t="shared" si="13"/>
        <v>0</v>
      </c>
    </row>
    <row r="436" spans="1:5" x14ac:dyDescent="0.25">
      <c r="A436" s="9" t="str">
        <f t="shared" si="12"/>
        <v>41998</v>
      </c>
      <c r="B436" s="14">
        <v>35909</v>
      </c>
      <c r="C436">
        <v>303</v>
      </c>
      <c r="D436" s="9">
        <v>46054</v>
      </c>
      <c r="E436">
        <f t="shared" si="13"/>
        <v>0</v>
      </c>
    </row>
    <row r="437" spans="1:5" x14ac:dyDescent="0.25">
      <c r="A437" s="9" t="str">
        <f t="shared" si="12"/>
        <v>51998</v>
      </c>
      <c r="B437" s="14">
        <v>35916</v>
      </c>
      <c r="C437">
        <v>2200</v>
      </c>
      <c r="D437" s="9">
        <v>46082</v>
      </c>
      <c r="E437">
        <f t="shared" si="13"/>
        <v>0</v>
      </c>
    </row>
    <row r="438" spans="1:5" x14ac:dyDescent="0.25">
      <c r="A438" s="9" t="str">
        <f t="shared" si="12"/>
        <v>51998</v>
      </c>
      <c r="B438" s="14">
        <v>35923</v>
      </c>
      <c r="C438">
        <v>-663</v>
      </c>
      <c r="D438" s="9">
        <v>46113</v>
      </c>
      <c r="E438">
        <f t="shared" si="13"/>
        <v>0</v>
      </c>
    </row>
    <row r="439" spans="1:5" x14ac:dyDescent="0.25">
      <c r="A439" s="9" t="str">
        <f t="shared" si="12"/>
        <v>51998</v>
      </c>
      <c r="B439" s="14">
        <v>35930</v>
      </c>
      <c r="C439">
        <v>11223</v>
      </c>
      <c r="D439" s="9">
        <v>46143</v>
      </c>
      <c r="E439">
        <f t="shared" si="13"/>
        <v>0</v>
      </c>
    </row>
    <row r="440" spans="1:5" x14ac:dyDescent="0.25">
      <c r="A440" s="9" t="str">
        <f t="shared" si="12"/>
        <v>51998</v>
      </c>
      <c r="B440" s="14">
        <v>35937</v>
      </c>
      <c r="C440">
        <v>-3246</v>
      </c>
      <c r="D440" s="9">
        <v>46174</v>
      </c>
      <c r="E440">
        <f t="shared" si="13"/>
        <v>0</v>
      </c>
    </row>
    <row r="441" spans="1:5" x14ac:dyDescent="0.25">
      <c r="A441" s="9" t="str">
        <f t="shared" si="12"/>
        <v>51998</v>
      </c>
      <c r="B441" s="14">
        <v>35944</v>
      </c>
      <c r="C441">
        <v>-4288</v>
      </c>
      <c r="D441" s="9">
        <v>46204</v>
      </c>
      <c r="E441">
        <f t="shared" si="13"/>
        <v>0</v>
      </c>
    </row>
    <row r="442" spans="1:5" x14ac:dyDescent="0.25">
      <c r="A442" s="9" t="str">
        <f t="shared" si="12"/>
        <v>61998</v>
      </c>
      <c r="B442" s="14">
        <v>35951</v>
      </c>
      <c r="C442">
        <v>-1149</v>
      </c>
      <c r="D442" s="9">
        <v>46235</v>
      </c>
      <c r="E442">
        <f t="shared" si="13"/>
        <v>0</v>
      </c>
    </row>
    <row r="443" spans="1:5" x14ac:dyDescent="0.25">
      <c r="A443" s="9" t="str">
        <f t="shared" si="12"/>
        <v>61998</v>
      </c>
      <c r="B443" s="14">
        <v>35958</v>
      </c>
      <c r="C443">
        <v>-2698</v>
      </c>
      <c r="D443" s="9">
        <v>46266</v>
      </c>
      <c r="E443">
        <f t="shared" si="13"/>
        <v>0</v>
      </c>
    </row>
    <row r="444" spans="1:5" x14ac:dyDescent="0.25">
      <c r="A444" s="9" t="str">
        <f t="shared" si="12"/>
        <v>61998</v>
      </c>
      <c r="B444" s="14">
        <v>35965</v>
      </c>
      <c r="C444">
        <v>-1654</v>
      </c>
      <c r="D444" s="9">
        <v>46296</v>
      </c>
      <c r="E444">
        <f t="shared" si="13"/>
        <v>0</v>
      </c>
    </row>
    <row r="445" spans="1:5" x14ac:dyDescent="0.25">
      <c r="A445" s="9" t="str">
        <f t="shared" si="12"/>
        <v>61998</v>
      </c>
      <c r="B445" s="14">
        <v>35972</v>
      </c>
      <c r="C445">
        <v>1661</v>
      </c>
      <c r="D445" s="9">
        <v>46327</v>
      </c>
      <c r="E445">
        <f t="shared" si="13"/>
        <v>0</v>
      </c>
    </row>
    <row r="446" spans="1:5" x14ac:dyDescent="0.25">
      <c r="A446" s="9" t="str">
        <f t="shared" si="12"/>
        <v>71998</v>
      </c>
      <c r="B446" s="14">
        <v>35979</v>
      </c>
      <c r="C446">
        <v>-2890</v>
      </c>
      <c r="D446" s="9">
        <v>46357</v>
      </c>
      <c r="E446">
        <f t="shared" si="13"/>
        <v>0</v>
      </c>
    </row>
    <row r="447" spans="1:5" x14ac:dyDescent="0.25">
      <c r="A447" s="9" t="str">
        <f t="shared" si="12"/>
        <v>71998</v>
      </c>
      <c r="B447" s="14">
        <v>35986</v>
      </c>
      <c r="C447">
        <v>-6632</v>
      </c>
      <c r="D447" s="9"/>
    </row>
    <row r="448" spans="1:5" x14ac:dyDescent="0.25">
      <c r="A448" s="9" t="str">
        <f t="shared" si="12"/>
        <v>71998</v>
      </c>
      <c r="B448" s="14">
        <v>35993</v>
      </c>
      <c r="C448">
        <v>5541</v>
      </c>
      <c r="D448" s="9"/>
    </row>
    <row r="449" spans="1:4" x14ac:dyDescent="0.25">
      <c r="A449" s="9" t="str">
        <f t="shared" si="12"/>
        <v>71998</v>
      </c>
      <c r="B449" s="14">
        <v>36000</v>
      </c>
      <c r="C449">
        <v>3829</v>
      </c>
      <c r="D449" s="9"/>
    </row>
    <row r="450" spans="1:4" x14ac:dyDescent="0.25">
      <c r="A450" s="9" t="str">
        <f t="shared" si="12"/>
        <v>71998</v>
      </c>
      <c r="B450" s="14">
        <v>36007</v>
      </c>
      <c r="C450">
        <v>683</v>
      </c>
      <c r="D450" s="9"/>
    </row>
    <row r="451" spans="1:4" x14ac:dyDescent="0.25">
      <c r="A451" s="9" t="str">
        <f t="shared" si="12"/>
        <v>81998</v>
      </c>
      <c r="B451" s="14">
        <v>36014</v>
      </c>
      <c r="C451">
        <v>963</v>
      </c>
      <c r="D451" s="9"/>
    </row>
    <row r="452" spans="1:4" x14ac:dyDescent="0.25">
      <c r="A452" s="9" t="str">
        <f t="shared" ref="A452:A515" si="15">MONTH(B452)&amp;YEAR(B452)</f>
        <v>81998</v>
      </c>
      <c r="B452" s="14">
        <v>36021</v>
      </c>
      <c r="C452">
        <v>-536</v>
      </c>
      <c r="D452" s="9"/>
    </row>
    <row r="453" spans="1:4" x14ac:dyDescent="0.25">
      <c r="A453" s="9" t="str">
        <f t="shared" si="15"/>
        <v>81998</v>
      </c>
      <c r="B453" s="14">
        <v>36028</v>
      </c>
      <c r="C453">
        <v>-6875</v>
      </c>
      <c r="D453" s="9"/>
    </row>
    <row r="454" spans="1:4" x14ac:dyDescent="0.25">
      <c r="A454" s="9" t="str">
        <f t="shared" si="15"/>
        <v>81998</v>
      </c>
      <c r="B454" s="14">
        <v>36035</v>
      </c>
      <c r="C454">
        <v>-318</v>
      </c>
      <c r="D454" s="9"/>
    </row>
    <row r="455" spans="1:4" x14ac:dyDescent="0.25">
      <c r="A455" s="9" t="str">
        <f t="shared" si="15"/>
        <v>91998</v>
      </c>
      <c r="B455" s="14">
        <v>36042</v>
      </c>
      <c r="C455">
        <v>-8954</v>
      </c>
      <c r="D455" s="9"/>
    </row>
    <row r="456" spans="1:4" x14ac:dyDescent="0.25">
      <c r="A456" s="9" t="str">
        <f t="shared" si="15"/>
        <v>91998</v>
      </c>
      <c r="B456" s="14">
        <v>36049</v>
      </c>
      <c r="C456">
        <v>-2382</v>
      </c>
      <c r="D456" s="9"/>
    </row>
    <row r="457" spans="1:4" x14ac:dyDescent="0.25">
      <c r="A457" s="9" t="str">
        <f t="shared" si="15"/>
        <v>91998</v>
      </c>
      <c r="B457" s="14">
        <v>36056</v>
      </c>
      <c r="C457">
        <v>-9339</v>
      </c>
      <c r="D457" s="9"/>
    </row>
    <row r="458" spans="1:4" x14ac:dyDescent="0.25">
      <c r="A458" s="9" t="str">
        <f t="shared" si="15"/>
        <v>91998</v>
      </c>
      <c r="B458" s="14">
        <v>36063</v>
      </c>
      <c r="C458">
        <v>3097</v>
      </c>
      <c r="D458" s="9"/>
    </row>
    <row r="459" spans="1:4" x14ac:dyDescent="0.25">
      <c r="A459" s="9" t="str">
        <f t="shared" si="15"/>
        <v>101998</v>
      </c>
      <c r="B459" s="14">
        <v>36070</v>
      </c>
      <c r="C459">
        <v>2710</v>
      </c>
      <c r="D459" s="9"/>
    </row>
    <row r="460" spans="1:4" x14ac:dyDescent="0.25">
      <c r="A460" s="9" t="str">
        <f t="shared" si="15"/>
        <v>101998</v>
      </c>
      <c r="B460" s="14">
        <v>36077</v>
      </c>
      <c r="C460">
        <v>6789</v>
      </c>
      <c r="D460" s="9"/>
    </row>
    <row r="461" spans="1:4" x14ac:dyDescent="0.25">
      <c r="A461" s="9" t="str">
        <f t="shared" si="15"/>
        <v>101998</v>
      </c>
      <c r="B461" s="14">
        <v>36084</v>
      </c>
      <c r="C461">
        <v>3545</v>
      </c>
      <c r="D461" s="9"/>
    </row>
    <row r="462" spans="1:4" x14ac:dyDescent="0.25">
      <c r="A462" s="9" t="str">
        <f t="shared" si="15"/>
        <v>101998</v>
      </c>
      <c r="B462" s="14">
        <v>36091</v>
      </c>
      <c r="C462">
        <v>3737</v>
      </c>
      <c r="D462" s="9"/>
    </row>
    <row r="463" spans="1:4" x14ac:dyDescent="0.25">
      <c r="A463" s="9" t="str">
        <f t="shared" si="15"/>
        <v>101998</v>
      </c>
      <c r="B463" s="14">
        <v>36098</v>
      </c>
      <c r="C463">
        <v>3775</v>
      </c>
      <c r="D463" s="9"/>
    </row>
    <row r="464" spans="1:4" x14ac:dyDescent="0.25">
      <c r="A464" s="9" t="str">
        <f t="shared" si="15"/>
        <v>111998</v>
      </c>
      <c r="B464" s="14">
        <v>36105</v>
      </c>
      <c r="C464">
        <v>-825</v>
      </c>
      <c r="D464" s="9"/>
    </row>
    <row r="465" spans="1:4" x14ac:dyDescent="0.25">
      <c r="A465" s="9" t="str">
        <f t="shared" si="15"/>
        <v>111998</v>
      </c>
      <c r="B465" s="14">
        <v>36112</v>
      </c>
      <c r="C465">
        <v>-2535</v>
      </c>
      <c r="D465" s="9"/>
    </row>
    <row r="466" spans="1:4" x14ac:dyDescent="0.25">
      <c r="A466" s="9" t="str">
        <f t="shared" si="15"/>
        <v>111998</v>
      </c>
      <c r="B466" s="14">
        <v>36119</v>
      </c>
      <c r="C466">
        <v>5157</v>
      </c>
      <c r="D466" s="9"/>
    </row>
    <row r="467" spans="1:4" x14ac:dyDescent="0.25">
      <c r="A467" s="9" t="str">
        <f t="shared" si="15"/>
        <v>111998</v>
      </c>
      <c r="B467" s="14">
        <v>36126</v>
      </c>
      <c r="C467">
        <v>-5568</v>
      </c>
      <c r="D467" s="9"/>
    </row>
    <row r="468" spans="1:4" x14ac:dyDescent="0.25">
      <c r="A468" s="9" t="str">
        <f t="shared" si="15"/>
        <v>121998</v>
      </c>
      <c r="B468" s="14">
        <v>36133</v>
      </c>
      <c r="C468">
        <v>-1434</v>
      </c>
      <c r="D468" s="9"/>
    </row>
    <row r="469" spans="1:4" x14ac:dyDescent="0.25">
      <c r="A469" s="9" t="str">
        <f t="shared" si="15"/>
        <v>121998</v>
      </c>
      <c r="B469" s="14">
        <v>36140</v>
      </c>
      <c r="C469">
        <v>3419</v>
      </c>
      <c r="D469" s="9"/>
    </row>
    <row r="470" spans="1:4" x14ac:dyDescent="0.25">
      <c r="A470" s="9" t="str">
        <f t="shared" si="15"/>
        <v>121998</v>
      </c>
      <c r="B470" s="14">
        <v>36147</v>
      </c>
      <c r="C470">
        <v>1480</v>
      </c>
      <c r="D470" s="9"/>
    </row>
    <row r="471" spans="1:4" x14ac:dyDescent="0.25">
      <c r="A471" s="9" t="str">
        <f t="shared" si="15"/>
        <v>121998</v>
      </c>
      <c r="B471" s="14">
        <v>36154</v>
      </c>
      <c r="C471">
        <v>-2658</v>
      </c>
      <c r="D471" s="9"/>
    </row>
    <row r="472" spans="1:4" x14ac:dyDescent="0.25">
      <c r="A472" s="9" t="str">
        <f t="shared" si="15"/>
        <v>11999</v>
      </c>
      <c r="B472" s="14">
        <v>36161</v>
      </c>
      <c r="C472">
        <v>-15222</v>
      </c>
      <c r="D472" s="9"/>
    </row>
    <row r="473" spans="1:4" x14ac:dyDescent="0.25">
      <c r="A473" s="9" t="str">
        <f t="shared" si="15"/>
        <v>11999</v>
      </c>
      <c r="B473" s="14">
        <v>36168</v>
      </c>
      <c r="C473">
        <v>2540</v>
      </c>
      <c r="D473" s="9"/>
    </row>
    <row r="474" spans="1:4" x14ac:dyDescent="0.25">
      <c r="A474" s="9" t="str">
        <f t="shared" si="15"/>
        <v>11999</v>
      </c>
      <c r="B474" s="14">
        <v>36175</v>
      </c>
      <c r="C474">
        <v>2707</v>
      </c>
      <c r="D474" s="9"/>
    </row>
    <row r="475" spans="1:4" x14ac:dyDescent="0.25">
      <c r="A475" s="9" t="str">
        <f t="shared" si="15"/>
        <v>11999</v>
      </c>
      <c r="B475" s="14">
        <v>36182</v>
      </c>
      <c r="C475">
        <v>3173</v>
      </c>
      <c r="D475" s="9"/>
    </row>
    <row r="476" spans="1:4" x14ac:dyDescent="0.25">
      <c r="A476" s="9" t="str">
        <f t="shared" si="15"/>
        <v>11999</v>
      </c>
      <c r="B476" s="14">
        <v>36189</v>
      </c>
      <c r="C476">
        <v>2582</v>
      </c>
      <c r="D476" s="9"/>
    </row>
    <row r="477" spans="1:4" x14ac:dyDescent="0.25">
      <c r="A477" s="9" t="str">
        <f t="shared" si="15"/>
        <v>21999</v>
      </c>
      <c r="B477" s="14">
        <v>36196</v>
      </c>
      <c r="C477">
        <v>570</v>
      </c>
      <c r="D477" s="9"/>
    </row>
    <row r="478" spans="1:4" x14ac:dyDescent="0.25">
      <c r="A478" s="9" t="str">
        <f t="shared" si="15"/>
        <v>21999</v>
      </c>
      <c r="B478" s="14">
        <v>36203</v>
      </c>
      <c r="C478">
        <v>-1738</v>
      </c>
      <c r="D478" s="9"/>
    </row>
    <row r="479" spans="1:4" x14ac:dyDescent="0.25">
      <c r="A479" s="9" t="str">
        <f t="shared" si="15"/>
        <v>21999</v>
      </c>
      <c r="B479" s="14">
        <v>36210</v>
      </c>
      <c r="C479">
        <v>3038</v>
      </c>
      <c r="D479" s="9"/>
    </row>
    <row r="480" spans="1:4" x14ac:dyDescent="0.25">
      <c r="A480" s="9" t="str">
        <f t="shared" si="15"/>
        <v>21999</v>
      </c>
      <c r="B480" s="14">
        <v>36217</v>
      </c>
      <c r="C480">
        <v>-3157</v>
      </c>
      <c r="D480" s="9"/>
    </row>
    <row r="481" spans="1:4" x14ac:dyDescent="0.25">
      <c r="A481" s="9" t="str">
        <f t="shared" si="15"/>
        <v>31999</v>
      </c>
      <c r="B481" s="14">
        <v>36224</v>
      </c>
      <c r="C481">
        <v>2820</v>
      </c>
      <c r="D481" s="9"/>
    </row>
    <row r="482" spans="1:4" x14ac:dyDescent="0.25">
      <c r="A482" s="9" t="str">
        <f t="shared" si="15"/>
        <v>31999</v>
      </c>
      <c r="B482" s="14">
        <v>36231</v>
      </c>
      <c r="C482">
        <v>3663</v>
      </c>
      <c r="D482" s="9"/>
    </row>
    <row r="483" spans="1:4" x14ac:dyDescent="0.25">
      <c r="A483" s="9" t="str">
        <f t="shared" si="15"/>
        <v>31999</v>
      </c>
      <c r="B483" s="14">
        <v>36238</v>
      </c>
      <c r="C483">
        <v>2807</v>
      </c>
      <c r="D483" s="9"/>
    </row>
    <row r="484" spans="1:4" x14ac:dyDescent="0.25">
      <c r="A484" s="9" t="str">
        <f t="shared" si="15"/>
        <v>31999</v>
      </c>
      <c r="B484" s="14">
        <v>36245</v>
      </c>
      <c r="C484">
        <v>3803</v>
      </c>
      <c r="D484" s="9"/>
    </row>
    <row r="485" spans="1:4" x14ac:dyDescent="0.25">
      <c r="A485" s="9" t="str">
        <f t="shared" si="15"/>
        <v>41999</v>
      </c>
      <c r="B485" s="14">
        <v>36252</v>
      </c>
      <c r="C485">
        <v>-1746</v>
      </c>
      <c r="D485" s="9"/>
    </row>
    <row r="486" spans="1:4" x14ac:dyDescent="0.25">
      <c r="A486" s="9" t="str">
        <f t="shared" si="15"/>
        <v>41999</v>
      </c>
      <c r="B486" s="14">
        <v>36259</v>
      </c>
      <c r="C486">
        <v>2117</v>
      </c>
      <c r="D486" s="9"/>
    </row>
    <row r="487" spans="1:4" x14ac:dyDescent="0.25">
      <c r="A487" s="9" t="str">
        <f t="shared" si="15"/>
        <v>41999</v>
      </c>
      <c r="B487" s="14">
        <v>36266</v>
      </c>
      <c r="C487">
        <v>-3156</v>
      </c>
      <c r="D487" s="9"/>
    </row>
    <row r="488" spans="1:4" x14ac:dyDescent="0.25">
      <c r="A488" s="9" t="str">
        <f t="shared" si="15"/>
        <v>41999</v>
      </c>
      <c r="B488" s="14">
        <v>36273</v>
      </c>
      <c r="C488">
        <v>-3443</v>
      </c>
      <c r="D488" s="9"/>
    </row>
    <row r="489" spans="1:4" x14ac:dyDescent="0.25">
      <c r="A489" s="9" t="str">
        <f t="shared" si="15"/>
        <v>41999</v>
      </c>
      <c r="B489" s="14">
        <v>36280</v>
      </c>
      <c r="C489">
        <v>-2141</v>
      </c>
      <c r="D489" s="9"/>
    </row>
    <row r="490" spans="1:4" x14ac:dyDescent="0.25">
      <c r="A490" s="9" t="str">
        <f t="shared" si="15"/>
        <v>51999</v>
      </c>
      <c r="B490" s="14">
        <v>36287</v>
      </c>
      <c r="C490">
        <v>-2398</v>
      </c>
      <c r="D490" s="9"/>
    </row>
    <row r="491" spans="1:4" x14ac:dyDescent="0.25">
      <c r="A491" s="9" t="str">
        <f t="shared" si="15"/>
        <v>51999</v>
      </c>
      <c r="B491" s="14">
        <v>36294</v>
      </c>
      <c r="C491">
        <v>553</v>
      </c>
      <c r="D491" s="9"/>
    </row>
    <row r="492" spans="1:4" x14ac:dyDescent="0.25">
      <c r="A492" s="9" t="str">
        <f t="shared" si="15"/>
        <v>51999</v>
      </c>
      <c r="B492" s="14">
        <v>36301</v>
      </c>
      <c r="C492">
        <v>-2323</v>
      </c>
      <c r="D492" s="9"/>
    </row>
    <row r="493" spans="1:4" x14ac:dyDescent="0.25">
      <c r="A493" s="9" t="str">
        <f t="shared" si="15"/>
        <v>51999</v>
      </c>
      <c r="B493" s="14">
        <v>36308</v>
      </c>
      <c r="C493">
        <v>-1047</v>
      </c>
      <c r="D493" s="9"/>
    </row>
    <row r="494" spans="1:4" x14ac:dyDescent="0.25">
      <c r="A494" s="9" t="str">
        <f t="shared" si="15"/>
        <v>61999</v>
      </c>
      <c r="B494" s="14">
        <v>36315</v>
      </c>
      <c r="C494">
        <v>1956</v>
      </c>
      <c r="D494" s="9"/>
    </row>
    <row r="495" spans="1:4" x14ac:dyDescent="0.25">
      <c r="A495" s="9" t="str">
        <f t="shared" si="15"/>
        <v>61999</v>
      </c>
      <c r="B495" s="14">
        <v>36322</v>
      </c>
      <c r="C495">
        <v>1814</v>
      </c>
      <c r="D495" s="9"/>
    </row>
    <row r="496" spans="1:4" x14ac:dyDescent="0.25">
      <c r="A496" s="9" t="str">
        <f t="shared" si="15"/>
        <v>61999</v>
      </c>
      <c r="B496" s="14">
        <v>36329</v>
      </c>
      <c r="C496">
        <v>-2723</v>
      </c>
      <c r="D496" s="9"/>
    </row>
    <row r="497" spans="1:4" x14ac:dyDescent="0.25">
      <c r="A497" s="9" t="str">
        <f t="shared" si="15"/>
        <v>61999</v>
      </c>
      <c r="B497" s="14">
        <v>36336</v>
      </c>
      <c r="C497">
        <v>-1724</v>
      </c>
      <c r="D497" s="9"/>
    </row>
    <row r="498" spans="1:4" x14ac:dyDescent="0.25">
      <c r="A498" s="9" t="str">
        <f t="shared" si="15"/>
        <v>71999</v>
      </c>
      <c r="B498" s="14">
        <v>36343</v>
      </c>
      <c r="C498">
        <v>-232</v>
      </c>
      <c r="D498" s="9"/>
    </row>
    <row r="499" spans="1:4" x14ac:dyDescent="0.25">
      <c r="A499" s="9" t="str">
        <f t="shared" si="15"/>
        <v>71999</v>
      </c>
      <c r="B499" s="14">
        <v>36350</v>
      </c>
      <c r="C499">
        <v>3688</v>
      </c>
      <c r="D499" s="9"/>
    </row>
    <row r="500" spans="1:4" x14ac:dyDescent="0.25">
      <c r="A500" s="9" t="str">
        <f t="shared" si="15"/>
        <v>71999</v>
      </c>
      <c r="B500" s="14">
        <v>36357</v>
      </c>
      <c r="C500">
        <v>374</v>
      </c>
      <c r="D500" s="9"/>
    </row>
    <row r="501" spans="1:4" x14ac:dyDescent="0.25">
      <c r="A501" s="9" t="str">
        <f t="shared" si="15"/>
        <v>71999</v>
      </c>
      <c r="B501" s="14">
        <v>36364</v>
      </c>
      <c r="C501">
        <v>-5176</v>
      </c>
      <c r="D501" s="9"/>
    </row>
    <row r="502" spans="1:4" x14ac:dyDescent="0.25">
      <c r="A502" s="9" t="str">
        <f t="shared" si="15"/>
        <v>71999</v>
      </c>
      <c r="B502" s="14">
        <v>36371</v>
      </c>
      <c r="C502">
        <v>-3400</v>
      </c>
      <c r="D502" s="9"/>
    </row>
    <row r="503" spans="1:4" x14ac:dyDescent="0.25">
      <c r="A503" s="9" t="str">
        <f t="shared" si="15"/>
        <v>81999</v>
      </c>
      <c r="B503" s="14">
        <v>36378</v>
      </c>
      <c r="C503">
        <v>-2235</v>
      </c>
      <c r="D503" s="9"/>
    </row>
    <row r="504" spans="1:4" x14ac:dyDescent="0.25">
      <c r="A504" s="9" t="str">
        <f t="shared" si="15"/>
        <v>81999</v>
      </c>
      <c r="B504" s="14">
        <v>36385</v>
      </c>
      <c r="C504">
        <v>-1633</v>
      </c>
      <c r="D504" s="9"/>
    </row>
    <row r="505" spans="1:4" x14ac:dyDescent="0.25">
      <c r="A505" s="9" t="str">
        <f t="shared" si="15"/>
        <v>81999</v>
      </c>
      <c r="B505" s="14">
        <v>36392</v>
      </c>
      <c r="C505">
        <v>-4525</v>
      </c>
      <c r="D505" s="9"/>
    </row>
    <row r="506" spans="1:4" x14ac:dyDescent="0.25">
      <c r="A506" s="9" t="str">
        <f t="shared" si="15"/>
        <v>81999</v>
      </c>
      <c r="B506" s="14">
        <v>36399</v>
      </c>
      <c r="C506">
        <v>562</v>
      </c>
      <c r="D506" s="9"/>
    </row>
    <row r="507" spans="1:4" x14ac:dyDescent="0.25">
      <c r="A507" s="9" t="str">
        <f t="shared" si="15"/>
        <v>91999</v>
      </c>
      <c r="B507" s="14">
        <v>36406</v>
      </c>
      <c r="C507">
        <v>-4543</v>
      </c>
      <c r="D507" s="9"/>
    </row>
    <row r="508" spans="1:4" x14ac:dyDescent="0.25">
      <c r="A508" s="9" t="str">
        <f t="shared" si="15"/>
        <v>91999</v>
      </c>
      <c r="B508" s="14">
        <v>36413</v>
      </c>
      <c r="C508">
        <v>-4282</v>
      </c>
      <c r="D508" s="9"/>
    </row>
    <row r="509" spans="1:4" x14ac:dyDescent="0.25">
      <c r="A509" s="9" t="str">
        <f t="shared" si="15"/>
        <v>91999</v>
      </c>
      <c r="B509" s="14">
        <v>36420</v>
      </c>
      <c r="C509">
        <v>189</v>
      </c>
      <c r="D509" s="9"/>
    </row>
    <row r="510" spans="1:4" x14ac:dyDescent="0.25">
      <c r="A510" s="9" t="str">
        <f t="shared" si="15"/>
        <v>91999</v>
      </c>
      <c r="B510" s="14">
        <v>36427</v>
      </c>
      <c r="C510">
        <v>-4257</v>
      </c>
      <c r="D510" s="9"/>
    </row>
    <row r="511" spans="1:4" x14ac:dyDescent="0.25">
      <c r="A511" s="9" t="str">
        <f t="shared" si="15"/>
        <v>101999</v>
      </c>
      <c r="B511" s="14">
        <v>36434</v>
      </c>
      <c r="C511">
        <v>-370</v>
      </c>
      <c r="D511" s="9"/>
    </row>
    <row r="512" spans="1:4" x14ac:dyDescent="0.25">
      <c r="A512" s="9" t="str">
        <f t="shared" si="15"/>
        <v>101999</v>
      </c>
      <c r="B512" s="14">
        <v>36441</v>
      </c>
      <c r="C512">
        <v>-7209</v>
      </c>
      <c r="D512" s="9"/>
    </row>
    <row r="513" spans="1:4" x14ac:dyDescent="0.25">
      <c r="A513" s="9" t="str">
        <f t="shared" si="15"/>
        <v>101999</v>
      </c>
      <c r="B513" s="14">
        <v>36448</v>
      </c>
      <c r="C513">
        <v>3423</v>
      </c>
      <c r="D513" s="9"/>
    </row>
    <row r="514" spans="1:4" x14ac:dyDescent="0.25">
      <c r="A514" s="9" t="str">
        <f t="shared" si="15"/>
        <v>101999</v>
      </c>
      <c r="B514" s="14">
        <v>36455</v>
      </c>
      <c r="C514">
        <v>269</v>
      </c>
      <c r="D514" s="9"/>
    </row>
    <row r="515" spans="1:4" x14ac:dyDescent="0.25">
      <c r="A515" s="9" t="str">
        <f t="shared" si="15"/>
        <v>101999</v>
      </c>
      <c r="B515" s="14">
        <v>36462</v>
      </c>
      <c r="C515">
        <v>3721</v>
      </c>
      <c r="D515" s="9"/>
    </row>
    <row r="516" spans="1:4" x14ac:dyDescent="0.25">
      <c r="A516" s="9" t="str">
        <f t="shared" ref="A516:A579" si="16">MONTH(B516)&amp;YEAR(B516)</f>
        <v>111999</v>
      </c>
      <c r="B516" s="14">
        <v>36469</v>
      </c>
      <c r="C516">
        <v>398</v>
      </c>
      <c r="D516" s="9"/>
    </row>
    <row r="517" spans="1:4" x14ac:dyDescent="0.25">
      <c r="A517" s="9" t="str">
        <f t="shared" si="16"/>
        <v>111999</v>
      </c>
      <c r="B517" s="14">
        <v>36476</v>
      </c>
      <c r="C517">
        <v>1800</v>
      </c>
      <c r="D517" s="9"/>
    </row>
    <row r="518" spans="1:4" x14ac:dyDescent="0.25">
      <c r="A518" s="9" t="str">
        <f t="shared" si="16"/>
        <v>111999</v>
      </c>
      <c r="B518" s="14">
        <v>36483</v>
      </c>
      <c r="C518">
        <v>-3063</v>
      </c>
      <c r="D518" s="9"/>
    </row>
    <row r="519" spans="1:4" x14ac:dyDescent="0.25">
      <c r="A519" s="9" t="str">
        <f t="shared" si="16"/>
        <v>111999</v>
      </c>
      <c r="B519" s="14">
        <v>36490</v>
      </c>
      <c r="C519">
        <v>-4354</v>
      </c>
      <c r="D519" s="9"/>
    </row>
    <row r="520" spans="1:4" x14ac:dyDescent="0.25">
      <c r="A520" s="9" t="str">
        <f t="shared" si="16"/>
        <v>121999</v>
      </c>
      <c r="B520" s="14">
        <v>36497</v>
      </c>
      <c r="C520">
        <v>-751</v>
      </c>
      <c r="D520" s="9"/>
    </row>
    <row r="521" spans="1:4" x14ac:dyDescent="0.25">
      <c r="A521" s="9" t="str">
        <f t="shared" si="16"/>
        <v>121999</v>
      </c>
      <c r="B521" s="14">
        <v>36504</v>
      </c>
      <c r="C521">
        <v>-5586</v>
      </c>
      <c r="D521" s="9"/>
    </row>
    <row r="522" spans="1:4" x14ac:dyDescent="0.25">
      <c r="A522" s="9" t="str">
        <f t="shared" si="16"/>
        <v>121999</v>
      </c>
      <c r="B522" s="14">
        <v>36511</v>
      </c>
      <c r="C522">
        <v>-831</v>
      </c>
      <c r="D522" s="9"/>
    </row>
    <row r="523" spans="1:4" x14ac:dyDescent="0.25">
      <c r="A523" s="9" t="str">
        <f t="shared" si="16"/>
        <v>121999</v>
      </c>
      <c r="B523" s="14">
        <v>36518</v>
      </c>
      <c r="C523">
        <v>-301</v>
      </c>
      <c r="D523" s="9"/>
    </row>
    <row r="524" spans="1:4" x14ac:dyDescent="0.25">
      <c r="A524" s="9" t="str">
        <f t="shared" si="16"/>
        <v>121999</v>
      </c>
      <c r="B524" s="14">
        <v>36525</v>
      </c>
      <c r="C524">
        <v>-1719</v>
      </c>
      <c r="D524" s="9"/>
    </row>
    <row r="525" spans="1:4" x14ac:dyDescent="0.25">
      <c r="A525" s="9" t="str">
        <f t="shared" si="16"/>
        <v>12000</v>
      </c>
      <c r="B525" s="14">
        <v>36532</v>
      </c>
      <c r="C525">
        <v>3084</v>
      </c>
      <c r="D525" s="9"/>
    </row>
    <row r="526" spans="1:4" x14ac:dyDescent="0.25">
      <c r="A526" s="9" t="str">
        <f t="shared" si="16"/>
        <v>12000</v>
      </c>
      <c r="B526" s="14">
        <v>36539</v>
      </c>
      <c r="C526">
        <v>-85</v>
      </c>
      <c r="D526" s="9"/>
    </row>
    <row r="527" spans="1:4" x14ac:dyDescent="0.25">
      <c r="A527" s="9" t="str">
        <f t="shared" si="16"/>
        <v>12000</v>
      </c>
      <c r="B527" s="14">
        <v>36546</v>
      </c>
      <c r="C527">
        <v>-2432</v>
      </c>
      <c r="D527" s="9"/>
    </row>
    <row r="528" spans="1:4" x14ac:dyDescent="0.25">
      <c r="A528" s="9" t="str">
        <f t="shared" si="16"/>
        <v>12000</v>
      </c>
      <c r="B528" s="14">
        <v>36553</v>
      </c>
      <c r="C528">
        <v>-8418</v>
      </c>
      <c r="D528" s="9"/>
    </row>
    <row r="529" spans="1:4" x14ac:dyDescent="0.25">
      <c r="A529" s="9" t="str">
        <f t="shared" si="16"/>
        <v>22000</v>
      </c>
      <c r="B529" s="14">
        <v>36560</v>
      </c>
      <c r="C529">
        <v>3544</v>
      </c>
      <c r="D529" s="9"/>
    </row>
    <row r="530" spans="1:4" x14ac:dyDescent="0.25">
      <c r="A530" s="9" t="str">
        <f t="shared" si="16"/>
        <v>22000</v>
      </c>
      <c r="B530" s="14">
        <v>36567</v>
      </c>
      <c r="C530">
        <v>-186</v>
      </c>
      <c r="D530" s="9"/>
    </row>
    <row r="531" spans="1:4" x14ac:dyDescent="0.25">
      <c r="A531" s="9" t="str">
        <f t="shared" si="16"/>
        <v>22000</v>
      </c>
      <c r="B531" s="14">
        <v>36574</v>
      </c>
      <c r="C531">
        <v>-309</v>
      </c>
      <c r="D531" s="9"/>
    </row>
    <row r="532" spans="1:4" x14ac:dyDescent="0.25">
      <c r="A532" s="9" t="str">
        <f t="shared" si="16"/>
        <v>22000</v>
      </c>
      <c r="B532" s="14">
        <v>36581</v>
      </c>
      <c r="C532">
        <v>329</v>
      </c>
      <c r="D532" s="9"/>
    </row>
    <row r="533" spans="1:4" x14ac:dyDescent="0.25">
      <c r="A533" s="9" t="str">
        <f t="shared" si="16"/>
        <v>32000</v>
      </c>
      <c r="B533" s="14">
        <v>36588</v>
      </c>
      <c r="C533">
        <v>4632</v>
      </c>
      <c r="D533" s="9"/>
    </row>
    <row r="534" spans="1:4" x14ac:dyDescent="0.25">
      <c r="A534" s="9" t="str">
        <f t="shared" si="16"/>
        <v>32000</v>
      </c>
      <c r="B534" s="14">
        <v>36595</v>
      </c>
      <c r="C534">
        <v>431</v>
      </c>
      <c r="D534" s="9"/>
    </row>
    <row r="535" spans="1:4" x14ac:dyDescent="0.25">
      <c r="A535" s="9" t="str">
        <f t="shared" si="16"/>
        <v>32000</v>
      </c>
      <c r="B535" s="14">
        <v>36602</v>
      </c>
      <c r="C535">
        <v>1639</v>
      </c>
      <c r="D535" s="9"/>
    </row>
    <row r="536" spans="1:4" x14ac:dyDescent="0.25">
      <c r="A536" s="9" t="str">
        <f t="shared" si="16"/>
        <v>32000</v>
      </c>
      <c r="B536" s="14">
        <v>36609</v>
      </c>
      <c r="C536">
        <v>-150</v>
      </c>
      <c r="D536" s="9"/>
    </row>
    <row r="537" spans="1:4" x14ac:dyDescent="0.25">
      <c r="A537" s="9" t="str">
        <f t="shared" si="16"/>
        <v>32000</v>
      </c>
      <c r="B537" s="14">
        <v>36616</v>
      </c>
      <c r="C537">
        <v>1502</v>
      </c>
      <c r="D537" s="9"/>
    </row>
    <row r="538" spans="1:4" x14ac:dyDescent="0.25">
      <c r="A538" s="9" t="str">
        <f t="shared" si="16"/>
        <v>42000</v>
      </c>
      <c r="B538" s="14">
        <v>36623</v>
      </c>
      <c r="C538">
        <v>2884</v>
      </c>
      <c r="D538" s="9"/>
    </row>
    <row r="539" spans="1:4" x14ac:dyDescent="0.25">
      <c r="A539" s="9" t="str">
        <f t="shared" si="16"/>
        <v>42000</v>
      </c>
      <c r="B539" s="14">
        <v>36630</v>
      </c>
      <c r="C539">
        <v>5494</v>
      </c>
      <c r="D539" s="9"/>
    </row>
    <row r="540" spans="1:4" x14ac:dyDescent="0.25">
      <c r="A540" s="9" t="str">
        <f t="shared" si="16"/>
        <v>42000</v>
      </c>
      <c r="B540" s="14">
        <v>36637</v>
      </c>
      <c r="C540">
        <v>5070</v>
      </c>
      <c r="D540" s="9"/>
    </row>
    <row r="541" spans="1:4" x14ac:dyDescent="0.25">
      <c r="A541" s="9" t="str">
        <f t="shared" si="16"/>
        <v>42000</v>
      </c>
      <c r="B541" s="14">
        <v>36644</v>
      </c>
      <c r="C541">
        <v>-3264</v>
      </c>
      <c r="D541" s="9"/>
    </row>
    <row r="542" spans="1:4" x14ac:dyDescent="0.25">
      <c r="A542" s="9" t="str">
        <f t="shared" si="16"/>
        <v>52000</v>
      </c>
      <c r="B542" s="14">
        <v>36651</v>
      </c>
      <c r="C542">
        <v>4490</v>
      </c>
      <c r="D542" s="9"/>
    </row>
    <row r="543" spans="1:4" x14ac:dyDescent="0.25">
      <c r="A543" s="9" t="str">
        <f t="shared" si="16"/>
        <v>52000</v>
      </c>
      <c r="B543" s="14">
        <v>36658</v>
      </c>
      <c r="C543">
        <v>250</v>
      </c>
      <c r="D543" s="9"/>
    </row>
    <row r="544" spans="1:4" x14ac:dyDescent="0.25">
      <c r="A544" s="9" t="str">
        <f t="shared" si="16"/>
        <v>52000</v>
      </c>
      <c r="B544" s="14">
        <v>36665</v>
      </c>
      <c r="C544">
        <v>949</v>
      </c>
      <c r="D544" s="9"/>
    </row>
    <row r="545" spans="1:4" x14ac:dyDescent="0.25">
      <c r="A545" s="9" t="str">
        <f t="shared" si="16"/>
        <v>52000</v>
      </c>
      <c r="B545" s="14">
        <v>36672</v>
      </c>
      <c r="C545">
        <v>-4601</v>
      </c>
      <c r="D545" s="9"/>
    </row>
    <row r="546" spans="1:4" x14ac:dyDescent="0.25">
      <c r="A546" s="9" t="str">
        <f t="shared" si="16"/>
        <v>62000</v>
      </c>
      <c r="B546" s="14">
        <v>36679</v>
      </c>
      <c r="C546">
        <v>-3989</v>
      </c>
      <c r="D546" s="9"/>
    </row>
    <row r="547" spans="1:4" x14ac:dyDescent="0.25">
      <c r="A547" s="9" t="str">
        <f t="shared" si="16"/>
        <v>62000</v>
      </c>
      <c r="B547" s="14">
        <v>36686</v>
      </c>
      <c r="C547">
        <v>-1436</v>
      </c>
      <c r="D547" s="9"/>
    </row>
    <row r="548" spans="1:4" x14ac:dyDescent="0.25">
      <c r="A548" s="9" t="str">
        <f t="shared" si="16"/>
        <v>62000</v>
      </c>
      <c r="B548" s="14">
        <v>36693</v>
      </c>
      <c r="C548">
        <v>-4561</v>
      </c>
      <c r="D548" s="9"/>
    </row>
    <row r="549" spans="1:4" x14ac:dyDescent="0.25">
      <c r="A549" s="9" t="str">
        <f t="shared" si="16"/>
        <v>62000</v>
      </c>
      <c r="B549" s="14">
        <v>36700</v>
      </c>
      <c r="C549">
        <v>327</v>
      </c>
      <c r="D549" s="9"/>
    </row>
    <row r="550" spans="1:4" x14ac:dyDescent="0.25">
      <c r="A550" s="9" t="str">
        <f t="shared" si="16"/>
        <v>62000</v>
      </c>
      <c r="B550" s="14">
        <v>36707</v>
      </c>
      <c r="C550">
        <v>-1794</v>
      </c>
      <c r="D550" s="9"/>
    </row>
    <row r="551" spans="1:4" x14ac:dyDescent="0.25">
      <c r="A551" s="9" t="str">
        <f t="shared" si="16"/>
        <v>72000</v>
      </c>
      <c r="B551" s="14">
        <v>36714</v>
      </c>
      <c r="C551">
        <v>1142</v>
      </c>
      <c r="D551" s="9"/>
    </row>
    <row r="552" spans="1:4" x14ac:dyDescent="0.25">
      <c r="A552" s="9" t="str">
        <f t="shared" si="16"/>
        <v>72000</v>
      </c>
      <c r="B552" s="14">
        <v>36721</v>
      </c>
      <c r="C552">
        <v>-485</v>
      </c>
      <c r="D552" s="9"/>
    </row>
    <row r="553" spans="1:4" x14ac:dyDescent="0.25">
      <c r="A553" s="9" t="str">
        <f t="shared" si="16"/>
        <v>72000</v>
      </c>
      <c r="B553" s="14">
        <v>36728</v>
      </c>
      <c r="C553">
        <v>274</v>
      </c>
      <c r="D553" s="9"/>
    </row>
    <row r="554" spans="1:4" x14ac:dyDescent="0.25">
      <c r="A554" s="9" t="str">
        <f t="shared" si="16"/>
        <v>72000</v>
      </c>
      <c r="B554" s="14">
        <v>36735</v>
      </c>
      <c r="C554">
        <v>-10553</v>
      </c>
      <c r="D554" s="9"/>
    </row>
    <row r="555" spans="1:4" x14ac:dyDescent="0.25">
      <c r="A555" s="9" t="str">
        <f t="shared" si="16"/>
        <v>82000</v>
      </c>
      <c r="B555" s="14">
        <v>36742</v>
      </c>
      <c r="C555">
        <v>1337</v>
      </c>
      <c r="D555" s="9"/>
    </row>
    <row r="556" spans="1:4" x14ac:dyDescent="0.25">
      <c r="A556" s="9" t="str">
        <f t="shared" si="16"/>
        <v>82000</v>
      </c>
      <c r="B556" s="14">
        <v>36749</v>
      </c>
      <c r="C556">
        <v>3400</v>
      </c>
      <c r="D556" s="9"/>
    </row>
    <row r="557" spans="1:4" x14ac:dyDescent="0.25">
      <c r="A557" s="9" t="str">
        <f t="shared" si="16"/>
        <v>82000</v>
      </c>
      <c r="B557" s="14">
        <v>36756</v>
      </c>
      <c r="C557">
        <v>-4158</v>
      </c>
      <c r="D557" s="9"/>
    </row>
    <row r="558" spans="1:4" x14ac:dyDescent="0.25">
      <c r="A558" s="9" t="str">
        <f t="shared" si="16"/>
        <v>82000</v>
      </c>
      <c r="B558" s="14">
        <v>36763</v>
      </c>
      <c r="C558">
        <v>2047</v>
      </c>
      <c r="D558" s="9"/>
    </row>
    <row r="559" spans="1:4" x14ac:dyDescent="0.25">
      <c r="A559" s="9" t="str">
        <f t="shared" si="16"/>
        <v>92000</v>
      </c>
      <c r="B559" s="14">
        <v>36770</v>
      </c>
      <c r="C559">
        <v>2735</v>
      </c>
      <c r="D559" s="9"/>
    </row>
    <row r="560" spans="1:4" x14ac:dyDescent="0.25">
      <c r="A560" s="9" t="str">
        <f t="shared" si="16"/>
        <v>92000</v>
      </c>
      <c r="B560" s="14">
        <v>36777</v>
      </c>
      <c r="C560">
        <v>-927</v>
      </c>
      <c r="D560" s="9"/>
    </row>
    <row r="561" spans="1:4" x14ac:dyDescent="0.25">
      <c r="A561" s="9" t="str">
        <f t="shared" si="16"/>
        <v>92000</v>
      </c>
      <c r="B561" s="14">
        <v>36784</v>
      </c>
      <c r="C561">
        <v>-2482</v>
      </c>
      <c r="D561" s="9"/>
    </row>
    <row r="562" spans="1:4" x14ac:dyDescent="0.25">
      <c r="A562" s="9" t="str">
        <f t="shared" si="16"/>
        <v>92000</v>
      </c>
      <c r="B562" s="14">
        <v>36791</v>
      </c>
      <c r="C562">
        <v>-501</v>
      </c>
      <c r="D562" s="9"/>
    </row>
    <row r="563" spans="1:4" x14ac:dyDescent="0.25">
      <c r="A563" s="9" t="str">
        <f t="shared" si="16"/>
        <v>92000</v>
      </c>
      <c r="B563" s="14">
        <v>36798</v>
      </c>
      <c r="C563">
        <v>1092</v>
      </c>
      <c r="D563" s="9"/>
    </row>
    <row r="564" spans="1:4" x14ac:dyDescent="0.25">
      <c r="A564" s="9" t="str">
        <f t="shared" si="16"/>
        <v>102000</v>
      </c>
      <c r="B564" s="14">
        <v>36805</v>
      </c>
      <c r="C564">
        <v>1077</v>
      </c>
      <c r="D564" s="9"/>
    </row>
    <row r="565" spans="1:4" x14ac:dyDescent="0.25">
      <c r="A565" s="9" t="str">
        <f t="shared" si="16"/>
        <v>102000</v>
      </c>
      <c r="B565" s="14">
        <v>36812</v>
      </c>
      <c r="C565">
        <v>-4517</v>
      </c>
      <c r="D565" s="9"/>
    </row>
    <row r="566" spans="1:4" x14ac:dyDescent="0.25">
      <c r="A566" s="9" t="str">
        <f t="shared" si="16"/>
        <v>102000</v>
      </c>
      <c r="B566" s="14">
        <v>36819</v>
      </c>
      <c r="C566">
        <v>2405</v>
      </c>
      <c r="D566" s="9"/>
    </row>
    <row r="567" spans="1:4" x14ac:dyDescent="0.25">
      <c r="A567" s="9" t="str">
        <f t="shared" si="16"/>
        <v>102000</v>
      </c>
      <c r="B567" s="14">
        <v>36826</v>
      </c>
      <c r="C567">
        <v>-1489</v>
      </c>
      <c r="D567" s="9"/>
    </row>
    <row r="568" spans="1:4" x14ac:dyDescent="0.25">
      <c r="A568" s="9" t="str">
        <f t="shared" si="16"/>
        <v>112000</v>
      </c>
      <c r="B568" s="14">
        <v>36833</v>
      </c>
      <c r="C568">
        <v>-1619</v>
      </c>
      <c r="D568" s="9"/>
    </row>
    <row r="569" spans="1:4" x14ac:dyDescent="0.25">
      <c r="A569" s="9" t="str">
        <f t="shared" si="16"/>
        <v>112000</v>
      </c>
      <c r="B569" s="14">
        <v>36840</v>
      </c>
      <c r="C569">
        <v>1497</v>
      </c>
      <c r="D569" s="9"/>
    </row>
    <row r="570" spans="1:4" x14ac:dyDescent="0.25">
      <c r="A570" s="9" t="str">
        <f t="shared" si="16"/>
        <v>112000</v>
      </c>
      <c r="B570" s="14">
        <v>36847</v>
      </c>
      <c r="C570">
        <v>6164</v>
      </c>
      <c r="D570" s="9"/>
    </row>
    <row r="571" spans="1:4" x14ac:dyDescent="0.25">
      <c r="A571" s="9" t="str">
        <f t="shared" si="16"/>
        <v>112000</v>
      </c>
      <c r="B571" s="14">
        <v>36854</v>
      </c>
      <c r="C571">
        <v>-78</v>
      </c>
      <c r="D571" s="9"/>
    </row>
    <row r="572" spans="1:4" x14ac:dyDescent="0.25">
      <c r="A572" s="9" t="str">
        <f t="shared" si="16"/>
        <v>122000</v>
      </c>
      <c r="B572" s="14">
        <v>36861</v>
      </c>
      <c r="C572">
        <v>1997</v>
      </c>
      <c r="D572" s="9"/>
    </row>
    <row r="573" spans="1:4" x14ac:dyDescent="0.25">
      <c r="A573" s="9" t="str">
        <f t="shared" si="16"/>
        <v>122000</v>
      </c>
      <c r="B573" s="14">
        <v>36868</v>
      </c>
      <c r="C573">
        <v>-3369</v>
      </c>
      <c r="D573" s="9"/>
    </row>
    <row r="574" spans="1:4" x14ac:dyDescent="0.25">
      <c r="A574" s="9" t="str">
        <f t="shared" si="16"/>
        <v>122000</v>
      </c>
      <c r="B574" s="14">
        <v>36875</v>
      </c>
      <c r="C574">
        <v>3033</v>
      </c>
      <c r="D574" s="9"/>
    </row>
    <row r="575" spans="1:4" x14ac:dyDescent="0.25">
      <c r="A575" s="9" t="str">
        <f t="shared" si="16"/>
        <v>122000</v>
      </c>
      <c r="B575" s="14">
        <v>36882</v>
      </c>
      <c r="C575">
        <v>-1251</v>
      </c>
      <c r="D575" s="9"/>
    </row>
    <row r="576" spans="1:4" x14ac:dyDescent="0.25">
      <c r="A576" s="9" t="str">
        <f t="shared" si="16"/>
        <v>122000</v>
      </c>
      <c r="B576" s="14">
        <v>36889</v>
      </c>
      <c r="C576">
        <v>-1837</v>
      </c>
      <c r="D576" s="9"/>
    </row>
    <row r="577" spans="1:4" x14ac:dyDescent="0.25">
      <c r="A577" s="9" t="str">
        <f t="shared" si="16"/>
        <v>12001</v>
      </c>
      <c r="B577" s="14">
        <v>36896</v>
      </c>
      <c r="C577">
        <v>-351</v>
      </c>
      <c r="D577" s="9"/>
    </row>
    <row r="578" spans="1:4" x14ac:dyDescent="0.25">
      <c r="A578" s="9" t="str">
        <f t="shared" si="16"/>
        <v>12001</v>
      </c>
      <c r="B578" s="14">
        <v>36903</v>
      </c>
      <c r="C578">
        <v>-1010</v>
      </c>
      <c r="D578" s="9"/>
    </row>
    <row r="579" spans="1:4" x14ac:dyDescent="0.25">
      <c r="A579" s="9" t="str">
        <f t="shared" si="16"/>
        <v>12001</v>
      </c>
      <c r="B579" s="14">
        <v>36910</v>
      </c>
      <c r="C579">
        <v>-1110</v>
      </c>
      <c r="D579" s="9"/>
    </row>
    <row r="580" spans="1:4" x14ac:dyDescent="0.25">
      <c r="A580" s="9" t="str">
        <f t="shared" ref="A580:A643" si="17">MONTH(B580)&amp;YEAR(B580)</f>
        <v>12001</v>
      </c>
      <c r="B580" s="14">
        <v>36917</v>
      </c>
      <c r="C580">
        <v>-3570</v>
      </c>
      <c r="D580" s="9"/>
    </row>
    <row r="581" spans="1:4" x14ac:dyDescent="0.25">
      <c r="A581" s="9" t="str">
        <f t="shared" si="17"/>
        <v>22001</v>
      </c>
      <c r="B581" s="14">
        <v>36924</v>
      </c>
      <c r="C581">
        <v>3000</v>
      </c>
      <c r="D581" s="9"/>
    </row>
    <row r="582" spans="1:4" x14ac:dyDescent="0.25">
      <c r="A582" s="9" t="str">
        <f t="shared" si="17"/>
        <v>22001</v>
      </c>
      <c r="B582" s="14">
        <v>36931</v>
      </c>
      <c r="C582">
        <v>3400</v>
      </c>
      <c r="D582" s="9"/>
    </row>
    <row r="583" spans="1:4" x14ac:dyDescent="0.25">
      <c r="A583" s="9" t="str">
        <f t="shared" si="17"/>
        <v>22001</v>
      </c>
      <c r="B583" s="14">
        <v>36938</v>
      </c>
      <c r="C583">
        <v>-11900</v>
      </c>
      <c r="D583" s="9"/>
    </row>
    <row r="584" spans="1:4" x14ac:dyDescent="0.25">
      <c r="A584" s="9" t="str">
        <f t="shared" si="17"/>
        <v>22001</v>
      </c>
      <c r="B584" s="14">
        <v>36945</v>
      </c>
      <c r="C584">
        <v>2900</v>
      </c>
      <c r="D584" s="9"/>
    </row>
    <row r="585" spans="1:4" x14ac:dyDescent="0.25">
      <c r="A585" s="9" t="str">
        <f t="shared" si="17"/>
        <v>32001</v>
      </c>
      <c r="B585" s="14">
        <v>36952</v>
      </c>
      <c r="C585">
        <v>-2700</v>
      </c>
      <c r="D585" s="9"/>
    </row>
    <row r="586" spans="1:4" x14ac:dyDescent="0.25">
      <c r="A586" s="9" t="str">
        <f t="shared" si="17"/>
        <v>32001</v>
      </c>
      <c r="B586" s="14">
        <v>36959</v>
      </c>
      <c r="C586">
        <v>8000</v>
      </c>
      <c r="D586" s="9"/>
    </row>
    <row r="587" spans="1:4" x14ac:dyDescent="0.25">
      <c r="A587" s="9" t="str">
        <f t="shared" si="17"/>
        <v>32001</v>
      </c>
      <c r="B587" s="14">
        <v>36966</v>
      </c>
      <c r="C587">
        <v>5000</v>
      </c>
      <c r="D587" s="9"/>
    </row>
    <row r="588" spans="1:4" x14ac:dyDescent="0.25">
      <c r="A588" s="9" t="str">
        <f t="shared" si="17"/>
        <v>32001</v>
      </c>
      <c r="B588" s="14">
        <v>36973</v>
      </c>
      <c r="C588">
        <v>11200</v>
      </c>
      <c r="D588" s="9"/>
    </row>
    <row r="589" spans="1:4" x14ac:dyDescent="0.25">
      <c r="A589" s="9" t="str">
        <f t="shared" si="17"/>
        <v>32001</v>
      </c>
      <c r="B589" s="14">
        <v>36980</v>
      </c>
      <c r="C589">
        <v>1700</v>
      </c>
      <c r="D589" s="9"/>
    </row>
    <row r="590" spans="1:4" x14ac:dyDescent="0.25">
      <c r="A590" s="9" t="str">
        <f t="shared" si="17"/>
        <v>42001</v>
      </c>
      <c r="B590" s="14">
        <v>36987</v>
      </c>
      <c r="C590">
        <v>3900</v>
      </c>
      <c r="D590" s="9"/>
    </row>
    <row r="591" spans="1:4" x14ac:dyDescent="0.25">
      <c r="A591" s="9" t="str">
        <f t="shared" si="17"/>
        <v>42001</v>
      </c>
      <c r="B591" s="14">
        <v>36994</v>
      </c>
      <c r="C591">
        <v>6200</v>
      </c>
      <c r="D591" s="9"/>
    </row>
    <row r="592" spans="1:4" x14ac:dyDescent="0.25">
      <c r="A592" s="9" t="str">
        <f t="shared" si="17"/>
        <v>42001</v>
      </c>
      <c r="B592" s="14">
        <v>37001</v>
      </c>
      <c r="C592">
        <v>-1400</v>
      </c>
      <c r="D592" s="9"/>
    </row>
    <row r="593" spans="1:4" x14ac:dyDescent="0.25">
      <c r="A593" s="9" t="str">
        <f t="shared" si="17"/>
        <v>42001</v>
      </c>
      <c r="B593" s="14">
        <v>37008</v>
      </c>
      <c r="C593">
        <v>6300</v>
      </c>
      <c r="D593" s="9"/>
    </row>
    <row r="594" spans="1:4" x14ac:dyDescent="0.25">
      <c r="A594" s="9" t="str">
        <f t="shared" si="17"/>
        <v>52001</v>
      </c>
      <c r="B594" s="14">
        <v>37015</v>
      </c>
      <c r="C594">
        <v>600</v>
      </c>
      <c r="D594" s="9"/>
    </row>
    <row r="595" spans="1:4" x14ac:dyDescent="0.25">
      <c r="A595" s="9" t="str">
        <f t="shared" si="17"/>
        <v>52001</v>
      </c>
      <c r="B595" s="14">
        <v>37022</v>
      </c>
      <c r="C595">
        <v>2400</v>
      </c>
      <c r="D595" s="9"/>
    </row>
    <row r="596" spans="1:4" x14ac:dyDescent="0.25">
      <c r="A596" s="9" t="str">
        <f t="shared" si="17"/>
        <v>52001</v>
      </c>
      <c r="B596" s="14">
        <v>37029</v>
      </c>
      <c r="C596">
        <v>3400</v>
      </c>
      <c r="D596" s="9"/>
    </row>
    <row r="597" spans="1:4" x14ac:dyDescent="0.25">
      <c r="A597" s="9" t="str">
        <f t="shared" si="17"/>
        <v>52001</v>
      </c>
      <c r="B597" s="14">
        <v>37036</v>
      </c>
      <c r="C597">
        <v>-1800</v>
      </c>
      <c r="D597" s="9"/>
    </row>
    <row r="598" spans="1:4" x14ac:dyDescent="0.25">
      <c r="A598" s="9" t="str">
        <f t="shared" si="17"/>
        <v>62001</v>
      </c>
      <c r="B598" s="14">
        <v>37043</v>
      </c>
      <c r="C598">
        <v>1600</v>
      </c>
      <c r="D598" s="9"/>
    </row>
    <row r="599" spans="1:4" x14ac:dyDescent="0.25">
      <c r="A599" s="9" t="str">
        <f t="shared" si="17"/>
        <v>62001</v>
      </c>
      <c r="B599" s="14">
        <v>37050</v>
      </c>
      <c r="C599">
        <v>-8200</v>
      </c>
      <c r="D599" s="9"/>
    </row>
    <row r="600" spans="1:4" x14ac:dyDescent="0.25">
      <c r="A600" s="9" t="str">
        <f t="shared" si="17"/>
        <v>62001</v>
      </c>
      <c r="B600" s="14">
        <v>37057</v>
      </c>
      <c r="C600">
        <v>-700</v>
      </c>
      <c r="D600" s="9"/>
    </row>
    <row r="601" spans="1:4" x14ac:dyDescent="0.25">
      <c r="A601" s="9" t="str">
        <f t="shared" si="17"/>
        <v>62001</v>
      </c>
      <c r="B601" s="14">
        <v>37064</v>
      </c>
      <c r="C601">
        <v>-8</v>
      </c>
      <c r="D601" s="9"/>
    </row>
    <row r="602" spans="1:4" x14ac:dyDescent="0.25">
      <c r="A602" s="9" t="str">
        <f t="shared" si="17"/>
        <v>62001</v>
      </c>
      <c r="B602" s="14">
        <v>37071</v>
      </c>
      <c r="C602">
        <v>-4800</v>
      </c>
      <c r="D602" s="9"/>
    </row>
    <row r="603" spans="1:4" x14ac:dyDescent="0.25">
      <c r="A603" s="9" t="str">
        <f t="shared" si="17"/>
        <v>72001</v>
      </c>
      <c r="B603" s="14">
        <v>37078</v>
      </c>
      <c r="C603">
        <v>-2900</v>
      </c>
      <c r="D603" s="9"/>
    </row>
    <row r="604" spans="1:4" x14ac:dyDescent="0.25">
      <c r="A604" s="9" t="str">
        <f t="shared" si="17"/>
        <v>72001</v>
      </c>
      <c r="B604" s="14">
        <v>37085</v>
      </c>
      <c r="C604">
        <v>7000</v>
      </c>
      <c r="D604" s="9"/>
    </row>
    <row r="605" spans="1:4" x14ac:dyDescent="0.25">
      <c r="A605" s="9" t="str">
        <f t="shared" si="17"/>
        <v>72001</v>
      </c>
      <c r="B605" s="14">
        <v>37092</v>
      </c>
      <c r="C605">
        <v>1400</v>
      </c>
      <c r="D605" s="9"/>
    </row>
    <row r="606" spans="1:4" x14ac:dyDescent="0.25">
      <c r="A606" s="9" t="str">
        <f t="shared" si="17"/>
        <v>72001</v>
      </c>
      <c r="B606" s="14">
        <v>37099</v>
      </c>
      <c r="C606">
        <v>-1100</v>
      </c>
      <c r="D606" s="9"/>
    </row>
    <row r="607" spans="1:4" x14ac:dyDescent="0.25">
      <c r="A607" s="9" t="str">
        <f t="shared" si="17"/>
        <v>82001</v>
      </c>
      <c r="B607" s="14">
        <v>37106</v>
      </c>
      <c r="C607">
        <v>-6500</v>
      </c>
      <c r="D607" s="9"/>
    </row>
    <row r="608" spans="1:4" x14ac:dyDescent="0.25">
      <c r="A608" s="9" t="str">
        <f t="shared" si="17"/>
        <v>82001</v>
      </c>
      <c r="B608" s="14">
        <v>37113</v>
      </c>
      <c r="C608">
        <v>-2800</v>
      </c>
      <c r="D608" s="9"/>
    </row>
    <row r="609" spans="1:4" x14ac:dyDescent="0.25">
      <c r="A609" s="9" t="str">
        <f t="shared" si="17"/>
        <v>82001</v>
      </c>
      <c r="B609" s="14">
        <v>37120</v>
      </c>
      <c r="C609">
        <v>-4000</v>
      </c>
      <c r="D609" s="9"/>
    </row>
    <row r="610" spans="1:4" x14ac:dyDescent="0.25">
      <c r="A610" s="9" t="str">
        <f t="shared" si="17"/>
        <v>82001</v>
      </c>
      <c r="B610" s="14">
        <v>37127</v>
      </c>
      <c r="C610">
        <v>2700</v>
      </c>
      <c r="D610" s="9"/>
    </row>
    <row r="611" spans="1:4" x14ac:dyDescent="0.25">
      <c r="A611" s="9" t="str">
        <f t="shared" si="17"/>
        <v>82001</v>
      </c>
      <c r="B611" s="14">
        <v>37134</v>
      </c>
      <c r="C611">
        <v>-2000</v>
      </c>
      <c r="D611" s="9"/>
    </row>
    <row r="612" spans="1:4" x14ac:dyDescent="0.25">
      <c r="A612" s="9" t="str">
        <f t="shared" si="17"/>
        <v>92001</v>
      </c>
      <c r="B612" s="14">
        <v>37141</v>
      </c>
      <c r="C612">
        <v>800</v>
      </c>
      <c r="D612" s="9"/>
    </row>
    <row r="613" spans="1:4" x14ac:dyDescent="0.25">
      <c r="A613" s="9" t="str">
        <f t="shared" si="17"/>
        <v>92001</v>
      </c>
      <c r="B613" s="14">
        <v>37148</v>
      </c>
      <c r="C613">
        <v>-600</v>
      </c>
      <c r="D613" s="9"/>
    </row>
    <row r="614" spans="1:4" x14ac:dyDescent="0.25">
      <c r="A614" s="9" t="str">
        <f t="shared" si="17"/>
        <v>92001</v>
      </c>
      <c r="B614" s="14">
        <v>37155</v>
      </c>
      <c r="C614">
        <v>3200</v>
      </c>
      <c r="D614" s="9"/>
    </row>
    <row r="615" spans="1:4" x14ac:dyDescent="0.25">
      <c r="A615" s="9" t="str">
        <f t="shared" si="17"/>
        <v>92001</v>
      </c>
      <c r="B615" s="14">
        <v>37162</v>
      </c>
      <c r="C615">
        <v>1600</v>
      </c>
      <c r="D615" s="9"/>
    </row>
    <row r="616" spans="1:4" x14ac:dyDescent="0.25">
      <c r="A616" s="9" t="str">
        <f t="shared" si="17"/>
        <v>102001</v>
      </c>
      <c r="B616" s="14">
        <v>37169</v>
      </c>
      <c r="C616">
        <v>-100</v>
      </c>
      <c r="D616" s="9"/>
    </row>
    <row r="617" spans="1:4" x14ac:dyDescent="0.25">
      <c r="A617" s="9" t="str">
        <f t="shared" si="17"/>
        <v>102001</v>
      </c>
      <c r="B617" s="14">
        <v>37176</v>
      </c>
      <c r="C617">
        <v>-4400</v>
      </c>
      <c r="D617" s="9"/>
    </row>
    <row r="618" spans="1:4" x14ac:dyDescent="0.25">
      <c r="A618" s="9" t="str">
        <f t="shared" si="17"/>
        <v>102001</v>
      </c>
      <c r="B618" s="14">
        <v>37183</v>
      </c>
      <c r="C618">
        <v>2800</v>
      </c>
      <c r="D618" s="9"/>
    </row>
    <row r="619" spans="1:4" x14ac:dyDescent="0.25">
      <c r="A619" s="9" t="str">
        <f t="shared" si="17"/>
        <v>102001</v>
      </c>
      <c r="B619" s="14">
        <v>37190</v>
      </c>
      <c r="C619">
        <v>2500</v>
      </c>
      <c r="D619" s="9"/>
    </row>
    <row r="620" spans="1:4" x14ac:dyDescent="0.25">
      <c r="A620" s="9" t="str">
        <f t="shared" si="17"/>
        <v>112001</v>
      </c>
      <c r="B620" s="14">
        <v>37197</v>
      </c>
      <c r="C620">
        <v>3600</v>
      </c>
      <c r="D620" s="9"/>
    </row>
    <row r="621" spans="1:4" x14ac:dyDescent="0.25">
      <c r="A621" s="9" t="str">
        <f t="shared" si="17"/>
        <v>112001</v>
      </c>
      <c r="B621" s="14">
        <v>37204</v>
      </c>
      <c r="C621">
        <v>-200</v>
      </c>
      <c r="D621" s="9"/>
    </row>
    <row r="622" spans="1:4" x14ac:dyDescent="0.25">
      <c r="A622" s="9" t="str">
        <f t="shared" si="17"/>
        <v>112001</v>
      </c>
      <c r="B622" s="14">
        <v>37211</v>
      </c>
      <c r="C622">
        <v>-1300</v>
      </c>
      <c r="D622" s="9"/>
    </row>
    <row r="623" spans="1:4" x14ac:dyDescent="0.25">
      <c r="A623" s="9" t="str">
        <f t="shared" si="17"/>
        <v>112001</v>
      </c>
      <c r="B623" s="14">
        <v>37218</v>
      </c>
      <c r="C623">
        <v>-3100</v>
      </c>
      <c r="D623" s="9"/>
    </row>
    <row r="624" spans="1:4" x14ac:dyDescent="0.25">
      <c r="A624" s="9" t="str">
        <f t="shared" si="17"/>
        <v>112001</v>
      </c>
      <c r="B624" s="14">
        <v>37225</v>
      </c>
      <c r="C624">
        <v>4200</v>
      </c>
      <c r="D624" s="9"/>
    </row>
    <row r="625" spans="1:4" x14ac:dyDescent="0.25">
      <c r="A625" s="9" t="str">
        <f t="shared" si="17"/>
        <v>122001</v>
      </c>
      <c r="B625" s="14">
        <v>37232</v>
      </c>
      <c r="C625">
        <v>-2400</v>
      </c>
      <c r="D625" s="9"/>
    </row>
    <row r="626" spans="1:4" x14ac:dyDescent="0.25">
      <c r="A626" s="9" t="str">
        <f t="shared" si="17"/>
        <v>122001</v>
      </c>
      <c r="B626" s="14">
        <v>37239</v>
      </c>
      <c r="C626">
        <v>400</v>
      </c>
      <c r="D626" s="9"/>
    </row>
    <row r="627" spans="1:4" x14ac:dyDescent="0.25">
      <c r="A627" s="9" t="str">
        <f t="shared" si="17"/>
        <v>122001</v>
      </c>
      <c r="B627" s="14">
        <v>37246</v>
      </c>
      <c r="C627">
        <v>2600</v>
      </c>
      <c r="D627" s="9"/>
    </row>
    <row r="628" spans="1:4" x14ac:dyDescent="0.25">
      <c r="A628" s="9" t="str">
        <f t="shared" si="17"/>
        <v>122001</v>
      </c>
      <c r="B628" s="14">
        <v>37253</v>
      </c>
      <c r="C628">
        <v>-2200</v>
      </c>
      <c r="D628" s="9"/>
    </row>
    <row r="629" spans="1:4" x14ac:dyDescent="0.25">
      <c r="A629" s="9" t="str">
        <f t="shared" si="17"/>
        <v>12002</v>
      </c>
      <c r="B629" s="14">
        <v>37260</v>
      </c>
      <c r="C629">
        <v>1200</v>
      </c>
      <c r="D629" s="9"/>
    </row>
    <row r="630" spans="1:4" x14ac:dyDescent="0.25">
      <c r="A630" s="9" t="str">
        <f t="shared" si="17"/>
        <v>12002</v>
      </c>
      <c r="B630" s="14">
        <v>37267</v>
      </c>
      <c r="C630">
        <v>1000</v>
      </c>
      <c r="D630" s="9"/>
    </row>
    <row r="631" spans="1:4" x14ac:dyDescent="0.25">
      <c r="A631" s="9" t="str">
        <f t="shared" si="17"/>
        <v>12002</v>
      </c>
      <c r="B631" s="14">
        <v>37274</v>
      </c>
      <c r="C631">
        <v>2700</v>
      </c>
      <c r="D631" s="9"/>
    </row>
    <row r="632" spans="1:4" x14ac:dyDescent="0.25">
      <c r="A632" s="9" t="str">
        <f t="shared" si="17"/>
        <v>12002</v>
      </c>
      <c r="B632" s="14">
        <v>37281</v>
      </c>
      <c r="C632">
        <v>2100</v>
      </c>
      <c r="D632" s="9"/>
    </row>
    <row r="633" spans="1:4" x14ac:dyDescent="0.25">
      <c r="A633" s="9" t="str">
        <f t="shared" si="17"/>
        <v>22002</v>
      </c>
      <c r="B633" s="14">
        <v>37288</v>
      </c>
      <c r="C633">
        <v>2400</v>
      </c>
      <c r="D633" s="9"/>
    </row>
    <row r="634" spans="1:4" x14ac:dyDescent="0.25">
      <c r="A634" s="9" t="str">
        <f t="shared" si="17"/>
        <v>22002</v>
      </c>
      <c r="B634" s="14">
        <v>37295</v>
      </c>
      <c r="C634">
        <v>2500</v>
      </c>
      <c r="D634" s="9"/>
    </row>
    <row r="635" spans="1:4" x14ac:dyDescent="0.25">
      <c r="A635" s="9" t="str">
        <f t="shared" si="17"/>
        <v>22002</v>
      </c>
      <c r="B635" s="14">
        <v>37302</v>
      </c>
      <c r="C635">
        <v>-3100</v>
      </c>
      <c r="D635" s="9"/>
    </row>
    <row r="636" spans="1:4" x14ac:dyDescent="0.25">
      <c r="A636" s="9" t="str">
        <f t="shared" si="17"/>
        <v>22002</v>
      </c>
      <c r="B636" s="14">
        <v>37309</v>
      </c>
      <c r="C636">
        <v>-2500</v>
      </c>
      <c r="D636" s="9"/>
    </row>
    <row r="637" spans="1:4" x14ac:dyDescent="0.25">
      <c r="A637" s="9" t="str">
        <f t="shared" si="17"/>
        <v>32002</v>
      </c>
      <c r="B637" s="14">
        <v>37316</v>
      </c>
      <c r="C637">
        <v>4300</v>
      </c>
      <c r="D637" s="9"/>
    </row>
    <row r="638" spans="1:4" x14ac:dyDescent="0.25">
      <c r="A638" s="9" t="str">
        <f t="shared" si="17"/>
        <v>32002</v>
      </c>
      <c r="B638" s="14">
        <v>37323</v>
      </c>
      <c r="C638">
        <v>400</v>
      </c>
      <c r="D638" s="9"/>
    </row>
    <row r="639" spans="1:4" x14ac:dyDescent="0.25">
      <c r="A639" s="9" t="str">
        <f t="shared" si="17"/>
        <v>32002</v>
      </c>
      <c r="B639" s="14">
        <v>37330</v>
      </c>
      <c r="C639">
        <v>2600</v>
      </c>
      <c r="D639" s="9"/>
    </row>
    <row r="640" spans="1:4" x14ac:dyDescent="0.25">
      <c r="A640" s="9" t="str">
        <f t="shared" si="17"/>
        <v>32002</v>
      </c>
      <c r="B640" s="14">
        <v>37337</v>
      </c>
      <c r="C640">
        <v>-4500</v>
      </c>
      <c r="D640" s="9"/>
    </row>
    <row r="641" spans="1:4" x14ac:dyDescent="0.25">
      <c r="A641" s="9" t="str">
        <f t="shared" si="17"/>
        <v>32002</v>
      </c>
      <c r="B641" s="14">
        <v>37344</v>
      </c>
      <c r="C641">
        <v>6100</v>
      </c>
      <c r="D641" s="9"/>
    </row>
    <row r="642" spans="1:4" x14ac:dyDescent="0.25">
      <c r="A642" s="9" t="str">
        <f t="shared" si="17"/>
        <v>42002</v>
      </c>
      <c r="B642" s="14">
        <v>37351</v>
      </c>
      <c r="C642">
        <v>-100</v>
      </c>
      <c r="D642" s="9"/>
    </row>
    <row r="643" spans="1:4" x14ac:dyDescent="0.25">
      <c r="A643" s="9" t="str">
        <f t="shared" si="17"/>
        <v>42002</v>
      </c>
      <c r="B643" s="14">
        <v>37358</v>
      </c>
      <c r="C643">
        <v>-5600</v>
      </c>
      <c r="D643" s="9"/>
    </row>
    <row r="644" spans="1:4" x14ac:dyDescent="0.25">
      <c r="A644" s="9" t="str">
        <f t="shared" ref="A644:A707" si="18">MONTH(B644)&amp;YEAR(B644)</f>
        <v>42002</v>
      </c>
      <c r="B644" s="14">
        <v>37365</v>
      </c>
      <c r="C644">
        <v>1500</v>
      </c>
      <c r="D644" s="9"/>
    </row>
    <row r="645" spans="1:4" x14ac:dyDescent="0.25">
      <c r="A645" s="9" t="str">
        <f t="shared" si="18"/>
        <v>42002</v>
      </c>
      <c r="B645" s="14">
        <v>37372</v>
      </c>
      <c r="C645">
        <v>4600</v>
      </c>
      <c r="D645" s="9"/>
    </row>
    <row r="646" spans="1:4" x14ac:dyDescent="0.25">
      <c r="A646" s="9" t="str">
        <f t="shared" si="18"/>
        <v>52002</v>
      </c>
      <c r="B646" s="14">
        <v>37379</v>
      </c>
      <c r="C646">
        <v>-5500</v>
      </c>
      <c r="D646" s="9"/>
    </row>
    <row r="647" spans="1:4" x14ac:dyDescent="0.25">
      <c r="A647" s="9" t="str">
        <f t="shared" si="18"/>
        <v>52002</v>
      </c>
      <c r="B647" s="14">
        <v>37386</v>
      </c>
      <c r="C647">
        <v>-4200</v>
      </c>
      <c r="D647" s="9"/>
    </row>
    <row r="648" spans="1:4" x14ac:dyDescent="0.25">
      <c r="A648" s="9" t="str">
        <f t="shared" si="18"/>
        <v>52002</v>
      </c>
      <c r="B648" s="14">
        <v>37393</v>
      </c>
      <c r="C648">
        <v>4600</v>
      </c>
      <c r="D648" s="9"/>
    </row>
    <row r="649" spans="1:4" x14ac:dyDescent="0.25">
      <c r="A649" s="9" t="str">
        <f t="shared" si="18"/>
        <v>52002</v>
      </c>
      <c r="B649" s="14">
        <v>37400</v>
      </c>
      <c r="C649">
        <v>-1500</v>
      </c>
      <c r="D649" s="9"/>
    </row>
    <row r="650" spans="1:4" x14ac:dyDescent="0.25">
      <c r="A650" s="9" t="str">
        <f t="shared" si="18"/>
        <v>52002</v>
      </c>
      <c r="B650" s="14">
        <v>37407</v>
      </c>
      <c r="C650">
        <v>6000</v>
      </c>
      <c r="D650" s="9"/>
    </row>
    <row r="651" spans="1:4" x14ac:dyDescent="0.25">
      <c r="A651" s="9" t="str">
        <f t="shared" si="18"/>
        <v>62002</v>
      </c>
      <c r="B651" s="14">
        <v>37414</v>
      </c>
      <c r="C651">
        <v>-1400</v>
      </c>
      <c r="D651" s="9"/>
    </row>
    <row r="652" spans="1:4" x14ac:dyDescent="0.25">
      <c r="A652" s="9" t="str">
        <f t="shared" si="18"/>
        <v>62002</v>
      </c>
      <c r="B652" s="14">
        <v>37421</v>
      </c>
      <c r="C652">
        <v>-500</v>
      </c>
      <c r="D652" s="9"/>
    </row>
    <row r="653" spans="1:4" x14ac:dyDescent="0.25">
      <c r="A653" s="9" t="str">
        <f t="shared" si="18"/>
        <v>62002</v>
      </c>
      <c r="B653" s="14">
        <v>37428</v>
      </c>
      <c r="C653">
        <v>-3400</v>
      </c>
      <c r="D653" s="9"/>
    </row>
    <row r="654" spans="1:4" x14ac:dyDescent="0.25">
      <c r="A654" s="9" t="str">
        <f t="shared" si="18"/>
        <v>62002</v>
      </c>
      <c r="B654" s="14">
        <v>37435</v>
      </c>
      <c r="C654">
        <v>1600</v>
      </c>
      <c r="D654" s="9"/>
    </row>
    <row r="655" spans="1:4" x14ac:dyDescent="0.25">
      <c r="A655" s="9" t="str">
        <f t="shared" si="18"/>
        <v>72002</v>
      </c>
      <c r="B655" s="14">
        <v>37442</v>
      </c>
      <c r="C655">
        <v>-4200</v>
      </c>
      <c r="D655" s="9"/>
    </row>
    <row r="656" spans="1:4" x14ac:dyDescent="0.25">
      <c r="A656" s="9" t="str">
        <f t="shared" si="18"/>
        <v>72002</v>
      </c>
      <c r="B656" s="14">
        <v>37449</v>
      </c>
      <c r="C656">
        <v>-2000</v>
      </c>
      <c r="D656" s="9"/>
    </row>
    <row r="657" spans="1:4" x14ac:dyDescent="0.25">
      <c r="A657" s="9" t="str">
        <f t="shared" si="18"/>
        <v>72002</v>
      </c>
      <c r="B657" s="14">
        <v>37456</v>
      </c>
      <c r="C657">
        <v>-3700</v>
      </c>
      <c r="D657" s="9"/>
    </row>
    <row r="658" spans="1:4" x14ac:dyDescent="0.25">
      <c r="A658" s="9" t="str">
        <f t="shared" si="18"/>
        <v>72002</v>
      </c>
      <c r="B658" s="14">
        <v>37463</v>
      </c>
      <c r="C658">
        <v>-2000</v>
      </c>
      <c r="D658" s="9"/>
    </row>
    <row r="659" spans="1:4" x14ac:dyDescent="0.25">
      <c r="A659" s="9" t="str">
        <f t="shared" si="18"/>
        <v>82002</v>
      </c>
      <c r="B659" s="14">
        <v>37470</v>
      </c>
      <c r="C659">
        <v>-2100</v>
      </c>
      <c r="D659" s="9"/>
    </row>
    <row r="660" spans="1:4" x14ac:dyDescent="0.25">
      <c r="A660" s="9" t="str">
        <f t="shared" si="18"/>
        <v>82002</v>
      </c>
      <c r="B660" s="14">
        <v>37477</v>
      </c>
      <c r="C660">
        <v>-7200</v>
      </c>
      <c r="D660" s="9"/>
    </row>
    <row r="661" spans="1:4" x14ac:dyDescent="0.25">
      <c r="A661" s="9" t="str">
        <f t="shared" si="18"/>
        <v>82002</v>
      </c>
      <c r="B661" s="14">
        <v>37484</v>
      </c>
      <c r="C661">
        <v>2800</v>
      </c>
      <c r="D661" s="9"/>
    </row>
    <row r="662" spans="1:4" x14ac:dyDescent="0.25">
      <c r="A662" s="9" t="str">
        <f t="shared" si="18"/>
        <v>82002</v>
      </c>
      <c r="B662" s="14">
        <v>37491</v>
      </c>
      <c r="C662">
        <v>300</v>
      </c>
      <c r="D662" s="9"/>
    </row>
    <row r="663" spans="1:4" x14ac:dyDescent="0.25">
      <c r="A663" s="9" t="str">
        <f t="shared" si="18"/>
        <v>82002</v>
      </c>
      <c r="B663" s="14">
        <v>37498</v>
      </c>
      <c r="C663">
        <v>-4600</v>
      </c>
      <c r="D663" s="9"/>
    </row>
    <row r="664" spans="1:4" x14ac:dyDescent="0.25">
      <c r="A664" s="9" t="str">
        <f t="shared" si="18"/>
        <v>92002</v>
      </c>
      <c r="B664" s="14">
        <v>37505</v>
      </c>
      <c r="C664">
        <v>-5300</v>
      </c>
      <c r="D664" s="9"/>
    </row>
    <row r="665" spans="1:4" x14ac:dyDescent="0.25">
      <c r="A665" s="9" t="str">
        <f t="shared" si="18"/>
        <v>92002</v>
      </c>
      <c r="B665" s="14">
        <v>37512</v>
      </c>
      <c r="C665">
        <v>-5400</v>
      </c>
      <c r="D665" s="9"/>
    </row>
    <row r="666" spans="1:4" x14ac:dyDescent="0.25">
      <c r="A666" s="9" t="str">
        <f t="shared" si="18"/>
        <v>92002</v>
      </c>
      <c r="B666" s="14">
        <v>37519</v>
      </c>
      <c r="C666">
        <v>-2600</v>
      </c>
      <c r="D666" s="9"/>
    </row>
    <row r="667" spans="1:4" x14ac:dyDescent="0.25">
      <c r="A667" s="9" t="str">
        <f t="shared" si="18"/>
        <v>92002</v>
      </c>
      <c r="B667" s="14">
        <v>37526</v>
      </c>
      <c r="C667">
        <v>-10000</v>
      </c>
      <c r="D667" s="9"/>
    </row>
    <row r="668" spans="1:4" x14ac:dyDescent="0.25">
      <c r="A668" s="9" t="str">
        <f t="shared" si="18"/>
        <v>102002</v>
      </c>
      <c r="B668" s="14">
        <v>37533</v>
      </c>
      <c r="C668">
        <v>-4700</v>
      </c>
      <c r="D668" s="9"/>
    </row>
    <row r="669" spans="1:4" x14ac:dyDescent="0.25">
      <c r="A669" s="9" t="str">
        <f t="shared" si="18"/>
        <v>102002</v>
      </c>
      <c r="B669" s="14">
        <v>37540</v>
      </c>
      <c r="C669">
        <v>8900</v>
      </c>
      <c r="D669" s="9"/>
    </row>
    <row r="670" spans="1:4" x14ac:dyDescent="0.25">
      <c r="A670" s="9" t="str">
        <f t="shared" si="18"/>
        <v>102002</v>
      </c>
      <c r="B670" s="14">
        <v>37547</v>
      </c>
      <c r="C670">
        <v>6800</v>
      </c>
      <c r="D670" s="9"/>
    </row>
    <row r="671" spans="1:4" x14ac:dyDescent="0.25">
      <c r="A671" s="9" t="str">
        <f t="shared" si="18"/>
        <v>102002</v>
      </c>
      <c r="B671" s="14">
        <v>37554</v>
      </c>
      <c r="C671">
        <v>900</v>
      </c>
      <c r="D671" s="9"/>
    </row>
    <row r="672" spans="1:4" x14ac:dyDescent="0.25">
      <c r="A672" s="9" t="str">
        <f t="shared" si="18"/>
        <v>112002</v>
      </c>
      <c r="B672" s="14">
        <v>37561</v>
      </c>
      <c r="C672">
        <v>3400</v>
      </c>
      <c r="D672" s="9"/>
    </row>
    <row r="673" spans="1:4" x14ac:dyDescent="0.25">
      <c r="A673" s="9" t="str">
        <f t="shared" si="18"/>
        <v>112002</v>
      </c>
      <c r="B673" s="14">
        <v>37568</v>
      </c>
      <c r="C673">
        <v>-6900</v>
      </c>
      <c r="D673" s="9"/>
    </row>
    <row r="674" spans="1:4" x14ac:dyDescent="0.25">
      <c r="A674" s="9" t="str">
        <f t="shared" si="18"/>
        <v>112002</v>
      </c>
      <c r="B674" s="14">
        <v>37575</v>
      </c>
      <c r="C674">
        <v>4500</v>
      </c>
      <c r="D674" s="9"/>
    </row>
    <row r="675" spans="1:4" x14ac:dyDescent="0.25">
      <c r="A675" s="9" t="str">
        <f t="shared" si="18"/>
        <v>112002</v>
      </c>
      <c r="B675" s="14">
        <v>37582</v>
      </c>
      <c r="C675">
        <v>-3900</v>
      </c>
      <c r="D675" s="9"/>
    </row>
    <row r="676" spans="1:4" x14ac:dyDescent="0.25">
      <c r="A676" s="9" t="str">
        <f t="shared" si="18"/>
        <v>112002</v>
      </c>
      <c r="B676" s="14">
        <v>37589</v>
      </c>
      <c r="C676">
        <v>3100</v>
      </c>
      <c r="D676" s="9"/>
    </row>
    <row r="677" spans="1:4" x14ac:dyDescent="0.25">
      <c r="A677" s="9" t="str">
        <f t="shared" si="18"/>
        <v>122002</v>
      </c>
      <c r="B677" s="14">
        <v>37596</v>
      </c>
      <c r="C677">
        <v>1400</v>
      </c>
      <c r="D677" s="9"/>
    </row>
    <row r="678" spans="1:4" x14ac:dyDescent="0.25">
      <c r="A678" s="9" t="str">
        <f t="shared" si="18"/>
        <v>122002</v>
      </c>
      <c r="B678" s="14">
        <v>37603</v>
      </c>
      <c r="C678">
        <v>-2000</v>
      </c>
      <c r="D678" s="9"/>
    </row>
    <row r="679" spans="1:4" x14ac:dyDescent="0.25">
      <c r="A679" s="9" t="str">
        <f t="shared" si="18"/>
        <v>122002</v>
      </c>
      <c r="B679" s="14">
        <v>37610</v>
      </c>
      <c r="C679">
        <v>700</v>
      </c>
      <c r="D679" s="9"/>
    </row>
    <row r="680" spans="1:4" x14ac:dyDescent="0.25">
      <c r="A680" s="9" t="str">
        <f t="shared" si="18"/>
        <v>122002</v>
      </c>
      <c r="B680" s="14">
        <v>37617</v>
      </c>
      <c r="C680">
        <v>-9100</v>
      </c>
      <c r="D680" s="9"/>
    </row>
    <row r="681" spans="1:4" x14ac:dyDescent="0.25">
      <c r="A681" s="9" t="str">
        <f t="shared" si="18"/>
        <v>12003</v>
      </c>
      <c r="B681" s="14">
        <v>37624</v>
      </c>
      <c r="C681">
        <v>400</v>
      </c>
      <c r="D681" s="9"/>
    </row>
    <row r="682" spans="1:4" x14ac:dyDescent="0.25">
      <c r="A682" s="9" t="str">
        <f t="shared" si="18"/>
        <v>12003</v>
      </c>
      <c r="B682" s="14">
        <v>37631</v>
      </c>
      <c r="C682">
        <v>-6400</v>
      </c>
      <c r="D682" s="9"/>
    </row>
    <row r="683" spans="1:4" x14ac:dyDescent="0.25">
      <c r="A683" s="9" t="str">
        <f t="shared" si="18"/>
        <v>12003</v>
      </c>
      <c r="B683" s="14">
        <v>37638</v>
      </c>
      <c r="C683">
        <v>1500</v>
      </c>
      <c r="D683" s="9"/>
    </row>
    <row r="684" spans="1:4" x14ac:dyDescent="0.25">
      <c r="A684" s="9" t="str">
        <f t="shared" si="18"/>
        <v>12003</v>
      </c>
      <c r="B684" s="14">
        <v>37645</v>
      </c>
      <c r="C684">
        <v>-500</v>
      </c>
      <c r="D684" s="9"/>
    </row>
    <row r="685" spans="1:4" x14ac:dyDescent="0.25">
      <c r="A685" s="9" t="str">
        <f t="shared" si="18"/>
        <v>12003</v>
      </c>
      <c r="B685" s="14">
        <v>37652</v>
      </c>
      <c r="C685">
        <v>1000</v>
      </c>
      <c r="D685" s="9"/>
    </row>
    <row r="686" spans="1:4" x14ac:dyDescent="0.25">
      <c r="A686" s="9" t="str">
        <f t="shared" si="18"/>
        <v>22003</v>
      </c>
      <c r="B686" s="14">
        <v>37659</v>
      </c>
      <c r="C686">
        <v>-4500</v>
      </c>
      <c r="D686" s="9"/>
    </row>
    <row r="687" spans="1:4" x14ac:dyDescent="0.25">
      <c r="A687" s="9" t="str">
        <f t="shared" si="18"/>
        <v>22003</v>
      </c>
      <c r="B687" s="14">
        <v>37666</v>
      </c>
      <c r="C687">
        <v>3100</v>
      </c>
      <c r="D687" s="9"/>
    </row>
    <row r="688" spans="1:4" x14ac:dyDescent="0.25">
      <c r="A688" s="9" t="str">
        <f t="shared" si="18"/>
        <v>22003</v>
      </c>
      <c r="B688" s="14">
        <v>37673</v>
      </c>
      <c r="C688">
        <v>-1000</v>
      </c>
      <c r="D688" s="9"/>
    </row>
    <row r="689" spans="1:4" x14ac:dyDescent="0.25">
      <c r="A689" s="9" t="str">
        <f t="shared" si="18"/>
        <v>22003</v>
      </c>
      <c r="B689" s="14">
        <v>37680</v>
      </c>
      <c r="C689">
        <v>1700</v>
      </c>
      <c r="D689" s="9"/>
    </row>
    <row r="690" spans="1:4" x14ac:dyDescent="0.25">
      <c r="A690" s="9" t="str">
        <f t="shared" si="18"/>
        <v>32003</v>
      </c>
      <c r="B690" s="14">
        <v>37687</v>
      </c>
      <c r="C690">
        <v>-3800</v>
      </c>
      <c r="D690" s="9"/>
    </row>
    <row r="691" spans="1:4" x14ac:dyDescent="0.25">
      <c r="A691" s="9" t="str">
        <f t="shared" si="18"/>
        <v>32003</v>
      </c>
      <c r="B691" s="14">
        <v>37694</v>
      </c>
      <c r="C691">
        <v>400</v>
      </c>
      <c r="D691" s="9"/>
    </row>
    <row r="692" spans="1:4" x14ac:dyDescent="0.25">
      <c r="A692" s="9" t="str">
        <f t="shared" si="18"/>
        <v>32003</v>
      </c>
      <c r="B692" s="14">
        <v>37701</v>
      </c>
      <c r="C692">
        <v>3700</v>
      </c>
      <c r="D692" s="9"/>
    </row>
    <row r="693" spans="1:4" x14ac:dyDescent="0.25">
      <c r="A693" s="9" t="str">
        <f t="shared" si="18"/>
        <v>32003</v>
      </c>
      <c r="B693" s="14">
        <v>37708</v>
      </c>
      <c r="C693">
        <v>6800</v>
      </c>
      <c r="D693" s="9"/>
    </row>
    <row r="694" spans="1:4" x14ac:dyDescent="0.25">
      <c r="A694" s="9" t="str">
        <f t="shared" si="18"/>
        <v>42003</v>
      </c>
      <c r="B694" s="14">
        <v>37715</v>
      </c>
      <c r="C694">
        <v>-3600</v>
      </c>
      <c r="D694" s="9"/>
    </row>
    <row r="695" spans="1:4" x14ac:dyDescent="0.25">
      <c r="A695" s="9" t="str">
        <f t="shared" si="18"/>
        <v>42003</v>
      </c>
      <c r="B695" s="14">
        <v>37722</v>
      </c>
      <c r="C695">
        <v>100</v>
      </c>
      <c r="D695" s="9"/>
    </row>
    <row r="696" spans="1:4" x14ac:dyDescent="0.25">
      <c r="A696" s="9" t="str">
        <f t="shared" si="18"/>
        <v>42003</v>
      </c>
      <c r="B696" s="14">
        <v>37729</v>
      </c>
      <c r="C696">
        <v>9000</v>
      </c>
      <c r="D696" s="9"/>
    </row>
    <row r="697" spans="1:4" x14ac:dyDescent="0.25">
      <c r="A697" s="9" t="str">
        <f t="shared" si="18"/>
        <v>42003</v>
      </c>
      <c r="B697" s="14">
        <v>37736</v>
      </c>
      <c r="C697">
        <v>1800</v>
      </c>
      <c r="D697" s="9"/>
    </row>
    <row r="698" spans="1:4" x14ac:dyDescent="0.25">
      <c r="A698" s="9" t="str">
        <f t="shared" si="18"/>
        <v>52003</v>
      </c>
      <c r="B698" s="14">
        <v>37743</v>
      </c>
      <c r="C698">
        <v>-800</v>
      </c>
      <c r="D698" s="9"/>
    </row>
    <row r="699" spans="1:4" x14ac:dyDescent="0.25">
      <c r="A699" s="9" t="str">
        <f t="shared" si="18"/>
        <v>52003</v>
      </c>
      <c r="B699" s="14">
        <v>37750</v>
      </c>
      <c r="C699">
        <v>-2700</v>
      </c>
      <c r="D699" s="9"/>
    </row>
    <row r="700" spans="1:4" x14ac:dyDescent="0.25">
      <c r="A700" s="9" t="str">
        <f t="shared" si="18"/>
        <v>52003</v>
      </c>
      <c r="B700" s="14">
        <v>37757</v>
      </c>
      <c r="C700">
        <v>600</v>
      </c>
      <c r="D700" s="9"/>
    </row>
    <row r="701" spans="1:4" x14ac:dyDescent="0.25">
      <c r="A701" s="9" t="str">
        <f t="shared" si="18"/>
        <v>52003</v>
      </c>
      <c r="B701" s="14">
        <v>37764</v>
      </c>
      <c r="C701">
        <v>1100</v>
      </c>
      <c r="D701" s="9"/>
    </row>
    <row r="702" spans="1:4" x14ac:dyDescent="0.25">
      <c r="A702" s="9" t="str">
        <f t="shared" si="18"/>
        <v>52003</v>
      </c>
      <c r="B702" s="14">
        <v>37771</v>
      </c>
      <c r="C702">
        <v>2800</v>
      </c>
      <c r="D702" s="9"/>
    </row>
    <row r="703" spans="1:4" x14ac:dyDescent="0.25">
      <c r="A703" s="9" t="str">
        <f t="shared" si="18"/>
        <v>62003</v>
      </c>
      <c r="B703" s="14">
        <v>37778</v>
      </c>
      <c r="C703">
        <v>-4600</v>
      </c>
      <c r="D703" s="9"/>
    </row>
    <row r="704" spans="1:4" x14ac:dyDescent="0.25">
      <c r="A704" s="9" t="str">
        <f t="shared" si="18"/>
        <v>62003</v>
      </c>
      <c r="B704" s="14">
        <v>37785</v>
      </c>
      <c r="C704">
        <v>3900</v>
      </c>
      <c r="D704" s="9"/>
    </row>
    <row r="705" spans="1:4" x14ac:dyDescent="0.25">
      <c r="A705" s="9" t="str">
        <f t="shared" si="18"/>
        <v>62003</v>
      </c>
      <c r="B705" s="14">
        <v>37792</v>
      </c>
      <c r="C705">
        <v>-4100</v>
      </c>
      <c r="D705" s="9"/>
    </row>
    <row r="706" spans="1:4" x14ac:dyDescent="0.25">
      <c r="A706" s="9" t="str">
        <f t="shared" si="18"/>
        <v>62003</v>
      </c>
      <c r="B706" s="14">
        <v>37799</v>
      </c>
      <c r="C706">
        <v>-2100</v>
      </c>
      <c r="D706" s="9"/>
    </row>
    <row r="707" spans="1:4" x14ac:dyDescent="0.25">
      <c r="A707" s="9" t="str">
        <f t="shared" si="18"/>
        <v>72003</v>
      </c>
      <c r="B707" s="14">
        <v>37806</v>
      </c>
      <c r="C707">
        <v>100</v>
      </c>
      <c r="D707" s="9"/>
    </row>
    <row r="708" spans="1:4" x14ac:dyDescent="0.25">
      <c r="A708" s="9" t="str">
        <f t="shared" ref="A708:A771" si="19">MONTH(B708)&amp;YEAR(B708)</f>
        <v>72003</v>
      </c>
      <c r="B708" s="14">
        <v>37813</v>
      </c>
      <c r="C708">
        <v>-3600</v>
      </c>
      <c r="D708" s="9"/>
    </row>
    <row r="709" spans="1:4" x14ac:dyDescent="0.25">
      <c r="A709" s="9" t="str">
        <f t="shared" si="19"/>
        <v>72003</v>
      </c>
      <c r="B709" s="14">
        <v>37820</v>
      </c>
      <c r="C709">
        <v>-2300</v>
      </c>
      <c r="D709" s="9"/>
    </row>
    <row r="710" spans="1:4" x14ac:dyDescent="0.25">
      <c r="A710" s="9" t="str">
        <f t="shared" si="19"/>
        <v>72003</v>
      </c>
      <c r="B710" s="14">
        <v>37827</v>
      </c>
      <c r="C710">
        <v>1000</v>
      </c>
      <c r="D710" s="9"/>
    </row>
    <row r="711" spans="1:4" x14ac:dyDescent="0.25">
      <c r="A711" s="9" t="str">
        <f t="shared" si="19"/>
        <v>82003</v>
      </c>
      <c r="B711" s="14">
        <v>37834</v>
      </c>
      <c r="C711">
        <v>2900</v>
      </c>
      <c r="D711" s="9"/>
    </row>
    <row r="712" spans="1:4" x14ac:dyDescent="0.25">
      <c r="A712" s="9" t="str">
        <f t="shared" si="19"/>
        <v>82003</v>
      </c>
      <c r="B712" s="14">
        <v>37841</v>
      </c>
      <c r="C712">
        <v>200</v>
      </c>
      <c r="D712" s="9"/>
    </row>
    <row r="713" spans="1:4" x14ac:dyDescent="0.25">
      <c r="A713" s="9" t="str">
        <f t="shared" si="19"/>
        <v>82003</v>
      </c>
      <c r="B713" s="14">
        <v>37848</v>
      </c>
      <c r="C713">
        <v>-1600</v>
      </c>
      <c r="D713" s="9"/>
    </row>
    <row r="714" spans="1:4" x14ac:dyDescent="0.25">
      <c r="A714" s="9" t="str">
        <f t="shared" si="19"/>
        <v>82003</v>
      </c>
      <c r="B714" s="14">
        <v>37855</v>
      </c>
      <c r="C714">
        <v>-200</v>
      </c>
      <c r="D714" s="9"/>
    </row>
    <row r="715" spans="1:4" x14ac:dyDescent="0.25">
      <c r="A715" s="9" t="str">
        <f t="shared" si="19"/>
        <v>82003</v>
      </c>
      <c r="B715" s="14">
        <v>37862</v>
      </c>
      <c r="C715">
        <v>1800</v>
      </c>
      <c r="D715" s="9"/>
    </row>
    <row r="716" spans="1:4" x14ac:dyDescent="0.25">
      <c r="A716" s="9" t="str">
        <f t="shared" si="19"/>
        <v>92003</v>
      </c>
      <c r="B716" s="14">
        <v>37869</v>
      </c>
      <c r="C716">
        <v>-4200</v>
      </c>
      <c r="D716" s="9"/>
    </row>
    <row r="717" spans="1:4" x14ac:dyDescent="0.25">
      <c r="A717" s="9" t="str">
        <f t="shared" si="19"/>
        <v>92003</v>
      </c>
      <c r="B717" s="14">
        <v>37876</v>
      </c>
      <c r="C717">
        <v>3100</v>
      </c>
      <c r="D717" s="9"/>
    </row>
    <row r="718" spans="1:4" x14ac:dyDescent="0.25">
      <c r="A718" s="9" t="str">
        <f t="shared" si="19"/>
        <v>92003</v>
      </c>
      <c r="B718" s="14">
        <v>37883</v>
      </c>
      <c r="C718">
        <v>1500</v>
      </c>
      <c r="D718" s="9"/>
    </row>
    <row r="719" spans="1:4" x14ac:dyDescent="0.25">
      <c r="A719" s="9" t="str">
        <f t="shared" si="19"/>
        <v>92003</v>
      </c>
      <c r="B719" s="14">
        <v>37890</v>
      </c>
      <c r="C719">
        <v>-47</v>
      </c>
      <c r="D719" s="9"/>
    </row>
    <row r="720" spans="1:4" x14ac:dyDescent="0.25">
      <c r="A720" s="9" t="str">
        <f t="shared" si="19"/>
        <v>102003</v>
      </c>
      <c r="B720" s="14">
        <v>37897</v>
      </c>
      <c r="C720">
        <v>5400</v>
      </c>
      <c r="D720" s="9"/>
    </row>
    <row r="721" spans="1:4" x14ac:dyDescent="0.25">
      <c r="A721" s="9" t="str">
        <f t="shared" si="19"/>
        <v>102003</v>
      </c>
      <c r="B721" s="14">
        <v>37904</v>
      </c>
      <c r="C721">
        <v>3800</v>
      </c>
      <c r="D721" s="9"/>
    </row>
    <row r="722" spans="1:4" x14ac:dyDescent="0.25">
      <c r="A722" s="9" t="str">
        <f t="shared" si="19"/>
        <v>102003</v>
      </c>
      <c r="B722" s="14">
        <v>37911</v>
      </c>
      <c r="C722">
        <v>-1800</v>
      </c>
      <c r="D722" s="9"/>
    </row>
    <row r="723" spans="1:4" x14ac:dyDescent="0.25">
      <c r="A723" s="9" t="str">
        <f t="shared" si="19"/>
        <v>102003</v>
      </c>
      <c r="B723" s="14">
        <v>37918</v>
      </c>
      <c r="C723">
        <v>3600</v>
      </c>
      <c r="D723" s="9"/>
    </row>
    <row r="724" spans="1:4" x14ac:dyDescent="0.25">
      <c r="A724" s="9" t="str">
        <f t="shared" si="19"/>
        <v>102003</v>
      </c>
      <c r="B724" s="14">
        <v>37925</v>
      </c>
      <c r="C724">
        <v>100</v>
      </c>
      <c r="D724" s="9"/>
    </row>
    <row r="725" spans="1:4" x14ac:dyDescent="0.25">
      <c r="A725" s="9" t="str">
        <f t="shared" si="19"/>
        <v>112003</v>
      </c>
      <c r="B725" s="14">
        <v>37932</v>
      </c>
      <c r="C725">
        <v>-800</v>
      </c>
      <c r="D725" s="9"/>
    </row>
    <row r="726" spans="1:4" x14ac:dyDescent="0.25">
      <c r="A726" s="9" t="str">
        <f t="shared" si="19"/>
        <v>112003</v>
      </c>
      <c r="B726" s="14">
        <v>37939</v>
      </c>
      <c r="C726">
        <v>2900</v>
      </c>
      <c r="D726" s="9"/>
    </row>
    <row r="727" spans="1:4" x14ac:dyDescent="0.25">
      <c r="A727" s="9" t="str">
        <f t="shared" si="19"/>
        <v>112003</v>
      </c>
      <c r="B727" s="14">
        <v>37946</v>
      </c>
      <c r="C727">
        <v>-4900</v>
      </c>
      <c r="D727" s="9"/>
    </row>
    <row r="728" spans="1:4" x14ac:dyDescent="0.25">
      <c r="A728" s="9" t="str">
        <f t="shared" si="19"/>
        <v>112003</v>
      </c>
      <c r="B728" s="14">
        <v>37953</v>
      </c>
      <c r="C728">
        <v>-4800</v>
      </c>
      <c r="D728" s="9"/>
    </row>
    <row r="729" spans="1:4" x14ac:dyDescent="0.25">
      <c r="A729" s="9" t="str">
        <f t="shared" si="19"/>
        <v>122003</v>
      </c>
      <c r="B729" s="14">
        <v>37960</v>
      </c>
      <c r="C729">
        <v>-6400</v>
      </c>
      <c r="D729" s="9"/>
    </row>
    <row r="730" spans="1:4" x14ac:dyDescent="0.25">
      <c r="A730" s="9" t="str">
        <f t="shared" si="19"/>
        <v>122003</v>
      </c>
      <c r="B730" s="14">
        <v>37967</v>
      </c>
      <c r="C730">
        <v>-5100</v>
      </c>
      <c r="D730" s="9"/>
    </row>
    <row r="731" spans="1:4" x14ac:dyDescent="0.25">
      <c r="A731" s="9" t="str">
        <f t="shared" si="19"/>
        <v>122003</v>
      </c>
      <c r="B731" s="14">
        <v>37974</v>
      </c>
      <c r="C731">
        <v>1700</v>
      </c>
      <c r="D731" s="9"/>
    </row>
    <row r="732" spans="1:4" x14ac:dyDescent="0.25">
      <c r="A732" s="9" t="str">
        <f t="shared" si="19"/>
        <v>122003</v>
      </c>
      <c r="B732" s="14">
        <v>37981</v>
      </c>
      <c r="C732">
        <v>-3800</v>
      </c>
      <c r="D732" s="9"/>
    </row>
    <row r="733" spans="1:4" x14ac:dyDescent="0.25">
      <c r="A733" s="9" t="str">
        <f t="shared" si="19"/>
        <v>12004</v>
      </c>
      <c r="B733" s="14">
        <v>37988</v>
      </c>
      <c r="C733">
        <v>-1700</v>
      </c>
      <c r="D733" s="9"/>
    </row>
    <row r="734" spans="1:4" x14ac:dyDescent="0.25">
      <c r="A734" s="9" t="str">
        <f t="shared" si="19"/>
        <v>12004</v>
      </c>
      <c r="B734" s="14">
        <v>37995</v>
      </c>
      <c r="C734">
        <v>-5000</v>
      </c>
      <c r="D734" s="9"/>
    </row>
    <row r="735" spans="1:4" x14ac:dyDescent="0.25">
      <c r="A735" s="9" t="str">
        <f t="shared" si="19"/>
        <v>12004</v>
      </c>
      <c r="B735" s="14">
        <v>38002</v>
      </c>
      <c r="C735">
        <v>1200</v>
      </c>
      <c r="D735" s="9"/>
    </row>
    <row r="736" spans="1:4" x14ac:dyDescent="0.25">
      <c r="A736" s="9" t="str">
        <f t="shared" si="19"/>
        <v>12004</v>
      </c>
      <c r="B736" s="14">
        <v>38009</v>
      </c>
      <c r="C736">
        <v>-1500</v>
      </c>
      <c r="D736" s="9"/>
    </row>
    <row r="737" spans="1:4" x14ac:dyDescent="0.25">
      <c r="A737" s="9" t="str">
        <f t="shared" si="19"/>
        <v>12004</v>
      </c>
      <c r="B737" s="14">
        <v>38016</v>
      </c>
      <c r="C737">
        <v>7900</v>
      </c>
      <c r="D737" s="9"/>
    </row>
    <row r="738" spans="1:4" x14ac:dyDescent="0.25">
      <c r="A738" s="9" t="str">
        <f t="shared" si="19"/>
        <v>22004</v>
      </c>
      <c r="B738" s="14">
        <v>38023</v>
      </c>
      <c r="C738">
        <v>-2700</v>
      </c>
      <c r="D738" s="9"/>
    </row>
    <row r="739" spans="1:4" x14ac:dyDescent="0.25">
      <c r="A739" s="9" t="str">
        <f t="shared" si="19"/>
        <v>22004</v>
      </c>
      <c r="B739" s="14">
        <v>38030</v>
      </c>
      <c r="C739">
        <v>4900</v>
      </c>
      <c r="D739" s="9"/>
    </row>
    <row r="740" spans="1:4" x14ac:dyDescent="0.25">
      <c r="A740" s="9" t="str">
        <f t="shared" si="19"/>
        <v>22004</v>
      </c>
      <c r="B740" s="14">
        <v>38037</v>
      </c>
      <c r="C740">
        <v>0</v>
      </c>
      <c r="D740" s="9"/>
    </row>
    <row r="741" spans="1:4" x14ac:dyDescent="0.25">
      <c r="A741" s="9" t="str">
        <f t="shared" si="19"/>
        <v>22004</v>
      </c>
      <c r="B741" s="14">
        <v>38044</v>
      </c>
      <c r="C741">
        <v>2000</v>
      </c>
      <c r="D741" s="9"/>
    </row>
    <row r="742" spans="1:4" x14ac:dyDescent="0.25">
      <c r="A742" s="9" t="str">
        <f t="shared" si="19"/>
        <v>32004</v>
      </c>
      <c r="B742" s="14">
        <v>38051</v>
      </c>
      <c r="C742">
        <v>3700</v>
      </c>
      <c r="D742" s="9"/>
    </row>
    <row r="743" spans="1:4" x14ac:dyDescent="0.25">
      <c r="A743" s="9" t="str">
        <f t="shared" si="19"/>
        <v>32004</v>
      </c>
      <c r="B743" s="14">
        <v>38058</v>
      </c>
      <c r="C743">
        <v>1600</v>
      </c>
      <c r="D743" s="9"/>
    </row>
    <row r="744" spans="1:4" x14ac:dyDescent="0.25">
      <c r="A744" s="9" t="str">
        <f t="shared" si="19"/>
        <v>32004</v>
      </c>
      <c r="B744" s="14">
        <v>38065</v>
      </c>
      <c r="C744">
        <v>7500</v>
      </c>
      <c r="D744" s="9"/>
    </row>
    <row r="745" spans="1:4" x14ac:dyDescent="0.25">
      <c r="A745" s="9" t="str">
        <f t="shared" si="19"/>
        <v>32004</v>
      </c>
      <c r="B745" s="14">
        <v>38072</v>
      </c>
      <c r="C745">
        <v>5700</v>
      </c>
      <c r="D745" s="9"/>
    </row>
    <row r="746" spans="1:4" x14ac:dyDescent="0.25">
      <c r="A746" s="9" t="str">
        <f t="shared" si="19"/>
        <v>42004</v>
      </c>
      <c r="B746" s="14">
        <v>38079</v>
      </c>
      <c r="C746">
        <v>-2100</v>
      </c>
      <c r="D746" s="9"/>
    </row>
    <row r="747" spans="1:4" x14ac:dyDescent="0.25">
      <c r="A747" s="9" t="str">
        <f t="shared" si="19"/>
        <v>42004</v>
      </c>
      <c r="B747" s="14">
        <v>38086</v>
      </c>
      <c r="C747">
        <v>3200</v>
      </c>
      <c r="D747" s="9"/>
    </row>
    <row r="748" spans="1:4" x14ac:dyDescent="0.25">
      <c r="A748" s="9" t="str">
        <f t="shared" si="19"/>
        <v>42004</v>
      </c>
      <c r="B748" s="14">
        <v>38093</v>
      </c>
      <c r="C748">
        <v>200</v>
      </c>
      <c r="D748" s="9"/>
    </row>
    <row r="749" spans="1:4" x14ac:dyDescent="0.25">
      <c r="A749" s="9" t="str">
        <f t="shared" si="19"/>
        <v>42004</v>
      </c>
      <c r="B749" s="14">
        <v>38100</v>
      </c>
      <c r="C749">
        <v>3200</v>
      </c>
      <c r="D749" s="9"/>
    </row>
    <row r="750" spans="1:4" x14ac:dyDescent="0.25">
      <c r="A750" s="9" t="str">
        <f t="shared" si="19"/>
        <v>42004</v>
      </c>
      <c r="B750" s="14">
        <v>38107</v>
      </c>
      <c r="C750">
        <v>100</v>
      </c>
      <c r="D750" s="9"/>
    </row>
    <row r="751" spans="1:4" x14ac:dyDescent="0.25">
      <c r="A751" s="9" t="str">
        <f t="shared" si="19"/>
        <v>52004</v>
      </c>
      <c r="B751" s="14">
        <v>38114</v>
      </c>
      <c r="C751">
        <v>1100</v>
      </c>
      <c r="D751" s="9"/>
    </row>
    <row r="752" spans="1:4" x14ac:dyDescent="0.25">
      <c r="A752" s="9" t="str">
        <f t="shared" si="19"/>
        <v>52004</v>
      </c>
      <c r="B752" s="14">
        <v>38121</v>
      </c>
      <c r="C752">
        <v>-1100</v>
      </c>
      <c r="D752" s="9"/>
    </row>
    <row r="753" spans="1:4" x14ac:dyDescent="0.25">
      <c r="A753" s="9" t="str">
        <f t="shared" si="19"/>
        <v>52004</v>
      </c>
      <c r="B753" s="14">
        <v>38128</v>
      </c>
      <c r="C753">
        <v>25</v>
      </c>
      <c r="D753" s="9"/>
    </row>
    <row r="754" spans="1:4" x14ac:dyDescent="0.25">
      <c r="A754" s="9" t="str">
        <f t="shared" si="19"/>
        <v>52004</v>
      </c>
      <c r="B754" s="14">
        <v>38135</v>
      </c>
      <c r="C754">
        <v>2800</v>
      </c>
      <c r="D754" s="9"/>
    </row>
    <row r="755" spans="1:4" x14ac:dyDescent="0.25">
      <c r="A755" s="9" t="str">
        <f t="shared" si="19"/>
        <v>62004</v>
      </c>
      <c r="B755" s="14">
        <v>38142</v>
      </c>
      <c r="C755">
        <v>400</v>
      </c>
      <c r="D755" s="9"/>
    </row>
    <row r="756" spans="1:4" x14ac:dyDescent="0.25">
      <c r="A756" s="9" t="str">
        <f t="shared" si="19"/>
        <v>62004</v>
      </c>
      <c r="B756" s="14">
        <v>38149</v>
      </c>
      <c r="C756">
        <v>800</v>
      </c>
      <c r="D756" s="9"/>
    </row>
    <row r="757" spans="1:4" x14ac:dyDescent="0.25">
      <c r="A757" s="9" t="str">
        <f t="shared" si="19"/>
        <v>62004</v>
      </c>
      <c r="B757" s="14">
        <v>38156</v>
      </c>
      <c r="C757">
        <v>2500</v>
      </c>
      <c r="D757" s="9"/>
    </row>
    <row r="758" spans="1:4" x14ac:dyDescent="0.25">
      <c r="A758" s="9" t="str">
        <f t="shared" si="19"/>
        <v>62004</v>
      </c>
      <c r="B758" s="14">
        <v>38163</v>
      </c>
      <c r="C758">
        <v>-500</v>
      </c>
      <c r="D758" s="9"/>
    </row>
    <row r="759" spans="1:4" x14ac:dyDescent="0.25">
      <c r="A759" s="9" t="str">
        <f t="shared" si="19"/>
        <v>72004</v>
      </c>
      <c r="B759" s="14">
        <v>38170</v>
      </c>
      <c r="C759">
        <v>100</v>
      </c>
      <c r="D759" s="9"/>
    </row>
    <row r="760" spans="1:4" x14ac:dyDescent="0.25">
      <c r="A760" s="9" t="str">
        <f t="shared" si="19"/>
        <v>72004</v>
      </c>
      <c r="B760" s="14">
        <v>38177</v>
      </c>
      <c r="C760">
        <v>-2100</v>
      </c>
      <c r="D760" s="9"/>
    </row>
    <row r="761" spans="1:4" x14ac:dyDescent="0.25">
      <c r="A761" s="9" t="str">
        <f t="shared" si="19"/>
        <v>72004</v>
      </c>
      <c r="B761" s="14">
        <v>38184</v>
      </c>
      <c r="C761">
        <v>-3600</v>
      </c>
      <c r="D761" s="9"/>
    </row>
    <row r="762" spans="1:4" x14ac:dyDescent="0.25">
      <c r="A762" s="9" t="str">
        <f t="shared" si="19"/>
        <v>72004</v>
      </c>
      <c r="B762" s="14">
        <v>38191</v>
      </c>
      <c r="C762">
        <v>1200</v>
      </c>
      <c r="D762" s="9"/>
    </row>
    <row r="763" spans="1:4" x14ac:dyDescent="0.25">
      <c r="A763" s="9" t="str">
        <f t="shared" si="19"/>
        <v>72004</v>
      </c>
      <c r="B763" s="14">
        <v>38198</v>
      </c>
      <c r="C763">
        <v>-1900</v>
      </c>
      <c r="D763" s="9"/>
    </row>
    <row r="764" spans="1:4" x14ac:dyDescent="0.25">
      <c r="A764" s="9" t="str">
        <f t="shared" si="19"/>
        <v>82004</v>
      </c>
      <c r="B764" s="14">
        <v>38205</v>
      </c>
      <c r="C764">
        <v>-4300</v>
      </c>
      <c r="D764" s="9"/>
    </row>
    <row r="765" spans="1:4" x14ac:dyDescent="0.25">
      <c r="A765" s="9" t="str">
        <f t="shared" si="19"/>
        <v>82004</v>
      </c>
      <c r="B765" s="14">
        <v>38212</v>
      </c>
      <c r="C765">
        <v>-1300</v>
      </c>
      <c r="D765" s="9"/>
    </row>
    <row r="766" spans="1:4" x14ac:dyDescent="0.25">
      <c r="A766" s="9" t="str">
        <f t="shared" si="19"/>
        <v>82004</v>
      </c>
      <c r="B766" s="14">
        <v>38219</v>
      </c>
      <c r="C766">
        <v>-1700</v>
      </c>
      <c r="D766" s="9"/>
    </row>
    <row r="767" spans="1:4" x14ac:dyDescent="0.25">
      <c r="A767" s="9" t="str">
        <f t="shared" si="19"/>
        <v>82004</v>
      </c>
      <c r="B767" s="14">
        <v>38226</v>
      </c>
      <c r="C767">
        <v>-4200</v>
      </c>
      <c r="D767" s="9"/>
    </row>
    <row r="768" spans="1:4" x14ac:dyDescent="0.25">
      <c r="A768" s="9" t="str">
        <f t="shared" si="19"/>
        <v>92004</v>
      </c>
      <c r="B768" s="14">
        <v>38233</v>
      </c>
      <c r="C768">
        <v>-1400</v>
      </c>
      <c r="D768" s="9"/>
    </row>
    <row r="769" spans="1:4" x14ac:dyDescent="0.25">
      <c r="A769" s="9" t="str">
        <f t="shared" si="19"/>
        <v>92004</v>
      </c>
      <c r="B769" s="14">
        <v>38240</v>
      </c>
      <c r="C769">
        <v>-7100</v>
      </c>
      <c r="D769" s="9"/>
    </row>
    <row r="770" spans="1:4" x14ac:dyDescent="0.25">
      <c r="A770" s="9" t="str">
        <f t="shared" si="19"/>
        <v>92004</v>
      </c>
      <c r="B770" s="14">
        <v>38247</v>
      </c>
      <c r="C770">
        <v>-9100</v>
      </c>
      <c r="D770" s="9"/>
    </row>
    <row r="771" spans="1:4" x14ac:dyDescent="0.25">
      <c r="A771" s="9" t="str">
        <f t="shared" si="19"/>
        <v>92004</v>
      </c>
      <c r="B771" s="14">
        <v>38254</v>
      </c>
      <c r="C771">
        <v>3400</v>
      </c>
      <c r="D771" s="9"/>
    </row>
    <row r="772" spans="1:4" x14ac:dyDescent="0.25">
      <c r="A772" s="9" t="str">
        <f t="shared" ref="A772:A835" si="20">MONTH(B772)&amp;YEAR(B772)</f>
        <v>102004</v>
      </c>
      <c r="B772" s="14">
        <v>38261</v>
      </c>
      <c r="C772">
        <v>1100</v>
      </c>
      <c r="D772" s="9"/>
    </row>
    <row r="773" spans="1:4" x14ac:dyDescent="0.25">
      <c r="A773" s="9" t="str">
        <f t="shared" si="20"/>
        <v>102004</v>
      </c>
      <c r="B773" s="14">
        <v>38268</v>
      </c>
      <c r="C773">
        <v>4200</v>
      </c>
      <c r="D773" s="9"/>
    </row>
    <row r="774" spans="1:4" x14ac:dyDescent="0.25">
      <c r="A774" s="9" t="str">
        <f t="shared" si="20"/>
        <v>102004</v>
      </c>
      <c r="B774" s="14">
        <v>38275</v>
      </c>
      <c r="C774">
        <v>1200</v>
      </c>
      <c r="D774" s="9"/>
    </row>
    <row r="775" spans="1:4" x14ac:dyDescent="0.25">
      <c r="A775" s="9" t="str">
        <f t="shared" si="20"/>
        <v>102004</v>
      </c>
      <c r="B775" s="14">
        <v>38282</v>
      </c>
      <c r="C775">
        <v>4000</v>
      </c>
      <c r="D775" s="9"/>
    </row>
    <row r="776" spans="1:4" x14ac:dyDescent="0.25">
      <c r="A776" s="9" t="str">
        <f t="shared" si="20"/>
        <v>102004</v>
      </c>
      <c r="B776" s="14">
        <v>38289</v>
      </c>
      <c r="C776">
        <v>6300</v>
      </c>
      <c r="D776" s="9"/>
    </row>
    <row r="777" spans="1:4" x14ac:dyDescent="0.25">
      <c r="A777" s="9" t="str">
        <f t="shared" si="20"/>
        <v>112004</v>
      </c>
      <c r="B777" s="14">
        <v>38296</v>
      </c>
      <c r="C777">
        <v>1800</v>
      </c>
      <c r="D777" s="9"/>
    </row>
    <row r="778" spans="1:4" x14ac:dyDescent="0.25">
      <c r="A778" s="9" t="str">
        <f t="shared" si="20"/>
        <v>112004</v>
      </c>
      <c r="B778" s="14">
        <v>38303</v>
      </c>
      <c r="C778">
        <v>800</v>
      </c>
      <c r="D778" s="9"/>
    </row>
    <row r="779" spans="1:4" x14ac:dyDescent="0.25">
      <c r="A779" s="9" t="str">
        <f t="shared" si="20"/>
        <v>112004</v>
      </c>
      <c r="B779" s="14">
        <v>38310</v>
      </c>
      <c r="C779">
        <v>100</v>
      </c>
      <c r="D779" s="9"/>
    </row>
    <row r="780" spans="1:4" x14ac:dyDescent="0.25">
      <c r="A780" s="9" t="str">
        <f t="shared" si="20"/>
        <v>112004</v>
      </c>
      <c r="B780" s="14">
        <v>38317</v>
      </c>
      <c r="C780">
        <v>900</v>
      </c>
      <c r="D780" s="9"/>
    </row>
    <row r="781" spans="1:4" x14ac:dyDescent="0.25">
      <c r="A781" s="9" t="str">
        <f t="shared" si="20"/>
        <v>122004</v>
      </c>
      <c r="B781" s="14">
        <v>38324</v>
      </c>
      <c r="C781">
        <v>600</v>
      </c>
      <c r="D781" s="9"/>
    </row>
    <row r="782" spans="1:4" x14ac:dyDescent="0.25">
      <c r="A782" s="9" t="str">
        <f t="shared" si="20"/>
        <v>122004</v>
      </c>
      <c r="B782" s="14">
        <v>38331</v>
      </c>
      <c r="C782">
        <v>-100</v>
      </c>
      <c r="D782" s="9"/>
    </row>
    <row r="783" spans="1:4" x14ac:dyDescent="0.25">
      <c r="A783" s="9" t="str">
        <f t="shared" si="20"/>
        <v>122004</v>
      </c>
      <c r="B783" s="14">
        <v>38338</v>
      </c>
      <c r="C783">
        <v>2100</v>
      </c>
      <c r="D783" s="9"/>
    </row>
    <row r="784" spans="1:4" x14ac:dyDescent="0.25">
      <c r="A784" s="9" t="str">
        <f t="shared" si="20"/>
        <v>122004</v>
      </c>
      <c r="B784" s="14">
        <v>38345</v>
      </c>
      <c r="C784">
        <v>-800</v>
      </c>
      <c r="D784" s="9"/>
    </row>
    <row r="785" spans="1:4" x14ac:dyDescent="0.25">
      <c r="A785" s="9" t="str">
        <f t="shared" si="20"/>
        <v>122004</v>
      </c>
      <c r="B785" s="14">
        <v>38352</v>
      </c>
      <c r="C785">
        <v>-3300</v>
      </c>
      <c r="D785" s="9"/>
    </row>
    <row r="786" spans="1:4" x14ac:dyDescent="0.25">
      <c r="A786" s="9" t="str">
        <f t="shared" si="20"/>
        <v>12005</v>
      </c>
      <c r="B786" s="14">
        <v>38359</v>
      </c>
      <c r="C786">
        <v>-3000</v>
      </c>
      <c r="D786" s="9"/>
    </row>
    <row r="787" spans="1:4" x14ac:dyDescent="0.25">
      <c r="A787" s="9" t="str">
        <f t="shared" si="20"/>
        <v>12005</v>
      </c>
      <c r="B787" s="14">
        <v>38366</v>
      </c>
      <c r="C787">
        <v>3400</v>
      </c>
      <c r="D787" s="9"/>
    </row>
    <row r="788" spans="1:4" x14ac:dyDescent="0.25">
      <c r="A788" s="9" t="str">
        <f t="shared" si="20"/>
        <v>12005</v>
      </c>
      <c r="B788" s="14">
        <v>38373</v>
      </c>
      <c r="C788">
        <v>3400</v>
      </c>
      <c r="D788" s="9"/>
    </row>
    <row r="789" spans="1:4" x14ac:dyDescent="0.25">
      <c r="A789" s="9" t="str">
        <f t="shared" si="20"/>
        <v>12005</v>
      </c>
      <c r="B789" s="14">
        <v>38380</v>
      </c>
      <c r="C789">
        <v>-300</v>
      </c>
      <c r="D789" s="9"/>
    </row>
    <row r="790" spans="1:4" x14ac:dyDescent="0.25">
      <c r="A790" s="9" t="str">
        <f t="shared" si="20"/>
        <v>22005</v>
      </c>
      <c r="B790" s="14">
        <v>38387</v>
      </c>
      <c r="C790">
        <v>-1000</v>
      </c>
      <c r="D790" s="9"/>
    </row>
    <row r="791" spans="1:4" x14ac:dyDescent="0.25">
      <c r="A791" s="9" t="str">
        <f t="shared" si="20"/>
        <v>22005</v>
      </c>
      <c r="B791" s="14">
        <v>38394</v>
      </c>
      <c r="C791">
        <v>2100</v>
      </c>
      <c r="D791" s="9"/>
    </row>
    <row r="792" spans="1:4" x14ac:dyDescent="0.25">
      <c r="A792" s="9" t="str">
        <f t="shared" si="20"/>
        <v>22005</v>
      </c>
      <c r="B792" s="14">
        <v>38401</v>
      </c>
      <c r="C792">
        <v>600</v>
      </c>
      <c r="D792" s="9"/>
    </row>
    <row r="793" spans="1:4" x14ac:dyDescent="0.25">
      <c r="A793" s="9" t="str">
        <f t="shared" si="20"/>
        <v>22005</v>
      </c>
      <c r="B793" s="14">
        <v>38408</v>
      </c>
      <c r="C793">
        <v>2400</v>
      </c>
      <c r="D793" s="9"/>
    </row>
    <row r="794" spans="1:4" x14ac:dyDescent="0.25">
      <c r="A794" s="9" t="str">
        <f t="shared" si="20"/>
        <v>32005</v>
      </c>
      <c r="B794" s="14">
        <v>38415</v>
      </c>
      <c r="C794">
        <v>3200</v>
      </c>
      <c r="D794" s="9"/>
    </row>
    <row r="795" spans="1:4" x14ac:dyDescent="0.25">
      <c r="A795" s="9" t="str">
        <f t="shared" si="20"/>
        <v>32005</v>
      </c>
      <c r="B795" s="14">
        <v>38422</v>
      </c>
      <c r="C795">
        <v>2600</v>
      </c>
      <c r="D795" s="9"/>
    </row>
    <row r="796" spans="1:4" x14ac:dyDescent="0.25">
      <c r="A796" s="9" t="str">
        <f t="shared" si="20"/>
        <v>32005</v>
      </c>
      <c r="B796" s="14">
        <v>38429</v>
      </c>
      <c r="C796">
        <v>4100</v>
      </c>
      <c r="D796" s="9"/>
    </row>
    <row r="797" spans="1:4" x14ac:dyDescent="0.25">
      <c r="A797" s="9" t="str">
        <f t="shared" si="20"/>
        <v>32005</v>
      </c>
      <c r="B797" s="14">
        <v>38436</v>
      </c>
      <c r="C797">
        <v>5400</v>
      </c>
      <c r="D797" s="9"/>
    </row>
    <row r="798" spans="1:4" x14ac:dyDescent="0.25">
      <c r="A798" s="9" t="str">
        <f t="shared" si="20"/>
        <v>42005</v>
      </c>
      <c r="B798" s="14">
        <v>38443</v>
      </c>
      <c r="C798">
        <v>2400</v>
      </c>
      <c r="D798" s="9"/>
    </row>
    <row r="799" spans="1:4" x14ac:dyDescent="0.25">
      <c r="A799" s="9" t="str">
        <f t="shared" si="20"/>
        <v>42005</v>
      </c>
      <c r="B799" s="14">
        <v>38450</v>
      </c>
      <c r="C799">
        <v>3600</v>
      </c>
      <c r="D799" s="9"/>
    </row>
    <row r="800" spans="1:4" x14ac:dyDescent="0.25">
      <c r="A800" s="9" t="str">
        <f t="shared" si="20"/>
        <v>42005</v>
      </c>
      <c r="B800" s="14">
        <v>38457</v>
      </c>
      <c r="C800">
        <v>-1800</v>
      </c>
      <c r="D800" s="9"/>
    </row>
    <row r="801" spans="1:4" x14ac:dyDescent="0.25">
      <c r="A801" s="9" t="str">
        <f t="shared" si="20"/>
        <v>42005</v>
      </c>
      <c r="B801" s="14">
        <v>38464</v>
      </c>
      <c r="C801">
        <v>5415</v>
      </c>
      <c r="D801" s="9"/>
    </row>
    <row r="802" spans="1:4" x14ac:dyDescent="0.25">
      <c r="A802" s="9" t="str">
        <f t="shared" si="20"/>
        <v>42005</v>
      </c>
      <c r="B802" s="14">
        <v>38471</v>
      </c>
      <c r="C802">
        <v>2680</v>
      </c>
      <c r="D802" s="9"/>
    </row>
    <row r="803" spans="1:4" x14ac:dyDescent="0.25">
      <c r="A803" s="9" t="str">
        <f t="shared" si="20"/>
        <v>52005</v>
      </c>
      <c r="B803" s="14">
        <v>38478</v>
      </c>
      <c r="C803">
        <v>2666</v>
      </c>
      <c r="D803" s="9"/>
    </row>
    <row r="804" spans="1:4" x14ac:dyDescent="0.25">
      <c r="A804" s="9" t="str">
        <f t="shared" si="20"/>
        <v>52005</v>
      </c>
      <c r="B804" s="14">
        <v>38485</v>
      </c>
      <c r="C804">
        <v>4343</v>
      </c>
      <c r="D804" s="9"/>
    </row>
    <row r="805" spans="1:4" x14ac:dyDescent="0.25">
      <c r="A805" s="9" t="str">
        <f t="shared" si="20"/>
        <v>52005</v>
      </c>
      <c r="B805" s="14">
        <v>38492</v>
      </c>
      <c r="C805">
        <v>-1687</v>
      </c>
      <c r="D805" s="9"/>
    </row>
    <row r="806" spans="1:4" x14ac:dyDescent="0.25">
      <c r="A806" s="9" t="str">
        <f t="shared" si="20"/>
        <v>52005</v>
      </c>
      <c r="B806" s="14">
        <v>38499</v>
      </c>
      <c r="C806">
        <v>1488</v>
      </c>
      <c r="D806" s="9"/>
    </row>
    <row r="807" spans="1:4" x14ac:dyDescent="0.25">
      <c r="A807" s="9" t="str">
        <f t="shared" si="20"/>
        <v>62005</v>
      </c>
      <c r="B807" s="14">
        <v>38506</v>
      </c>
      <c r="C807">
        <v>-3094</v>
      </c>
      <c r="D807" s="9"/>
    </row>
    <row r="808" spans="1:4" x14ac:dyDescent="0.25">
      <c r="A808" s="9" t="str">
        <f t="shared" si="20"/>
        <v>62005</v>
      </c>
      <c r="B808" s="14">
        <v>38513</v>
      </c>
      <c r="C808">
        <v>-1783</v>
      </c>
      <c r="D808" s="9"/>
    </row>
    <row r="809" spans="1:4" x14ac:dyDescent="0.25">
      <c r="A809" s="9" t="str">
        <f t="shared" si="20"/>
        <v>62005</v>
      </c>
      <c r="B809" s="14">
        <v>38520</v>
      </c>
      <c r="C809">
        <v>-1579</v>
      </c>
      <c r="D809" s="9"/>
    </row>
    <row r="810" spans="1:4" x14ac:dyDescent="0.25">
      <c r="A810" s="9" t="str">
        <f t="shared" si="20"/>
        <v>62005</v>
      </c>
      <c r="B810" s="14">
        <v>38527</v>
      </c>
      <c r="C810">
        <v>1104</v>
      </c>
      <c r="D810" s="9"/>
    </row>
    <row r="811" spans="1:4" x14ac:dyDescent="0.25">
      <c r="A811" s="9" t="str">
        <f t="shared" si="20"/>
        <v>72005</v>
      </c>
      <c r="B811" s="14">
        <v>38534</v>
      </c>
      <c r="C811">
        <v>-3613</v>
      </c>
      <c r="D811" s="9"/>
    </row>
    <row r="812" spans="1:4" x14ac:dyDescent="0.25">
      <c r="A812" s="9" t="str">
        <f t="shared" si="20"/>
        <v>72005</v>
      </c>
      <c r="B812" s="14">
        <v>38541</v>
      </c>
      <c r="C812">
        <v>-3899</v>
      </c>
      <c r="D812" s="9"/>
    </row>
    <row r="813" spans="1:4" x14ac:dyDescent="0.25">
      <c r="A813" s="9" t="str">
        <f t="shared" si="20"/>
        <v>72005</v>
      </c>
      <c r="B813" s="14">
        <v>38548</v>
      </c>
      <c r="C813">
        <v>-900</v>
      </c>
      <c r="D813" s="9"/>
    </row>
    <row r="814" spans="1:4" x14ac:dyDescent="0.25">
      <c r="A814" s="9" t="str">
        <f t="shared" si="20"/>
        <v>72005</v>
      </c>
      <c r="B814" s="14">
        <v>38555</v>
      </c>
      <c r="C814">
        <v>-2245</v>
      </c>
      <c r="D814" s="9"/>
    </row>
    <row r="815" spans="1:4" x14ac:dyDescent="0.25">
      <c r="A815" s="9" t="str">
        <f t="shared" si="20"/>
        <v>72005</v>
      </c>
      <c r="B815" s="14">
        <v>38562</v>
      </c>
      <c r="C815">
        <v>196</v>
      </c>
      <c r="D815" s="9"/>
    </row>
    <row r="816" spans="1:4" x14ac:dyDescent="0.25">
      <c r="A816" s="9" t="str">
        <f t="shared" si="20"/>
        <v>82005</v>
      </c>
      <c r="B816" s="14">
        <v>38569</v>
      </c>
      <c r="C816">
        <v>2797</v>
      </c>
      <c r="D816" s="9"/>
    </row>
    <row r="817" spans="1:4" x14ac:dyDescent="0.25">
      <c r="A817" s="9" t="str">
        <f t="shared" si="20"/>
        <v>82005</v>
      </c>
      <c r="B817" s="14">
        <v>38576</v>
      </c>
      <c r="C817">
        <v>241</v>
      </c>
      <c r="D817" s="9"/>
    </row>
    <row r="818" spans="1:4" x14ac:dyDescent="0.25">
      <c r="A818" s="9" t="str">
        <f t="shared" si="20"/>
        <v>82005</v>
      </c>
      <c r="B818" s="14">
        <v>38583</v>
      </c>
      <c r="C818">
        <v>1852</v>
      </c>
      <c r="D818" s="9"/>
    </row>
    <row r="819" spans="1:4" x14ac:dyDescent="0.25">
      <c r="A819" s="9" t="str">
        <f t="shared" si="20"/>
        <v>82005</v>
      </c>
      <c r="B819" s="14">
        <v>38590</v>
      </c>
      <c r="C819">
        <v>-1520</v>
      </c>
      <c r="D819" s="9"/>
    </row>
    <row r="820" spans="1:4" x14ac:dyDescent="0.25">
      <c r="A820" s="9" t="str">
        <f t="shared" si="20"/>
        <v>92005</v>
      </c>
      <c r="B820" s="14">
        <v>38597</v>
      </c>
      <c r="C820">
        <v>-6453</v>
      </c>
      <c r="D820" s="9"/>
    </row>
    <row r="821" spans="1:4" x14ac:dyDescent="0.25">
      <c r="A821" s="9" t="str">
        <f t="shared" si="20"/>
        <v>92005</v>
      </c>
      <c r="B821" s="14">
        <v>38604</v>
      </c>
      <c r="C821">
        <v>-6560</v>
      </c>
      <c r="D821" s="9"/>
    </row>
    <row r="822" spans="1:4" x14ac:dyDescent="0.25">
      <c r="A822" s="9" t="str">
        <f t="shared" si="20"/>
        <v>92005</v>
      </c>
      <c r="B822" s="14">
        <v>38611</v>
      </c>
      <c r="C822">
        <v>-322</v>
      </c>
      <c r="D822" s="9"/>
    </row>
    <row r="823" spans="1:4" x14ac:dyDescent="0.25">
      <c r="A823" s="9" t="str">
        <f t="shared" si="20"/>
        <v>92005</v>
      </c>
      <c r="B823" s="14">
        <v>38618</v>
      </c>
      <c r="C823">
        <v>-2412</v>
      </c>
      <c r="D823" s="9"/>
    </row>
    <row r="824" spans="1:4" x14ac:dyDescent="0.25">
      <c r="A824" s="9" t="str">
        <f t="shared" si="20"/>
        <v>92005</v>
      </c>
      <c r="B824" s="14">
        <v>38625</v>
      </c>
      <c r="C824">
        <v>-246</v>
      </c>
      <c r="D824" s="9"/>
    </row>
    <row r="825" spans="1:4" x14ac:dyDescent="0.25">
      <c r="A825" s="9" t="str">
        <f t="shared" si="20"/>
        <v>102005</v>
      </c>
      <c r="B825" s="14">
        <v>38632</v>
      </c>
      <c r="C825">
        <v>1017</v>
      </c>
      <c r="D825" s="9"/>
    </row>
    <row r="826" spans="1:4" x14ac:dyDescent="0.25">
      <c r="A826" s="9" t="str">
        <f t="shared" si="20"/>
        <v>102005</v>
      </c>
      <c r="B826" s="14">
        <v>38639</v>
      </c>
      <c r="C826">
        <v>5555</v>
      </c>
      <c r="D826" s="9"/>
    </row>
    <row r="827" spans="1:4" x14ac:dyDescent="0.25">
      <c r="A827" s="9" t="str">
        <f t="shared" si="20"/>
        <v>102005</v>
      </c>
      <c r="B827" s="14">
        <v>38646</v>
      </c>
      <c r="C827">
        <v>4414</v>
      </c>
      <c r="D827" s="9"/>
    </row>
    <row r="828" spans="1:4" x14ac:dyDescent="0.25">
      <c r="A828" s="9" t="str">
        <f t="shared" si="20"/>
        <v>102005</v>
      </c>
      <c r="B828" s="14">
        <v>38653</v>
      </c>
      <c r="C828">
        <v>2734</v>
      </c>
      <c r="D828" s="9"/>
    </row>
    <row r="829" spans="1:4" x14ac:dyDescent="0.25">
      <c r="A829" s="9" t="str">
        <f t="shared" si="20"/>
        <v>112005</v>
      </c>
      <c r="B829" s="14">
        <v>38660</v>
      </c>
      <c r="C829">
        <v>4424</v>
      </c>
      <c r="D829" s="9"/>
    </row>
    <row r="830" spans="1:4" x14ac:dyDescent="0.25">
      <c r="A830" s="9" t="str">
        <f t="shared" si="20"/>
        <v>112005</v>
      </c>
      <c r="B830" s="14">
        <v>38667</v>
      </c>
      <c r="C830">
        <v>-2159</v>
      </c>
      <c r="D830" s="9"/>
    </row>
    <row r="831" spans="1:4" x14ac:dyDescent="0.25">
      <c r="A831" s="9" t="str">
        <f t="shared" si="20"/>
        <v>112005</v>
      </c>
      <c r="B831" s="14">
        <v>38674</v>
      </c>
      <c r="C831">
        <v>354</v>
      </c>
      <c r="D831" s="9"/>
    </row>
    <row r="832" spans="1:4" x14ac:dyDescent="0.25">
      <c r="A832" s="9" t="str">
        <f t="shared" si="20"/>
        <v>112005</v>
      </c>
      <c r="B832" s="14">
        <v>38681</v>
      </c>
      <c r="C832">
        <v>-4188</v>
      </c>
      <c r="D832" s="9"/>
    </row>
    <row r="833" spans="1:4" x14ac:dyDescent="0.25">
      <c r="A833" s="9" t="str">
        <f t="shared" si="20"/>
        <v>122005</v>
      </c>
      <c r="B833" s="14">
        <v>38688</v>
      </c>
      <c r="C833">
        <v>2720</v>
      </c>
      <c r="D833" s="9"/>
    </row>
    <row r="834" spans="1:4" x14ac:dyDescent="0.25">
      <c r="A834" s="9" t="str">
        <f t="shared" si="20"/>
        <v>122005</v>
      </c>
      <c r="B834" s="14">
        <v>38695</v>
      </c>
      <c r="C834">
        <v>892</v>
      </c>
      <c r="D834" s="9"/>
    </row>
    <row r="835" spans="1:4" x14ac:dyDescent="0.25">
      <c r="A835" s="9" t="str">
        <f t="shared" si="20"/>
        <v>122005</v>
      </c>
      <c r="B835" s="14">
        <v>38702</v>
      </c>
      <c r="C835">
        <v>1300</v>
      </c>
      <c r="D835" s="9"/>
    </row>
    <row r="836" spans="1:4" x14ac:dyDescent="0.25">
      <c r="A836" s="9" t="str">
        <f t="shared" ref="A836:A899" si="21">MONTH(B836)&amp;YEAR(B836)</f>
        <v>122005</v>
      </c>
      <c r="B836" s="14">
        <v>38709</v>
      </c>
      <c r="C836">
        <v>118</v>
      </c>
      <c r="D836" s="9"/>
    </row>
    <row r="837" spans="1:4" x14ac:dyDescent="0.25">
      <c r="A837" s="9" t="str">
        <f t="shared" si="21"/>
        <v>122005</v>
      </c>
      <c r="B837" s="14">
        <v>38716</v>
      </c>
      <c r="C837">
        <v>-1013</v>
      </c>
      <c r="D837" s="9"/>
    </row>
    <row r="838" spans="1:4" x14ac:dyDescent="0.25">
      <c r="A838" s="9" t="str">
        <f t="shared" si="21"/>
        <v>12006</v>
      </c>
      <c r="B838" s="14">
        <v>38723</v>
      </c>
      <c r="C838">
        <v>-2887</v>
      </c>
      <c r="D838" s="9"/>
    </row>
    <row r="839" spans="1:4" x14ac:dyDescent="0.25">
      <c r="A839" s="9" t="str">
        <f t="shared" si="21"/>
        <v>12006</v>
      </c>
      <c r="B839" s="14">
        <v>38730</v>
      </c>
      <c r="C839">
        <v>2741</v>
      </c>
      <c r="D839" s="9"/>
    </row>
    <row r="840" spans="1:4" x14ac:dyDescent="0.25">
      <c r="A840" s="9" t="str">
        <f t="shared" si="21"/>
        <v>12006</v>
      </c>
      <c r="B840" s="14">
        <v>38737</v>
      </c>
      <c r="C840">
        <v>-2309</v>
      </c>
      <c r="D840" s="9"/>
    </row>
    <row r="841" spans="1:4" x14ac:dyDescent="0.25">
      <c r="A841" s="9" t="str">
        <f t="shared" si="21"/>
        <v>12006</v>
      </c>
      <c r="B841" s="14">
        <v>38744</v>
      </c>
      <c r="C841">
        <v>1919</v>
      </c>
      <c r="D841" s="9"/>
    </row>
    <row r="842" spans="1:4" x14ac:dyDescent="0.25">
      <c r="A842" s="9" t="str">
        <f t="shared" si="21"/>
        <v>22006</v>
      </c>
      <c r="B842" s="14">
        <v>38751</v>
      </c>
      <c r="C842">
        <v>-318</v>
      </c>
      <c r="D842" s="9"/>
    </row>
    <row r="843" spans="1:4" x14ac:dyDescent="0.25">
      <c r="A843" s="9" t="str">
        <f t="shared" si="21"/>
        <v>22006</v>
      </c>
      <c r="B843" s="14">
        <v>38758</v>
      </c>
      <c r="C843">
        <v>4853</v>
      </c>
      <c r="D843" s="9"/>
    </row>
    <row r="844" spans="1:4" x14ac:dyDescent="0.25">
      <c r="A844" s="9" t="str">
        <f t="shared" si="21"/>
        <v>22006</v>
      </c>
      <c r="B844" s="14">
        <v>38765</v>
      </c>
      <c r="C844">
        <v>1121</v>
      </c>
      <c r="D844" s="9"/>
    </row>
    <row r="845" spans="1:4" x14ac:dyDescent="0.25">
      <c r="A845" s="9" t="str">
        <f t="shared" si="21"/>
        <v>22006</v>
      </c>
      <c r="B845" s="14">
        <v>38772</v>
      </c>
      <c r="C845">
        <v>1638</v>
      </c>
      <c r="D845" s="9"/>
    </row>
    <row r="846" spans="1:4" x14ac:dyDescent="0.25">
      <c r="A846" s="9" t="str">
        <f t="shared" si="21"/>
        <v>32006</v>
      </c>
      <c r="B846" s="14">
        <v>38779</v>
      </c>
      <c r="C846">
        <v>6763</v>
      </c>
      <c r="D846" s="9"/>
    </row>
    <row r="847" spans="1:4" x14ac:dyDescent="0.25">
      <c r="A847" s="9" t="str">
        <f t="shared" si="21"/>
        <v>32006</v>
      </c>
      <c r="B847" s="14">
        <v>38786</v>
      </c>
      <c r="C847">
        <v>4836</v>
      </c>
      <c r="D847" s="9"/>
    </row>
    <row r="848" spans="1:4" x14ac:dyDescent="0.25">
      <c r="A848" s="9" t="str">
        <f t="shared" si="21"/>
        <v>32006</v>
      </c>
      <c r="B848" s="14">
        <v>38793</v>
      </c>
      <c r="C848">
        <v>-1310</v>
      </c>
      <c r="D848" s="9"/>
    </row>
    <row r="849" spans="1:4" x14ac:dyDescent="0.25">
      <c r="A849" s="9" t="str">
        <f t="shared" si="21"/>
        <v>32006</v>
      </c>
      <c r="B849" s="14">
        <v>38800</v>
      </c>
      <c r="C849">
        <v>2030</v>
      </c>
      <c r="D849" s="9"/>
    </row>
    <row r="850" spans="1:4" x14ac:dyDescent="0.25">
      <c r="A850" s="9" t="str">
        <f t="shared" si="21"/>
        <v>32006</v>
      </c>
      <c r="B850" s="14">
        <v>38807</v>
      </c>
      <c r="C850">
        <v>2110</v>
      </c>
      <c r="D850" s="9"/>
    </row>
    <row r="851" spans="1:4" x14ac:dyDescent="0.25">
      <c r="A851" s="9" t="str">
        <f t="shared" si="21"/>
        <v>42006</v>
      </c>
      <c r="B851" s="14">
        <v>38814</v>
      </c>
      <c r="C851">
        <v>3230</v>
      </c>
      <c r="D851" s="9"/>
    </row>
    <row r="852" spans="1:4" x14ac:dyDescent="0.25">
      <c r="A852" s="9" t="str">
        <f t="shared" si="21"/>
        <v>42006</v>
      </c>
      <c r="B852" s="14">
        <v>38821</v>
      </c>
      <c r="C852">
        <v>-806</v>
      </c>
      <c r="D852" s="9"/>
    </row>
    <row r="853" spans="1:4" x14ac:dyDescent="0.25">
      <c r="A853" s="9" t="str">
        <f t="shared" si="21"/>
        <v>42006</v>
      </c>
      <c r="B853" s="14">
        <v>38828</v>
      </c>
      <c r="C853">
        <v>-226</v>
      </c>
      <c r="D853" s="9"/>
    </row>
    <row r="854" spans="1:4" x14ac:dyDescent="0.25">
      <c r="A854" s="9" t="str">
        <f t="shared" si="21"/>
        <v>42006</v>
      </c>
      <c r="B854" s="14">
        <v>38835</v>
      </c>
      <c r="C854">
        <v>1727</v>
      </c>
      <c r="D854" s="9"/>
    </row>
    <row r="855" spans="1:4" x14ac:dyDescent="0.25">
      <c r="A855" s="9" t="str">
        <f t="shared" si="21"/>
        <v>52006</v>
      </c>
      <c r="B855" s="14">
        <v>38842</v>
      </c>
      <c r="C855">
        <v>272</v>
      </c>
      <c r="D855" s="9"/>
    </row>
    <row r="856" spans="1:4" x14ac:dyDescent="0.25">
      <c r="A856" s="9" t="str">
        <f t="shared" si="21"/>
        <v>52006</v>
      </c>
      <c r="B856" s="14">
        <v>38849</v>
      </c>
      <c r="C856">
        <v>-65</v>
      </c>
      <c r="D856" s="9"/>
    </row>
    <row r="857" spans="1:4" x14ac:dyDescent="0.25">
      <c r="A857" s="9" t="str">
        <f t="shared" si="21"/>
        <v>52006</v>
      </c>
      <c r="B857" s="14">
        <v>38856</v>
      </c>
      <c r="C857">
        <v>-2998</v>
      </c>
      <c r="D857" s="9"/>
    </row>
    <row r="858" spans="1:4" x14ac:dyDescent="0.25">
      <c r="A858" s="9" t="str">
        <f t="shared" si="21"/>
        <v>52006</v>
      </c>
      <c r="B858" s="14">
        <v>38863</v>
      </c>
      <c r="C858">
        <v>1599</v>
      </c>
      <c r="D858" s="9"/>
    </row>
    <row r="859" spans="1:4" x14ac:dyDescent="0.25">
      <c r="A859" s="9" t="str">
        <f t="shared" si="21"/>
        <v>62006</v>
      </c>
      <c r="B859" s="14">
        <v>38870</v>
      </c>
      <c r="C859">
        <v>1146</v>
      </c>
      <c r="D859" s="9"/>
    </row>
    <row r="860" spans="1:4" x14ac:dyDescent="0.25">
      <c r="A860" s="9" t="str">
        <f t="shared" si="21"/>
        <v>62006</v>
      </c>
      <c r="B860" s="14">
        <v>38877</v>
      </c>
      <c r="C860">
        <v>-980</v>
      </c>
      <c r="D860" s="9"/>
    </row>
    <row r="861" spans="1:4" x14ac:dyDescent="0.25">
      <c r="A861" s="9" t="str">
        <f t="shared" si="21"/>
        <v>62006</v>
      </c>
      <c r="B861" s="14">
        <v>38884</v>
      </c>
      <c r="C861">
        <v>1385</v>
      </c>
      <c r="D861" s="9"/>
    </row>
    <row r="862" spans="1:4" x14ac:dyDescent="0.25">
      <c r="A862" s="9" t="str">
        <f t="shared" si="21"/>
        <v>62006</v>
      </c>
      <c r="B862" s="14">
        <v>38891</v>
      </c>
      <c r="C862">
        <v>-3329</v>
      </c>
      <c r="D862" s="9"/>
    </row>
    <row r="863" spans="1:4" x14ac:dyDescent="0.25">
      <c r="A863" s="9" t="str">
        <f t="shared" si="21"/>
        <v>62006</v>
      </c>
      <c r="B863" s="14">
        <v>38898</v>
      </c>
      <c r="C863">
        <v>-2421</v>
      </c>
      <c r="D863" s="9"/>
    </row>
    <row r="864" spans="1:4" x14ac:dyDescent="0.25">
      <c r="A864" s="9" t="str">
        <f t="shared" si="21"/>
        <v>72006</v>
      </c>
      <c r="B864" s="14">
        <v>38905</v>
      </c>
      <c r="C864">
        <v>-5985</v>
      </c>
      <c r="D864" s="9"/>
    </row>
    <row r="865" spans="1:4" x14ac:dyDescent="0.25">
      <c r="A865" s="9" t="str">
        <f t="shared" si="21"/>
        <v>72006</v>
      </c>
      <c r="B865" s="14">
        <v>38912</v>
      </c>
      <c r="C865">
        <v>151</v>
      </c>
      <c r="D865" s="9"/>
    </row>
    <row r="866" spans="1:4" x14ac:dyDescent="0.25">
      <c r="A866" s="9" t="str">
        <f t="shared" si="21"/>
        <v>72006</v>
      </c>
      <c r="B866" s="14">
        <v>38919</v>
      </c>
      <c r="C866">
        <v>30</v>
      </c>
      <c r="D866" s="9"/>
    </row>
    <row r="867" spans="1:4" x14ac:dyDescent="0.25">
      <c r="A867" s="9" t="str">
        <f t="shared" si="21"/>
        <v>72006</v>
      </c>
      <c r="B867" s="14">
        <v>38926</v>
      </c>
      <c r="C867">
        <v>-1774</v>
      </c>
      <c r="D867" s="9"/>
    </row>
    <row r="868" spans="1:4" x14ac:dyDescent="0.25">
      <c r="A868" s="9" t="str">
        <f t="shared" si="21"/>
        <v>82006</v>
      </c>
      <c r="B868" s="14">
        <v>38933</v>
      </c>
      <c r="C868">
        <v>-1114</v>
      </c>
      <c r="D868" s="9"/>
    </row>
    <row r="869" spans="1:4" x14ac:dyDescent="0.25">
      <c r="A869" s="9" t="str">
        <f t="shared" si="21"/>
        <v>82006</v>
      </c>
      <c r="B869" s="14">
        <v>38940</v>
      </c>
      <c r="C869">
        <v>-1607</v>
      </c>
      <c r="D869" s="9"/>
    </row>
    <row r="870" spans="1:4" x14ac:dyDescent="0.25">
      <c r="A870" s="9" t="str">
        <f t="shared" si="21"/>
        <v>82006</v>
      </c>
      <c r="B870" s="14">
        <v>38947</v>
      </c>
      <c r="C870">
        <v>-643</v>
      </c>
      <c r="D870" s="9"/>
    </row>
    <row r="871" spans="1:4" x14ac:dyDescent="0.25">
      <c r="A871" s="9" t="str">
        <f t="shared" si="21"/>
        <v>82006</v>
      </c>
      <c r="B871" s="14">
        <v>38954</v>
      </c>
      <c r="C871">
        <v>2481</v>
      </c>
      <c r="D871" s="9"/>
    </row>
    <row r="872" spans="1:4" x14ac:dyDescent="0.25">
      <c r="A872" s="9" t="str">
        <f t="shared" si="21"/>
        <v>92006</v>
      </c>
      <c r="B872" s="14">
        <v>38961</v>
      </c>
      <c r="C872">
        <v>-2212</v>
      </c>
      <c r="D872" s="9"/>
    </row>
    <row r="873" spans="1:4" x14ac:dyDescent="0.25">
      <c r="A873" s="9" t="str">
        <f t="shared" si="21"/>
        <v>92006</v>
      </c>
      <c r="B873" s="14">
        <v>38968</v>
      </c>
      <c r="C873">
        <v>-2904</v>
      </c>
      <c r="D873" s="9"/>
    </row>
    <row r="874" spans="1:4" x14ac:dyDescent="0.25">
      <c r="A874" s="9" t="str">
        <f t="shared" si="21"/>
        <v>92006</v>
      </c>
      <c r="B874" s="14">
        <v>38975</v>
      </c>
      <c r="C874">
        <v>-2848</v>
      </c>
      <c r="D874" s="9"/>
    </row>
    <row r="875" spans="1:4" x14ac:dyDescent="0.25">
      <c r="A875" s="9" t="str">
        <f t="shared" si="21"/>
        <v>92006</v>
      </c>
      <c r="B875" s="14">
        <v>38982</v>
      </c>
      <c r="C875">
        <v>-109</v>
      </c>
      <c r="D875" s="9"/>
    </row>
    <row r="876" spans="1:4" x14ac:dyDescent="0.25">
      <c r="A876" s="9" t="str">
        <f t="shared" si="21"/>
        <v>92006</v>
      </c>
      <c r="B876" s="14">
        <v>38989</v>
      </c>
      <c r="C876">
        <v>3355</v>
      </c>
      <c r="D876" s="9"/>
    </row>
    <row r="877" spans="1:4" x14ac:dyDescent="0.25">
      <c r="A877" s="9" t="str">
        <f t="shared" si="21"/>
        <v>102006</v>
      </c>
      <c r="B877" s="14">
        <v>38996</v>
      </c>
      <c r="C877">
        <v>2408</v>
      </c>
      <c r="D877" s="9"/>
    </row>
    <row r="878" spans="1:4" x14ac:dyDescent="0.25">
      <c r="A878" s="9" t="str">
        <f t="shared" si="21"/>
        <v>102006</v>
      </c>
      <c r="B878" s="14">
        <v>39003</v>
      </c>
      <c r="C878">
        <v>5020</v>
      </c>
      <c r="D878" s="9"/>
    </row>
    <row r="879" spans="1:4" x14ac:dyDescent="0.25">
      <c r="A879" s="9" t="str">
        <f t="shared" si="21"/>
        <v>102006</v>
      </c>
      <c r="B879" s="14">
        <v>39010</v>
      </c>
      <c r="C879">
        <v>-3205</v>
      </c>
      <c r="D879" s="9"/>
    </row>
    <row r="880" spans="1:4" x14ac:dyDescent="0.25">
      <c r="A880" s="9" t="str">
        <f t="shared" si="21"/>
        <v>102006</v>
      </c>
      <c r="B880" s="14">
        <v>39017</v>
      </c>
      <c r="C880">
        <v>1910</v>
      </c>
      <c r="D880" s="9"/>
    </row>
    <row r="881" spans="1:4" x14ac:dyDescent="0.25">
      <c r="A881" s="9" t="str">
        <f t="shared" si="21"/>
        <v>112006</v>
      </c>
      <c r="B881" s="14">
        <v>39024</v>
      </c>
      <c r="C881">
        <v>435</v>
      </c>
      <c r="D881" s="9"/>
    </row>
    <row r="882" spans="1:4" x14ac:dyDescent="0.25">
      <c r="A882" s="9" t="str">
        <f t="shared" si="21"/>
        <v>112006</v>
      </c>
      <c r="B882" s="14">
        <v>39031</v>
      </c>
      <c r="C882">
        <v>1283</v>
      </c>
      <c r="D882" s="9"/>
    </row>
    <row r="883" spans="1:4" x14ac:dyDescent="0.25">
      <c r="A883" s="9" t="str">
        <f t="shared" si="21"/>
        <v>112006</v>
      </c>
      <c r="B883" s="14">
        <v>39038</v>
      </c>
      <c r="C883">
        <v>5161</v>
      </c>
      <c r="D883" s="9"/>
    </row>
    <row r="884" spans="1:4" x14ac:dyDescent="0.25">
      <c r="A884" s="9" t="str">
        <f t="shared" si="21"/>
        <v>112006</v>
      </c>
      <c r="B884" s="14">
        <v>39045</v>
      </c>
      <c r="C884">
        <v>-360</v>
      </c>
      <c r="D884" s="9"/>
    </row>
    <row r="885" spans="1:4" x14ac:dyDescent="0.25">
      <c r="A885" s="9" t="str">
        <f t="shared" si="21"/>
        <v>122006</v>
      </c>
      <c r="B885" s="14">
        <v>39052</v>
      </c>
      <c r="C885">
        <v>-1049</v>
      </c>
      <c r="D885" s="9"/>
    </row>
    <row r="886" spans="1:4" x14ac:dyDescent="0.25">
      <c r="A886" s="9" t="str">
        <f t="shared" si="21"/>
        <v>122006</v>
      </c>
      <c r="B886" s="14">
        <v>39059</v>
      </c>
      <c r="C886">
        <v>-4295</v>
      </c>
      <c r="D886" s="9"/>
    </row>
    <row r="887" spans="1:4" x14ac:dyDescent="0.25">
      <c r="A887" s="9" t="str">
        <f t="shared" si="21"/>
        <v>122006</v>
      </c>
      <c r="B887" s="14">
        <v>39066</v>
      </c>
      <c r="C887">
        <v>-6323</v>
      </c>
      <c r="D887" s="9"/>
    </row>
    <row r="888" spans="1:4" x14ac:dyDescent="0.25">
      <c r="A888" s="9" t="str">
        <f t="shared" si="21"/>
        <v>122006</v>
      </c>
      <c r="B888" s="14">
        <v>39073</v>
      </c>
      <c r="C888">
        <v>-8132</v>
      </c>
      <c r="D888" s="9"/>
    </row>
    <row r="889" spans="1:4" x14ac:dyDescent="0.25">
      <c r="A889" s="9" t="str">
        <f t="shared" si="21"/>
        <v>122006</v>
      </c>
      <c r="B889" s="14">
        <v>39080</v>
      </c>
      <c r="C889">
        <v>-1299</v>
      </c>
      <c r="D889" s="9"/>
    </row>
    <row r="890" spans="1:4" x14ac:dyDescent="0.25">
      <c r="A890" s="9" t="str">
        <f t="shared" si="21"/>
        <v>12007</v>
      </c>
      <c r="B890" s="14">
        <v>39087</v>
      </c>
      <c r="C890">
        <v>-4990</v>
      </c>
      <c r="D890" s="9"/>
    </row>
    <row r="891" spans="1:4" x14ac:dyDescent="0.25">
      <c r="A891" s="9" t="str">
        <f t="shared" si="21"/>
        <v>12007</v>
      </c>
      <c r="B891" s="14">
        <v>39094</v>
      </c>
      <c r="C891">
        <v>6768</v>
      </c>
      <c r="D891" s="9"/>
    </row>
    <row r="892" spans="1:4" x14ac:dyDescent="0.25">
      <c r="A892" s="9" t="str">
        <f t="shared" si="21"/>
        <v>12007</v>
      </c>
      <c r="B892" s="14">
        <v>39101</v>
      </c>
      <c r="C892">
        <v>789</v>
      </c>
      <c r="D892" s="9"/>
    </row>
    <row r="893" spans="1:4" x14ac:dyDescent="0.25">
      <c r="A893" s="9" t="str">
        <f t="shared" si="21"/>
        <v>12007</v>
      </c>
      <c r="B893" s="14">
        <v>39108</v>
      </c>
      <c r="C893">
        <v>2684</v>
      </c>
      <c r="D893" s="9"/>
    </row>
    <row r="894" spans="1:4" x14ac:dyDescent="0.25">
      <c r="A894" s="9" t="str">
        <f t="shared" si="21"/>
        <v>22007</v>
      </c>
      <c r="B894" s="14">
        <v>39115</v>
      </c>
      <c r="C894">
        <v>-449</v>
      </c>
      <c r="D894" s="9"/>
    </row>
    <row r="895" spans="1:4" x14ac:dyDescent="0.25">
      <c r="A895" s="9" t="str">
        <f t="shared" si="21"/>
        <v>22007</v>
      </c>
      <c r="B895" s="14">
        <v>39122</v>
      </c>
      <c r="C895">
        <v>-589</v>
      </c>
      <c r="D895" s="9"/>
    </row>
    <row r="896" spans="1:4" x14ac:dyDescent="0.25">
      <c r="A896" s="9" t="str">
        <f t="shared" si="21"/>
        <v>22007</v>
      </c>
      <c r="B896" s="14">
        <v>39129</v>
      </c>
      <c r="C896">
        <v>3694</v>
      </c>
      <c r="D896" s="9"/>
    </row>
    <row r="897" spans="1:4" x14ac:dyDescent="0.25">
      <c r="A897" s="9" t="str">
        <f t="shared" si="21"/>
        <v>22007</v>
      </c>
      <c r="B897" s="14">
        <v>39136</v>
      </c>
      <c r="C897">
        <v>1421</v>
      </c>
      <c r="D897" s="9"/>
    </row>
    <row r="898" spans="1:4" x14ac:dyDescent="0.25">
      <c r="A898" s="9" t="str">
        <f t="shared" si="21"/>
        <v>32007</v>
      </c>
      <c r="B898" s="14">
        <v>39143</v>
      </c>
      <c r="C898">
        <v>-4848</v>
      </c>
      <c r="D898" s="9"/>
    </row>
    <row r="899" spans="1:4" x14ac:dyDescent="0.25">
      <c r="A899" s="9" t="str">
        <f t="shared" si="21"/>
        <v>32007</v>
      </c>
      <c r="B899" s="14">
        <v>39150</v>
      </c>
      <c r="C899">
        <v>1180</v>
      </c>
      <c r="D899" s="9"/>
    </row>
    <row r="900" spans="1:4" x14ac:dyDescent="0.25">
      <c r="A900" s="9" t="str">
        <f t="shared" ref="A900:A963" si="22">MONTH(B900)&amp;YEAR(B900)</f>
        <v>32007</v>
      </c>
      <c r="B900" s="14">
        <v>39157</v>
      </c>
      <c r="C900">
        <v>3924</v>
      </c>
      <c r="D900" s="9"/>
    </row>
    <row r="901" spans="1:4" x14ac:dyDescent="0.25">
      <c r="A901" s="9" t="str">
        <f t="shared" si="22"/>
        <v>32007</v>
      </c>
      <c r="B901" s="14">
        <v>39164</v>
      </c>
      <c r="C901">
        <v>-846</v>
      </c>
      <c r="D901" s="9"/>
    </row>
    <row r="902" spans="1:4" x14ac:dyDescent="0.25">
      <c r="A902" s="9" t="str">
        <f t="shared" si="22"/>
        <v>32007</v>
      </c>
      <c r="B902" s="14">
        <v>39171</v>
      </c>
      <c r="C902">
        <v>4307</v>
      </c>
      <c r="D902" s="9"/>
    </row>
    <row r="903" spans="1:4" x14ac:dyDescent="0.25">
      <c r="A903" s="9" t="str">
        <f t="shared" si="22"/>
        <v>42007</v>
      </c>
      <c r="B903" s="14">
        <v>39178</v>
      </c>
      <c r="C903">
        <v>678</v>
      </c>
      <c r="D903" s="9"/>
    </row>
    <row r="904" spans="1:4" x14ac:dyDescent="0.25">
      <c r="A904" s="9" t="str">
        <f t="shared" si="22"/>
        <v>42007</v>
      </c>
      <c r="B904" s="14">
        <v>39185</v>
      </c>
      <c r="C904">
        <v>-994</v>
      </c>
      <c r="D904" s="9"/>
    </row>
    <row r="905" spans="1:4" x14ac:dyDescent="0.25">
      <c r="A905" s="9" t="str">
        <f t="shared" si="22"/>
        <v>42007</v>
      </c>
      <c r="B905" s="14">
        <v>39192</v>
      </c>
      <c r="C905">
        <v>2074</v>
      </c>
      <c r="D905" s="9"/>
    </row>
    <row r="906" spans="1:4" x14ac:dyDescent="0.25">
      <c r="A906" s="9" t="str">
        <f t="shared" si="22"/>
        <v>42007</v>
      </c>
      <c r="B906" s="14">
        <v>39199</v>
      </c>
      <c r="C906">
        <v>1169</v>
      </c>
      <c r="D906" s="9"/>
    </row>
    <row r="907" spans="1:4" x14ac:dyDescent="0.25">
      <c r="A907" s="9" t="str">
        <f t="shared" si="22"/>
        <v>52007</v>
      </c>
      <c r="B907" s="14">
        <v>39206</v>
      </c>
      <c r="C907">
        <v>5511</v>
      </c>
      <c r="D907" s="9"/>
    </row>
    <row r="908" spans="1:4" x14ac:dyDescent="0.25">
      <c r="A908" s="9" t="str">
        <f t="shared" si="22"/>
        <v>52007</v>
      </c>
      <c r="B908" s="14">
        <v>39213</v>
      </c>
      <c r="C908">
        <v>1061</v>
      </c>
      <c r="D908" s="9"/>
    </row>
    <row r="909" spans="1:4" x14ac:dyDescent="0.25">
      <c r="A909" s="9" t="str">
        <f t="shared" si="22"/>
        <v>52007</v>
      </c>
      <c r="B909" s="14">
        <v>39220</v>
      </c>
      <c r="C909">
        <v>1969</v>
      </c>
      <c r="D909" s="9"/>
    </row>
    <row r="910" spans="1:4" x14ac:dyDescent="0.25">
      <c r="A910" s="9" t="str">
        <f t="shared" si="22"/>
        <v>52007</v>
      </c>
      <c r="B910" s="14">
        <v>39227</v>
      </c>
      <c r="C910">
        <v>-1956</v>
      </c>
      <c r="D910" s="9"/>
    </row>
    <row r="911" spans="1:4" x14ac:dyDescent="0.25">
      <c r="A911" s="9" t="str">
        <f t="shared" si="22"/>
        <v>62007</v>
      </c>
      <c r="B911" s="14">
        <v>39234</v>
      </c>
      <c r="C911">
        <v>112</v>
      </c>
      <c r="D911" s="9"/>
    </row>
    <row r="912" spans="1:4" x14ac:dyDescent="0.25">
      <c r="A912" s="9" t="str">
        <f t="shared" si="22"/>
        <v>62007</v>
      </c>
      <c r="B912" s="14">
        <v>39241</v>
      </c>
      <c r="C912">
        <v>82</v>
      </c>
      <c r="D912" s="9"/>
    </row>
    <row r="913" spans="1:4" x14ac:dyDescent="0.25">
      <c r="A913" s="9" t="str">
        <f t="shared" si="22"/>
        <v>62007</v>
      </c>
      <c r="B913" s="14">
        <v>39248</v>
      </c>
      <c r="C913">
        <v>6902</v>
      </c>
      <c r="D913" s="9"/>
    </row>
    <row r="914" spans="1:4" x14ac:dyDescent="0.25">
      <c r="A914" s="9" t="str">
        <f t="shared" si="22"/>
        <v>62007</v>
      </c>
      <c r="B914" s="14">
        <v>39255</v>
      </c>
      <c r="C914">
        <v>1562</v>
      </c>
      <c r="D914" s="9"/>
    </row>
    <row r="915" spans="1:4" x14ac:dyDescent="0.25">
      <c r="A915" s="9" t="str">
        <f t="shared" si="22"/>
        <v>62007</v>
      </c>
      <c r="B915" s="14">
        <v>39262</v>
      </c>
      <c r="C915">
        <v>3151</v>
      </c>
      <c r="D915" s="9"/>
    </row>
    <row r="916" spans="1:4" x14ac:dyDescent="0.25">
      <c r="A916" s="9" t="str">
        <f t="shared" si="22"/>
        <v>72007</v>
      </c>
      <c r="B916" s="14">
        <v>39269</v>
      </c>
      <c r="C916">
        <v>-1462</v>
      </c>
      <c r="D916" s="9"/>
    </row>
    <row r="917" spans="1:4" x14ac:dyDescent="0.25">
      <c r="A917" s="9" t="str">
        <f t="shared" si="22"/>
        <v>72007</v>
      </c>
      <c r="B917" s="14">
        <v>39276</v>
      </c>
      <c r="C917">
        <v>-449</v>
      </c>
      <c r="D917" s="9"/>
    </row>
    <row r="918" spans="1:4" x14ac:dyDescent="0.25">
      <c r="A918" s="9" t="str">
        <f t="shared" si="22"/>
        <v>72007</v>
      </c>
      <c r="B918" s="14">
        <v>39283</v>
      </c>
      <c r="C918">
        <v>-1103</v>
      </c>
      <c r="D918" s="9"/>
    </row>
    <row r="919" spans="1:4" x14ac:dyDescent="0.25">
      <c r="A919" s="9" t="str">
        <f t="shared" si="22"/>
        <v>72007</v>
      </c>
      <c r="B919" s="14">
        <v>39290</v>
      </c>
      <c r="C919">
        <v>-6497</v>
      </c>
      <c r="D919" s="9"/>
    </row>
    <row r="920" spans="1:4" x14ac:dyDescent="0.25">
      <c r="A920" s="9" t="str">
        <f t="shared" si="22"/>
        <v>82007</v>
      </c>
      <c r="B920" s="14">
        <v>39297</v>
      </c>
      <c r="C920">
        <v>-4136</v>
      </c>
      <c r="D920" s="9"/>
    </row>
    <row r="921" spans="1:4" x14ac:dyDescent="0.25">
      <c r="A921" s="9" t="str">
        <f t="shared" si="22"/>
        <v>82007</v>
      </c>
      <c r="B921" s="14">
        <v>39304</v>
      </c>
      <c r="C921">
        <v>-5167</v>
      </c>
      <c r="D921" s="9"/>
    </row>
    <row r="922" spans="1:4" x14ac:dyDescent="0.25">
      <c r="A922" s="9" t="str">
        <f t="shared" si="22"/>
        <v>82007</v>
      </c>
      <c r="B922" s="14">
        <v>39311</v>
      </c>
      <c r="C922">
        <v>1890</v>
      </c>
      <c r="D922" s="9"/>
    </row>
    <row r="923" spans="1:4" x14ac:dyDescent="0.25">
      <c r="A923" s="9" t="str">
        <f t="shared" si="22"/>
        <v>82007</v>
      </c>
      <c r="B923" s="14">
        <v>39318</v>
      </c>
      <c r="C923">
        <v>-3486</v>
      </c>
      <c r="D923" s="9"/>
    </row>
    <row r="924" spans="1:4" x14ac:dyDescent="0.25">
      <c r="A924" s="9" t="str">
        <f t="shared" si="22"/>
        <v>82007</v>
      </c>
      <c r="B924" s="14">
        <v>39325</v>
      </c>
      <c r="C924">
        <v>-3972</v>
      </c>
      <c r="D924" s="9"/>
    </row>
    <row r="925" spans="1:4" x14ac:dyDescent="0.25">
      <c r="A925" s="9" t="str">
        <f t="shared" si="22"/>
        <v>92007</v>
      </c>
      <c r="B925" s="14">
        <v>39332</v>
      </c>
      <c r="C925">
        <v>-7011</v>
      </c>
      <c r="D925" s="9"/>
    </row>
    <row r="926" spans="1:4" x14ac:dyDescent="0.25">
      <c r="A926" s="9" t="str">
        <f t="shared" si="22"/>
        <v>92007</v>
      </c>
      <c r="B926" s="14">
        <v>39339</v>
      </c>
      <c r="C926">
        <v>-3874</v>
      </c>
      <c r="D926" s="9"/>
    </row>
    <row r="927" spans="1:4" x14ac:dyDescent="0.25">
      <c r="A927" s="9" t="str">
        <f t="shared" si="22"/>
        <v>92007</v>
      </c>
      <c r="B927" s="14">
        <v>39346</v>
      </c>
      <c r="C927">
        <v>1842</v>
      </c>
      <c r="D927" s="9"/>
    </row>
    <row r="928" spans="1:4" x14ac:dyDescent="0.25">
      <c r="A928" s="9" t="str">
        <f t="shared" si="22"/>
        <v>92007</v>
      </c>
      <c r="B928" s="14">
        <v>39353</v>
      </c>
      <c r="C928">
        <v>1138</v>
      </c>
      <c r="D928" s="9"/>
    </row>
    <row r="929" spans="1:4" x14ac:dyDescent="0.25">
      <c r="A929" s="9" t="str">
        <f t="shared" si="22"/>
        <v>102007</v>
      </c>
      <c r="B929" s="14">
        <v>39360</v>
      </c>
      <c r="C929">
        <v>-1674</v>
      </c>
      <c r="D929" s="9"/>
    </row>
    <row r="930" spans="1:4" x14ac:dyDescent="0.25">
      <c r="A930" s="9" t="str">
        <f t="shared" si="22"/>
        <v>102007</v>
      </c>
      <c r="B930" s="14">
        <v>39367</v>
      </c>
      <c r="C930">
        <v>1784</v>
      </c>
      <c r="D930" s="9"/>
    </row>
    <row r="931" spans="1:4" x14ac:dyDescent="0.25">
      <c r="A931" s="9" t="str">
        <f t="shared" si="22"/>
        <v>102007</v>
      </c>
      <c r="B931" s="14">
        <v>39374</v>
      </c>
      <c r="C931">
        <v>-5288</v>
      </c>
      <c r="D931" s="9"/>
    </row>
    <row r="932" spans="1:4" x14ac:dyDescent="0.25">
      <c r="A932" s="9" t="str">
        <f t="shared" si="22"/>
        <v>102007</v>
      </c>
      <c r="B932" s="14">
        <v>39381</v>
      </c>
      <c r="C932">
        <v>-3894</v>
      </c>
      <c r="D932" s="9"/>
    </row>
    <row r="933" spans="1:4" x14ac:dyDescent="0.25">
      <c r="A933" s="9" t="str">
        <f t="shared" si="22"/>
        <v>112007</v>
      </c>
      <c r="B933" s="14">
        <v>39388</v>
      </c>
      <c r="C933">
        <v>-821</v>
      </c>
      <c r="D933" s="9"/>
    </row>
    <row r="934" spans="1:4" x14ac:dyDescent="0.25">
      <c r="A934" s="9" t="str">
        <f t="shared" si="22"/>
        <v>112007</v>
      </c>
      <c r="B934" s="14">
        <v>39395</v>
      </c>
      <c r="C934">
        <v>2814</v>
      </c>
      <c r="D934" s="9"/>
    </row>
    <row r="935" spans="1:4" x14ac:dyDescent="0.25">
      <c r="A935" s="9" t="str">
        <f t="shared" si="22"/>
        <v>112007</v>
      </c>
      <c r="B935" s="14">
        <v>39402</v>
      </c>
      <c r="C935">
        <v>-1071</v>
      </c>
      <c r="D935" s="9"/>
    </row>
    <row r="936" spans="1:4" x14ac:dyDescent="0.25">
      <c r="A936" s="9" t="str">
        <f t="shared" si="22"/>
        <v>112007</v>
      </c>
      <c r="B936" s="14">
        <v>39409</v>
      </c>
      <c r="C936">
        <v>-452</v>
      </c>
      <c r="D936" s="9"/>
    </row>
    <row r="937" spans="1:4" x14ac:dyDescent="0.25">
      <c r="A937" s="9" t="str">
        <f t="shared" si="22"/>
        <v>112007</v>
      </c>
      <c r="B937" s="14">
        <v>39416</v>
      </c>
      <c r="C937">
        <v>-7913</v>
      </c>
      <c r="D937" s="9"/>
    </row>
    <row r="938" spans="1:4" x14ac:dyDescent="0.25">
      <c r="A938" s="9" t="str">
        <f t="shared" si="22"/>
        <v>122007</v>
      </c>
      <c r="B938" s="14">
        <v>39423</v>
      </c>
      <c r="C938">
        <v>-722</v>
      </c>
      <c r="D938" s="9"/>
    </row>
    <row r="939" spans="1:4" x14ac:dyDescent="0.25">
      <c r="A939" s="9" t="str">
        <f t="shared" si="22"/>
        <v>122007</v>
      </c>
      <c r="B939" s="14">
        <v>39430</v>
      </c>
      <c r="C939">
        <v>-7586</v>
      </c>
      <c r="D939" s="9"/>
    </row>
    <row r="940" spans="1:4" x14ac:dyDescent="0.25">
      <c r="A940" s="9" t="str">
        <f t="shared" si="22"/>
        <v>122007</v>
      </c>
      <c r="B940" s="14">
        <v>39437</v>
      </c>
      <c r="C940">
        <v>-3299</v>
      </c>
      <c r="D940" s="9"/>
    </row>
    <row r="941" spans="1:4" x14ac:dyDescent="0.25">
      <c r="A941" s="9" t="str">
        <f t="shared" si="22"/>
        <v>122007</v>
      </c>
      <c r="B941" s="14">
        <v>39444</v>
      </c>
      <c r="C941">
        <v>-4056</v>
      </c>
      <c r="D941" s="9"/>
    </row>
    <row r="942" spans="1:4" x14ac:dyDescent="0.25">
      <c r="A942" s="9" t="str">
        <f t="shared" si="22"/>
        <v>12008</v>
      </c>
      <c r="B942" s="14">
        <v>39451</v>
      </c>
      <c r="C942">
        <v>-6736</v>
      </c>
      <c r="D942" s="9"/>
    </row>
    <row r="943" spans="1:4" x14ac:dyDescent="0.25">
      <c r="A943" s="9" t="str">
        <f t="shared" si="22"/>
        <v>12008</v>
      </c>
      <c r="B943" s="14">
        <v>39458</v>
      </c>
      <c r="C943">
        <v>4259</v>
      </c>
      <c r="D943" s="9"/>
    </row>
    <row r="944" spans="1:4" x14ac:dyDescent="0.25">
      <c r="A944" s="9" t="str">
        <f t="shared" si="22"/>
        <v>12008</v>
      </c>
      <c r="B944" s="14">
        <v>39465</v>
      </c>
      <c r="C944">
        <v>2297</v>
      </c>
      <c r="D944" s="9"/>
    </row>
    <row r="945" spans="1:4" x14ac:dyDescent="0.25">
      <c r="A945" s="9" t="str">
        <f t="shared" si="22"/>
        <v>12008</v>
      </c>
      <c r="B945" s="14">
        <v>39472</v>
      </c>
      <c r="C945">
        <v>3555</v>
      </c>
      <c r="D945" s="9"/>
    </row>
    <row r="946" spans="1:4" x14ac:dyDescent="0.25">
      <c r="A946" s="9" t="str">
        <f t="shared" si="22"/>
        <v>22008</v>
      </c>
      <c r="B946" s="14">
        <v>39479</v>
      </c>
      <c r="C946">
        <v>7052</v>
      </c>
      <c r="D946" s="9"/>
    </row>
    <row r="947" spans="1:4" x14ac:dyDescent="0.25">
      <c r="A947" s="9" t="str">
        <f t="shared" si="22"/>
        <v>22008</v>
      </c>
      <c r="B947" s="14">
        <v>39486</v>
      </c>
      <c r="C947">
        <v>1066</v>
      </c>
      <c r="D947" s="9"/>
    </row>
    <row r="948" spans="1:4" x14ac:dyDescent="0.25">
      <c r="A948" s="9" t="str">
        <f t="shared" si="22"/>
        <v>22008</v>
      </c>
      <c r="B948" s="14">
        <v>39493</v>
      </c>
      <c r="C948">
        <v>4204</v>
      </c>
      <c r="D948" s="9"/>
    </row>
    <row r="949" spans="1:4" x14ac:dyDescent="0.25">
      <c r="A949" s="9" t="str">
        <f t="shared" si="22"/>
        <v>22008</v>
      </c>
      <c r="B949" s="14">
        <v>39500</v>
      </c>
      <c r="C949">
        <v>3231</v>
      </c>
      <c r="D949" s="9"/>
    </row>
    <row r="950" spans="1:4" x14ac:dyDescent="0.25">
      <c r="A950" s="9" t="str">
        <f t="shared" si="22"/>
        <v>22008</v>
      </c>
      <c r="B950" s="14">
        <v>39507</v>
      </c>
      <c r="C950">
        <v>-3056</v>
      </c>
      <c r="D950" s="9"/>
    </row>
    <row r="951" spans="1:4" x14ac:dyDescent="0.25">
      <c r="A951" s="9" t="str">
        <f t="shared" si="22"/>
        <v>32008</v>
      </c>
      <c r="B951" s="14">
        <v>39514</v>
      </c>
      <c r="C951">
        <v>6177</v>
      </c>
      <c r="D951" s="9"/>
    </row>
    <row r="952" spans="1:4" x14ac:dyDescent="0.25">
      <c r="A952" s="9" t="str">
        <f t="shared" si="22"/>
        <v>32008</v>
      </c>
      <c r="B952" s="14">
        <v>39521</v>
      </c>
      <c r="C952">
        <v>133</v>
      </c>
      <c r="D952" s="9"/>
    </row>
    <row r="953" spans="1:4" x14ac:dyDescent="0.25">
      <c r="A953" s="9" t="str">
        <f t="shared" si="22"/>
        <v>32008</v>
      </c>
      <c r="B953" s="14">
        <v>39528</v>
      </c>
      <c r="C953">
        <v>88</v>
      </c>
      <c r="D953" s="9"/>
    </row>
    <row r="954" spans="1:4" x14ac:dyDescent="0.25">
      <c r="A954" s="9" t="str">
        <f t="shared" si="22"/>
        <v>32008</v>
      </c>
      <c r="B954" s="14">
        <v>39535</v>
      </c>
      <c r="C954">
        <v>7317</v>
      </c>
      <c r="D954" s="9"/>
    </row>
    <row r="955" spans="1:4" x14ac:dyDescent="0.25">
      <c r="A955" s="9" t="str">
        <f t="shared" si="22"/>
        <v>42008</v>
      </c>
      <c r="B955" s="14">
        <v>39542</v>
      </c>
      <c r="C955">
        <v>-3148</v>
      </c>
      <c r="D955" s="9"/>
    </row>
    <row r="956" spans="1:4" x14ac:dyDescent="0.25">
      <c r="A956" s="9" t="str">
        <f t="shared" si="22"/>
        <v>42008</v>
      </c>
      <c r="B956" s="14">
        <v>39549</v>
      </c>
      <c r="C956">
        <v>-2356</v>
      </c>
      <c r="D956" s="9"/>
    </row>
    <row r="957" spans="1:4" x14ac:dyDescent="0.25">
      <c r="A957" s="9" t="str">
        <f t="shared" si="22"/>
        <v>42008</v>
      </c>
      <c r="B957" s="14">
        <v>39556</v>
      </c>
      <c r="C957">
        <v>2421</v>
      </c>
      <c r="D957" s="9"/>
    </row>
    <row r="958" spans="1:4" x14ac:dyDescent="0.25">
      <c r="A958" s="9" t="str">
        <f t="shared" si="22"/>
        <v>42008</v>
      </c>
      <c r="B958" s="14">
        <v>39563</v>
      </c>
      <c r="C958">
        <v>3848</v>
      </c>
      <c r="D958" s="9"/>
    </row>
    <row r="959" spans="1:4" x14ac:dyDescent="0.25">
      <c r="A959" s="9" t="str">
        <f t="shared" si="22"/>
        <v>52008</v>
      </c>
      <c r="B959" s="14">
        <v>39570</v>
      </c>
      <c r="C959">
        <v>5654</v>
      </c>
      <c r="D959" s="9"/>
    </row>
    <row r="960" spans="1:4" x14ac:dyDescent="0.25">
      <c r="A960" s="9" t="str">
        <f t="shared" si="22"/>
        <v>52008</v>
      </c>
      <c r="B960" s="14">
        <v>39577</v>
      </c>
      <c r="C960">
        <v>176</v>
      </c>
      <c r="D960" s="9"/>
    </row>
    <row r="961" spans="1:4" x14ac:dyDescent="0.25">
      <c r="A961" s="9" t="str">
        <f t="shared" si="22"/>
        <v>52008</v>
      </c>
      <c r="B961" s="14">
        <v>39584</v>
      </c>
      <c r="C961">
        <v>-5317</v>
      </c>
      <c r="D961" s="9"/>
    </row>
    <row r="962" spans="1:4" x14ac:dyDescent="0.25">
      <c r="A962" s="9" t="str">
        <f t="shared" si="22"/>
        <v>52008</v>
      </c>
      <c r="B962" s="14">
        <v>39591</v>
      </c>
      <c r="C962">
        <v>-8883</v>
      </c>
      <c r="D962" s="9"/>
    </row>
    <row r="963" spans="1:4" x14ac:dyDescent="0.25">
      <c r="A963" s="9" t="str">
        <f t="shared" si="22"/>
        <v>52008</v>
      </c>
      <c r="B963" s="14">
        <v>39598</v>
      </c>
      <c r="C963">
        <v>-4802</v>
      </c>
      <c r="D963" s="9"/>
    </row>
    <row r="964" spans="1:4" x14ac:dyDescent="0.25">
      <c r="A964" s="9" t="str">
        <f t="shared" ref="A964:A1027" si="23">MONTH(B964)&amp;YEAR(B964)</f>
        <v>62008</v>
      </c>
      <c r="B964" s="14">
        <v>39605</v>
      </c>
      <c r="C964">
        <v>-4560</v>
      </c>
      <c r="D964" s="9"/>
    </row>
    <row r="965" spans="1:4" x14ac:dyDescent="0.25">
      <c r="A965" s="9" t="str">
        <f t="shared" si="23"/>
        <v>62008</v>
      </c>
      <c r="B965" s="14">
        <v>39612</v>
      </c>
      <c r="C965">
        <v>-1242</v>
      </c>
      <c r="D965" s="9"/>
    </row>
    <row r="966" spans="1:4" x14ac:dyDescent="0.25">
      <c r="A966" s="9" t="str">
        <f t="shared" si="23"/>
        <v>62008</v>
      </c>
      <c r="B966" s="14">
        <v>39619</v>
      </c>
      <c r="C966">
        <v>803</v>
      </c>
      <c r="D966" s="9"/>
    </row>
    <row r="967" spans="1:4" x14ac:dyDescent="0.25">
      <c r="A967" s="9" t="str">
        <f t="shared" si="23"/>
        <v>62008</v>
      </c>
      <c r="B967" s="14">
        <v>39626</v>
      </c>
      <c r="C967">
        <v>-1982</v>
      </c>
      <c r="D967" s="9"/>
    </row>
    <row r="968" spans="1:4" x14ac:dyDescent="0.25">
      <c r="A968" s="9" t="str">
        <f t="shared" si="23"/>
        <v>72008</v>
      </c>
      <c r="B968" s="14">
        <v>39633</v>
      </c>
      <c r="C968">
        <v>-5840</v>
      </c>
      <c r="D968" s="9"/>
    </row>
    <row r="969" spans="1:4" x14ac:dyDescent="0.25">
      <c r="A969" s="9" t="str">
        <f t="shared" si="23"/>
        <v>72008</v>
      </c>
      <c r="B969" s="14">
        <v>39640</v>
      </c>
      <c r="C969">
        <v>2952</v>
      </c>
      <c r="D969" s="9"/>
    </row>
    <row r="970" spans="1:4" x14ac:dyDescent="0.25">
      <c r="A970" s="9" t="str">
        <f t="shared" si="23"/>
        <v>72008</v>
      </c>
      <c r="B970" s="14">
        <v>39647</v>
      </c>
      <c r="C970">
        <v>-1558</v>
      </c>
      <c r="D970" s="9"/>
    </row>
    <row r="971" spans="1:4" x14ac:dyDescent="0.25">
      <c r="A971" s="9" t="str">
        <f t="shared" si="23"/>
        <v>72008</v>
      </c>
      <c r="B971" s="14">
        <v>39654</v>
      </c>
      <c r="C971">
        <v>-81</v>
      </c>
      <c r="D971" s="9"/>
    </row>
    <row r="972" spans="1:4" x14ac:dyDescent="0.25">
      <c r="A972" s="9" t="str">
        <f t="shared" si="23"/>
        <v>82008</v>
      </c>
      <c r="B972" s="14">
        <v>39661</v>
      </c>
      <c r="C972">
        <v>1614</v>
      </c>
      <c r="D972" s="9"/>
    </row>
    <row r="973" spans="1:4" x14ac:dyDescent="0.25">
      <c r="A973" s="9" t="str">
        <f t="shared" si="23"/>
        <v>82008</v>
      </c>
      <c r="B973" s="14">
        <v>39668</v>
      </c>
      <c r="C973">
        <v>-316</v>
      </c>
      <c r="D973" s="9"/>
    </row>
    <row r="974" spans="1:4" x14ac:dyDescent="0.25">
      <c r="A974" s="9" t="str">
        <f t="shared" si="23"/>
        <v>82008</v>
      </c>
      <c r="B974" s="14">
        <v>39675</v>
      </c>
      <c r="C974">
        <v>9390</v>
      </c>
      <c r="D974" s="9"/>
    </row>
    <row r="975" spans="1:4" x14ac:dyDescent="0.25">
      <c r="A975" s="9" t="str">
        <f t="shared" si="23"/>
        <v>82008</v>
      </c>
      <c r="B975" s="14">
        <v>39682</v>
      </c>
      <c r="C975">
        <v>-177</v>
      </c>
      <c r="D975" s="9"/>
    </row>
    <row r="976" spans="1:4" x14ac:dyDescent="0.25">
      <c r="A976" s="9" t="str">
        <f t="shared" si="23"/>
        <v>82008</v>
      </c>
      <c r="B976" s="14">
        <v>39689</v>
      </c>
      <c r="C976">
        <v>-1898</v>
      </c>
      <c r="D976" s="9"/>
    </row>
    <row r="977" spans="1:4" x14ac:dyDescent="0.25">
      <c r="A977" s="9" t="str">
        <f t="shared" si="23"/>
        <v>92008</v>
      </c>
      <c r="B977" s="14">
        <v>39696</v>
      </c>
      <c r="C977">
        <v>-5828</v>
      </c>
      <c r="D977" s="9"/>
    </row>
    <row r="978" spans="1:4" x14ac:dyDescent="0.25">
      <c r="A978" s="9" t="str">
        <f t="shared" si="23"/>
        <v>92008</v>
      </c>
      <c r="B978" s="14">
        <v>39703</v>
      </c>
      <c r="C978">
        <v>-6328</v>
      </c>
      <c r="D978" s="9"/>
    </row>
    <row r="979" spans="1:4" x14ac:dyDescent="0.25">
      <c r="A979" s="9" t="str">
        <f t="shared" si="23"/>
        <v>92008</v>
      </c>
      <c r="B979" s="14">
        <v>39710</v>
      </c>
      <c r="C979">
        <v>-1520</v>
      </c>
      <c r="D979" s="9"/>
    </row>
    <row r="980" spans="1:4" x14ac:dyDescent="0.25">
      <c r="A980" s="9" t="str">
        <f t="shared" si="23"/>
        <v>92008</v>
      </c>
      <c r="B980" s="14">
        <v>39717</v>
      </c>
      <c r="C980">
        <v>4278</v>
      </c>
      <c r="D980" s="9"/>
    </row>
    <row r="981" spans="1:4" x14ac:dyDescent="0.25">
      <c r="A981" s="9" t="str">
        <f t="shared" si="23"/>
        <v>102008</v>
      </c>
      <c r="B981" s="14">
        <v>39724</v>
      </c>
      <c r="C981">
        <v>8123</v>
      </c>
      <c r="D981" s="9"/>
    </row>
    <row r="982" spans="1:4" x14ac:dyDescent="0.25">
      <c r="A982" s="9" t="str">
        <f t="shared" si="23"/>
        <v>102008</v>
      </c>
      <c r="B982" s="14">
        <v>39731</v>
      </c>
      <c r="C982">
        <v>5611</v>
      </c>
      <c r="D982" s="9"/>
    </row>
    <row r="983" spans="1:4" x14ac:dyDescent="0.25">
      <c r="A983" s="9" t="str">
        <f t="shared" si="23"/>
        <v>102008</v>
      </c>
      <c r="B983" s="14">
        <v>39738</v>
      </c>
      <c r="C983">
        <v>3182</v>
      </c>
      <c r="D983" s="9"/>
    </row>
    <row r="984" spans="1:4" x14ac:dyDescent="0.25">
      <c r="A984" s="9" t="str">
        <f t="shared" si="23"/>
        <v>102008</v>
      </c>
      <c r="B984" s="14">
        <v>39745</v>
      </c>
      <c r="C984">
        <v>493</v>
      </c>
      <c r="D984" s="9"/>
    </row>
    <row r="985" spans="1:4" x14ac:dyDescent="0.25">
      <c r="A985" s="9" t="str">
        <f t="shared" si="23"/>
        <v>102008</v>
      </c>
      <c r="B985" s="14">
        <v>39752</v>
      </c>
      <c r="C985">
        <v>54</v>
      </c>
      <c r="D985" s="9"/>
    </row>
    <row r="986" spans="1:4" x14ac:dyDescent="0.25">
      <c r="A986" s="9" t="str">
        <f t="shared" si="23"/>
        <v>112008</v>
      </c>
      <c r="B986" s="14">
        <v>39759</v>
      </c>
      <c r="C986">
        <v>22</v>
      </c>
      <c r="D986" s="9"/>
    </row>
    <row r="987" spans="1:4" x14ac:dyDescent="0.25">
      <c r="A987" s="9" t="str">
        <f t="shared" si="23"/>
        <v>112008</v>
      </c>
      <c r="B987" s="14">
        <v>39766</v>
      </c>
      <c r="C987">
        <v>1599</v>
      </c>
      <c r="D987" s="9"/>
    </row>
    <row r="988" spans="1:4" x14ac:dyDescent="0.25">
      <c r="A988" s="9" t="str">
        <f t="shared" si="23"/>
        <v>112008</v>
      </c>
      <c r="B988" s="14">
        <v>39773</v>
      </c>
      <c r="C988">
        <v>7280</v>
      </c>
      <c r="D988" s="9"/>
    </row>
    <row r="989" spans="1:4" x14ac:dyDescent="0.25">
      <c r="A989" s="9" t="str">
        <f t="shared" si="23"/>
        <v>112008</v>
      </c>
      <c r="B989" s="14">
        <v>39780</v>
      </c>
      <c r="C989">
        <v>-456</v>
      </c>
      <c r="D989" s="9"/>
    </row>
    <row r="990" spans="1:4" x14ac:dyDescent="0.25">
      <c r="A990" s="9" t="str">
        <f t="shared" si="23"/>
        <v>122008</v>
      </c>
      <c r="B990" s="14">
        <v>39787</v>
      </c>
      <c r="C990">
        <v>392</v>
      </c>
      <c r="D990" s="9"/>
    </row>
    <row r="991" spans="1:4" x14ac:dyDescent="0.25">
      <c r="A991" s="9" t="str">
        <f t="shared" si="23"/>
        <v>122008</v>
      </c>
      <c r="B991" s="14">
        <v>39794</v>
      </c>
      <c r="C991">
        <v>525</v>
      </c>
      <c r="D991" s="9"/>
    </row>
    <row r="992" spans="1:4" x14ac:dyDescent="0.25">
      <c r="A992" s="9" t="str">
        <f t="shared" si="23"/>
        <v>122008</v>
      </c>
      <c r="B992" s="14">
        <v>39801</v>
      </c>
      <c r="C992">
        <v>-3101</v>
      </c>
      <c r="D992" s="9"/>
    </row>
    <row r="993" spans="1:4" x14ac:dyDescent="0.25">
      <c r="A993" s="9" t="str">
        <f t="shared" si="23"/>
        <v>122008</v>
      </c>
      <c r="B993" s="14">
        <v>39808</v>
      </c>
      <c r="C993">
        <v>549</v>
      </c>
      <c r="D993" s="9"/>
    </row>
    <row r="994" spans="1:4" x14ac:dyDescent="0.25">
      <c r="A994" s="9" t="str">
        <f t="shared" si="23"/>
        <v>12009</v>
      </c>
      <c r="B994" s="14">
        <v>39815</v>
      </c>
      <c r="C994">
        <v>6682</v>
      </c>
      <c r="D994" s="9"/>
    </row>
    <row r="995" spans="1:4" x14ac:dyDescent="0.25">
      <c r="A995" s="9" t="str">
        <f t="shared" si="23"/>
        <v>12009</v>
      </c>
      <c r="B995" s="14">
        <v>39822</v>
      </c>
      <c r="C995">
        <v>1144</v>
      </c>
      <c r="D995" s="9"/>
    </row>
    <row r="996" spans="1:4" x14ac:dyDescent="0.25">
      <c r="A996" s="9" t="str">
        <f t="shared" si="23"/>
        <v>12009</v>
      </c>
      <c r="B996" s="14">
        <v>39829</v>
      </c>
      <c r="C996">
        <v>6100</v>
      </c>
      <c r="D996" s="9"/>
    </row>
    <row r="997" spans="1:4" x14ac:dyDescent="0.25">
      <c r="A997" s="9" t="str">
        <f t="shared" si="23"/>
        <v>12009</v>
      </c>
      <c r="B997" s="14">
        <v>39836</v>
      </c>
      <c r="C997">
        <v>6218</v>
      </c>
      <c r="D997" s="9"/>
    </row>
    <row r="998" spans="1:4" x14ac:dyDescent="0.25">
      <c r="A998" s="9" t="str">
        <f t="shared" si="23"/>
        <v>12009</v>
      </c>
      <c r="B998" s="14">
        <v>39843</v>
      </c>
      <c r="C998">
        <v>7170</v>
      </c>
      <c r="D998" s="9"/>
    </row>
    <row r="999" spans="1:4" x14ac:dyDescent="0.25">
      <c r="A999" s="9" t="str">
        <f t="shared" si="23"/>
        <v>22009</v>
      </c>
      <c r="B999" s="14">
        <v>39850</v>
      </c>
      <c r="C999">
        <v>4717</v>
      </c>
      <c r="D999" s="9"/>
    </row>
    <row r="1000" spans="1:4" x14ac:dyDescent="0.25">
      <c r="A1000" s="9" t="str">
        <f t="shared" si="23"/>
        <v>22009</v>
      </c>
      <c r="B1000" s="14">
        <v>39857</v>
      </c>
      <c r="C1000">
        <v>-138</v>
      </c>
      <c r="D1000" s="9"/>
    </row>
    <row r="1001" spans="1:4" x14ac:dyDescent="0.25">
      <c r="A1001" s="9" t="str">
        <f t="shared" si="23"/>
        <v>22009</v>
      </c>
      <c r="B1001" s="14">
        <v>39864</v>
      </c>
      <c r="C1001">
        <v>717</v>
      </c>
      <c r="D1001" s="9"/>
    </row>
    <row r="1002" spans="1:4" x14ac:dyDescent="0.25">
      <c r="A1002" s="9" t="str">
        <f t="shared" si="23"/>
        <v>22009</v>
      </c>
      <c r="B1002" s="14">
        <v>39871</v>
      </c>
      <c r="C1002">
        <v>-757</v>
      </c>
      <c r="D1002" s="9"/>
    </row>
    <row r="1003" spans="1:4" x14ac:dyDescent="0.25">
      <c r="A1003" s="9" t="str">
        <f t="shared" si="23"/>
        <v>32009</v>
      </c>
      <c r="B1003" s="14">
        <v>39878</v>
      </c>
      <c r="C1003">
        <v>749</v>
      </c>
      <c r="D1003" s="9"/>
    </row>
    <row r="1004" spans="1:4" x14ac:dyDescent="0.25">
      <c r="A1004" s="9" t="str">
        <f t="shared" si="23"/>
        <v>32009</v>
      </c>
      <c r="B1004" s="14">
        <v>39885</v>
      </c>
      <c r="C1004">
        <v>1942</v>
      </c>
      <c r="D1004" s="9"/>
    </row>
    <row r="1005" spans="1:4" x14ac:dyDescent="0.25">
      <c r="A1005" s="9" t="str">
        <f t="shared" si="23"/>
        <v>32009</v>
      </c>
      <c r="B1005" s="14">
        <v>39892</v>
      </c>
      <c r="C1005">
        <v>3302</v>
      </c>
      <c r="D1005" s="9"/>
    </row>
    <row r="1006" spans="1:4" x14ac:dyDescent="0.25">
      <c r="A1006" s="9" t="str">
        <f t="shared" si="23"/>
        <v>32009</v>
      </c>
      <c r="B1006" s="14">
        <v>39899</v>
      </c>
      <c r="C1006">
        <v>2844</v>
      </c>
      <c r="D1006" s="9"/>
    </row>
    <row r="1007" spans="1:4" x14ac:dyDescent="0.25">
      <c r="A1007" s="9" t="str">
        <f t="shared" si="23"/>
        <v>42009</v>
      </c>
      <c r="B1007" s="14">
        <v>39906</v>
      </c>
      <c r="C1007">
        <v>1645</v>
      </c>
      <c r="D1007" s="9"/>
    </row>
    <row r="1008" spans="1:4" x14ac:dyDescent="0.25">
      <c r="A1008" s="9" t="str">
        <f t="shared" si="23"/>
        <v>42009</v>
      </c>
      <c r="B1008" s="14">
        <v>39913</v>
      </c>
      <c r="C1008">
        <v>5671</v>
      </c>
      <c r="D1008" s="9"/>
    </row>
    <row r="1009" spans="1:4" x14ac:dyDescent="0.25">
      <c r="A1009" s="9" t="str">
        <f t="shared" si="23"/>
        <v>42009</v>
      </c>
      <c r="B1009" s="14">
        <v>39920</v>
      </c>
      <c r="C1009">
        <v>3857</v>
      </c>
      <c r="D1009" s="9"/>
    </row>
    <row r="1010" spans="1:4" x14ac:dyDescent="0.25">
      <c r="A1010" s="9" t="str">
        <f t="shared" si="23"/>
        <v>42009</v>
      </c>
      <c r="B1010" s="14">
        <v>39927</v>
      </c>
      <c r="C1010">
        <v>4053</v>
      </c>
      <c r="D1010" s="9"/>
    </row>
    <row r="1011" spans="1:4" x14ac:dyDescent="0.25">
      <c r="A1011" s="9" t="str">
        <f t="shared" si="23"/>
        <v>52009</v>
      </c>
      <c r="B1011" s="14">
        <v>39934</v>
      </c>
      <c r="C1011">
        <v>605</v>
      </c>
      <c r="D1011" s="9"/>
    </row>
    <row r="1012" spans="1:4" x14ac:dyDescent="0.25">
      <c r="A1012" s="9" t="str">
        <f t="shared" si="23"/>
        <v>52009</v>
      </c>
      <c r="B1012" s="14">
        <v>39941</v>
      </c>
      <c r="C1012">
        <v>-4629</v>
      </c>
      <c r="D1012" s="9"/>
    </row>
    <row r="1013" spans="1:4" x14ac:dyDescent="0.25">
      <c r="A1013" s="9" t="str">
        <f t="shared" si="23"/>
        <v>52009</v>
      </c>
      <c r="B1013" s="14">
        <v>39948</v>
      </c>
      <c r="C1013">
        <v>-2105</v>
      </c>
      <c r="D1013" s="9"/>
    </row>
    <row r="1014" spans="1:4" x14ac:dyDescent="0.25">
      <c r="A1014" s="9" t="str">
        <f t="shared" si="23"/>
        <v>52009</v>
      </c>
      <c r="B1014" s="14">
        <v>39955</v>
      </c>
      <c r="C1014">
        <v>-5413</v>
      </c>
      <c r="D1014" s="9"/>
    </row>
    <row r="1015" spans="1:4" x14ac:dyDescent="0.25">
      <c r="A1015" s="9" t="str">
        <f t="shared" si="23"/>
        <v>52009</v>
      </c>
      <c r="B1015" s="14">
        <v>39962</v>
      </c>
      <c r="C1015">
        <v>2866</v>
      </c>
      <c r="D1015" s="9"/>
    </row>
    <row r="1016" spans="1:4" x14ac:dyDescent="0.25">
      <c r="A1016" s="9" t="str">
        <f t="shared" si="23"/>
        <v>62009</v>
      </c>
      <c r="B1016" s="14">
        <v>39969</v>
      </c>
      <c r="C1016">
        <v>-4382</v>
      </c>
      <c r="D1016" s="9"/>
    </row>
    <row r="1017" spans="1:4" x14ac:dyDescent="0.25">
      <c r="A1017" s="9" t="str">
        <f t="shared" si="23"/>
        <v>62009</v>
      </c>
      <c r="B1017" s="14">
        <v>39976</v>
      </c>
      <c r="C1017">
        <v>-3874</v>
      </c>
      <c r="D1017" s="9"/>
    </row>
    <row r="1018" spans="1:4" x14ac:dyDescent="0.25">
      <c r="A1018" s="9" t="str">
        <f t="shared" si="23"/>
        <v>62009</v>
      </c>
      <c r="B1018" s="14">
        <v>39983</v>
      </c>
      <c r="C1018">
        <v>-3868</v>
      </c>
      <c r="D1018" s="9"/>
    </row>
    <row r="1019" spans="1:4" x14ac:dyDescent="0.25">
      <c r="A1019" s="9" t="str">
        <f t="shared" si="23"/>
        <v>62009</v>
      </c>
      <c r="B1019" s="14">
        <v>39990</v>
      </c>
      <c r="C1019">
        <v>-3660</v>
      </c>
      <c r="D1019" s="9"/>
    </row>
    <row r="1020" spans="1:4" x14ac:dyDescent="0.25">
      <c r="A1020" s="9" t="str">
        <f t="shared" si="23"/>
        <v>72009</v>
      </c>
      <c r="B1020" s="14">
        <v>39997</v>
      </c>
      <c r="C1020">
        <v>-2896</v>
      </c>
      <c r="D1020" s="9"/>
    </row>
    <row r="1021" spans="1:4" x14ac:dyDescent="0.25">
      <c r="A1021" s="9" t="str">
        <f t="shared" si="23"/>
        <v>72009</v>
      </c>
      <c r="B1021" s="14">
        <v>40004</v>
      </c>
      <c r="C1021">
        <v>-2813</v>
      </c>
      <c r="D1021" s="9"/>
    </row>
    <row r="1022" spans="1:4" x14ac:dyDescent="0.25">
      <c r="A1022" s="9" t="str">
        <f t="shared" si="23"/>
        <v>72009</v>
      </c>
      <c r="B1022" s="14">
        <v>40011</v>
      </c>
      <c r="C1022">
        <v>-1796</v>
      </c>
      <c r="D1022" s="9"/>
    </row>
    <row r="1023" spans="1:4" x14ac:dyDescent="0.25">
      <c r="A1023" s="9" t="str">
        <f t="shared" si="23"/>
        <v>72009</v>
      </c>
      <c r="B1023" s="14">
        <v>40018</v>
      </c>
      <c r="C1023">
        <v>5152</v>
      </c>
      <c r="D1023" s="9"/>
    </row>
    <row r="1024" spans="1:4" x14ac:dyDescent="0.25">
      <c r="A1024" s="9" t="str">
        <f t="shared" si="23"/>
        <v>72009</v>
      </c>
      <c r="B1024" s="14">
        <v>40025</v>
      </c>
      <c r="C1024">
        <v>1670</v>
      </c>
      <c r="D1024" s="9"/>
    </row>
    <row r="1025" spans="1:4" x14ac:dyDescent="0.25">
      <c r="A1025" s="9" t="str">
        <f t="shared" si="23"/>
        <v>82009</v>
      </c>
      <c r="B1025" s="14">
        <v>40032</v>
      </c>
      <c r="C1025">
        <v>2519</v>
      </c>
      <c r="D1025" s="9"/>
    </row>
    <row r="1026" spans="1:4" x14ac:dyDescent="0.25">
      <c r="A1026" s="9" t="str">
        <f t="shared" si="23"/>
        <v>82009</v>
      </c>
      <c r="B1026" s="14">
        <v>40039</v>
      </c>
      <c r="C1026">
        <v>-8397</v>
      </c>
      <c r="D1026" s="9"/>
    </row>
    <row r="1027" spans="1:4" x14ac:dyDescent="0.25">
      <c r="A1027" s="9" t="str">
        <f t="shared" si="23"/>
        <v>82009</v>
      </c>
      <c r="B1027" s="14">
        <v>40046</v>
      </c>
      <c r="C1027">
        <v>128</v>
      </c>
      <c r="D1027" s="9"/>
    </row>
    <row r="1028" spans="1:4" x14ac:dyDescent="0.25">
      <c r="A1028" s="9" t="str">
        <f t="shared" ref="A1028:A1091" si="24">MONTH(B1028)&amp;YEAR(B1028)</f>
        <v>82009</v>
      </c>
      <c r="B1028" s="14">
        <v>40053</v>
      </c>
      <c r="C1028">
        <v>-372</v>
      </c>
      <c r="D1028" s="9"/>
    </row>
    <row r="1029" spans="1:4" x14ac:dyDescent="0.25">
      <c r="A1029" s="9" t="str">
        <f t="shared" si="24"/>
        <v>92009</v>
      </c>
      <c r="B1029" s="14">
        <v>40060</v>
      </c>
      <c r="C1029">
        <v>-5906</v>
      </c>
      <c r="D1029" s="9"/>
    </row>
    <row r="1030" spans="1:4" x14ac:dyDescent="0.25">
      <c r="A1030" s="9" t="str">
        <f t="shared" si="24"/>
        <v>92009</v>
      </c>
      <c r="B1030" s="14">
        <v>40067</v>
      </c>
      <c r="C1030">
        <v>-4729</v>
      </c>
      <c r="D1030" s="9"/>
    </row>
    <row r="1031" spans="1:4" x14ac:dyDescent="0.25">
      <c r="A1031" s="9" t="str">
        <f t="shared" si="24"/>
        <v>92009</v>
      </c>
      <c r="B1031" s="14">
        <v>40074</v>
      </c>
      <c r="C1031">
        <v>2855</v>
      </c>
      <c r="D1031" s="9"/>
    </row>
    <row r="1032" spans="1:4" x14ac:dyDescent="0.25">
      <c r="A1032" s="9" t="str">
        <f t="shared" si="24"/>
        <v>92009</v>
      </c>
      <c r="B1032" s="14">
        <v>40081</v>
      </c>
      <c r="C1032">
        <v>2796</v>
      </c>
      <c r="D1032" s="9"/>
    </row>
    <row r="1033" spans="1:4" x14ac:dyDescent="0.25">
      <c r="A1033" s="9" t="str">
        <f t="shared" si="24"/>
        <v>102009</v>
      </c>
      <c r="B1033" s="14">
        <v>40088</v>
      </c>
      <c r="C1033">
        <v>-978</v>
      </c>
      <c r="D1033" s="9"/>
    </row>
    <row r="1034" spans="1:4" x14ac:dyDescent="0.25">
      <c r="A1034" s="9" t="str">
        <f t="shared" si="24"/>
        <v>102009</v>
      </c>
      <c r="B1034" s="14">
        <v>40095</v>
      </c>
      <c r="C1034">
        <v>334</v>
      </c>
      <c r="D1034" s="9"/>
    </row>
    <row r="1035" spans="1:4" x14ac:dyDescent="0.25">
      <c r="A1035" s="9" t="str">
        <f t="shared" si="24"/>
        <v>102009</v>
      </c>
      <c r="B1035" s="14">
        <v>40102</v>
      </c>
      <c r="C1035">
        <v>1312</v>
      </c>
      <c r="D1035" s="9"/>
    </row>
    <row r="1036" spans="1:4" x14ac:dyDescent="0.25">
      <c r="A1036" s="9" t="str">
        <f t="shared" si="24"/>
        <v>102009</v>
      </c>
      <c r="B1036" s="14">
        <v>40109</v>
      </c>
      <c r="C1036">
        <v>778</v>
      </c>
      <c r="D1036" s="9"/>
    </row>
    <row r="1037" spans="1:4" x14ac:dyDescent="0.25">
      <c r="A1037" s="9" t="str">
        <f t="shared" si="24"/>
        <v>102009</v>
      </c>
      <c r="B1037" s="14">
        <v>40116</v>
      </c>
      <c r="C1037">
        <v>-3936</v>
      </c>
      <c r="D1037" s="9"/>
    </row>
    <row r="1038" spans="1:4" x14ac:dyDescent="0.25">
      <c r="A1038" s="9" t="str">
        <f t="shared" si="24"/>
        <v>112009</v>
      </c>
      <c r="B1038" s="14">
        <v>40123</v>
      </c>
      <c r="C1038">
        <v>1762</v>
      </c>
      <c r="D1038" s="9"/>
    </row>
    <row r="1039" spans="1:4" x14ac:dyDescent="0.25">
      <c r="A1039" s="9" t="str">
        <f t="shared" si="24"/>
        <v>112009</v>
      </c>
      <c r="B1039" s="14">
        <v>40130</v>
      </c>
      <c r="C1039">
        <v>-887</v>
      </c>
      <c r="D1039" s="9"/>
    </row>
    <row r="1040" spans="1:4" x14ac:dyDescent="0.25">
      <c r="A1040" s="9" t="str">
        <f t="shared" si="24"/>
        <v>112009</v>
      </c>
      <c r="B1040" s="14">
        <v>40137</v>
      </c>
      <c r="C1040">
        <v>1019</v>
      </c>
      <c r="D1040" s="9"/>
    </row>
    <row r="1041" spans="1:4" x14ac:dyDescent="0.25">
      <c r="A1041" s="9" t="str">
        <f t="shared" si="24"/>
        <v>112009</v>
      </c>
      <c r="B1041" s="14">
        <v>40144</v>
      </c>
      <c r="C1041">
        <v>2091</v>
      </c>
      <c r="D1041" s="9"/>
    </row>
    <row r="1042" spans="1:4" x14ac:dyDescent="0.25">
      <c r="A1042" s="9" t="str">
        <f t="shared" si="24"/>
        <v>122009</v>
      </c>
      <c r="B1042" s="14">
        <v>40151</v>
      </c>
      <c r="C1042">
        <v>-3823</v>
      </c>
      <c r="D1042" s="9"/>
    </row>
    <row r="1043" spans="1:4" x14ac:dyDescent="0.25">
      <c r="A1043" s="9" t="str">
        <f t="shared" si="24"/>
        <v>122009</v>
      </c>
      <c r="B1043" s="14">
        <v>40158</v>
      </c>
      <c r="C1043">
        <v>-3689</v>
      </c>
      <c r="D1043" s="9"/>
    </row>
    <row r="1044" spans="1:4" x14ac:dyDescent="0.25">
      <c r="A1044" s="9" t="str">
        <f t="shared" si="24"/>
        <v>122009</v>
      </c>
      <c r="B1044" s="14">
        <v>40165</v>
      </c>
      <c r="C1044">
        <v>-4841</v>
      </c>
      <c r="D1044" s="9"/>
    </row>
    <row r="1045" spans="1:4" x14ac:dyDescent="0.25">
      <c r="A1045" s="9" t="str">
        <f t="shared" si="24"/>
        <v>122009</v>
      </c>
      <c r="B1045" s="14">
        <v>40172</v>
      </c>
      <c r="C1045">
        <v>-1538</v>
      </c>
      <c r="D1045" s="9"/>
    </row>
    <row r="1046" spans="1:4" x14ac:dyDescent="0.25">
      <c r="A1046" s="9" t="str">
        <f t="shared" si="24"/>
        <v>12010</v>
      </c>
      <c r="B1046" s="14">
        <v>40179</v>
      </c>
      <c r="C1046">
        <v>1329</v>
      </c>
      <c r="D1046" s="9"/>
    </row>
    <row r="1047" spans="1:4" x14ac:dyDescent="0.25">
      <c r="A1047" s="9" t="str">
        <f t="shared" si="24"/>
        <v>12010</v>
      </c>
      <c r="B1047" s="14">
        <v>40186</v>
      </c>
      <c r="C1047">
        <v>3699</v>
      </c>
      <c r="D1047" s="9"/>
    </row>
    <row r="1048" spans="1:4" x14ac:dyDescent="0.25">
      <c r="A1048" s="9" t="str">
        <f t="shared" si="24"/>
        <v>12010</v>
      </c>
      <c r="B1048" s="14">
        <v>40193</v>
      </c>
      <c r="C1048">
        <v>-471</v>
      </c>
      <c r="D1048" s="9"/>
    </row>
    <row r="1049" spans="1:4" x14ac:dyDescent="0.25">
      <c r="A1049" s="9" t="str">
        <f t="shared" si="24"/>
        <v>12010</v>
      </c>
      <c r="B1049" s="14">
        <v>40200</v>
      </c>
      <c r="C1049">
        <v>-3888</v>
      </c>
      <c r="D1049" s="9"/>
    </row>
    <row r="1050" spans="1:4" x14ac:dyDescent="0.25">
      <c r="A1050" s="9" t="str">
        <f t="shared" si="24"/>
        <v>12010</v>
      </c>
      <c r="B1050" s="14">
        <v>40207</v>
      </c>
      <c r="C1050">
        <v>2317</v>
      </c>
      <c r="D1050" s="9"/>
    </row>
    <row r="1051" spans="1:4" x14ac:dyDescent="0.25">
      <c r="A1051" s="9" t="str">
        <f t="shared" si="24"/>
        <v>22010</v>
      </c>
      <c r="B1051" s="14">
        <v>40214</v>
      </c>
      <c r="C1051">
        <v>2424</v>
      </c>
      <c r="D1051" s="9"/>
    </row>
    <row r="1052" spans="1:4" x14ac:dyDescent="0.25">
      <c r="A1052" s="9" t="str">
        <f t="shared" si="24"/>
        <v>22010</v>
      </c>
      <c r="B1052" s="14">
        <v>40221</v>
      </c>
      <c r="C1052">
        <v>3085</v>
      </c>
      <c r="D1052" s="9"/>
    </row>
    <row r="1053" spans="1:4" x14ac:dyDescent="0.25">
      <c r="A1053" s="9" t="str">
        <f t="shared" si="24"/>
        <v>22010</v>
      </c>
      <c r="B1053" s="14">
        <v>40228</v>
      </c>
      <c r="C1053">
        <v>3034</v>
      </c>
      <c r="D1053" s="9"/>
    </row>
    <row r="1054" spans="1:4" x14ac:dyDescent="0.25">
      <c r="A1054" s="9" t="str">
        <f t="shared" si="24"/>
        <v>22010</v>
      </c>
      <c r="B1054" s="14">
        <v>40235</v>
      </c>
      <c r="C1054">
        <v>4034</v>
      </c>
      <c r="D1054" s="9"/>
    </row>
    <row r="1055" spans="1:4" x14ac:dyDescent="0.25">
      <c r="A1055" s="9" t="str">
        <f t="shared" si="24"/>
        <v>32010</v>
      </c>
      <c r="B1055" s="14">
        <v>40242</v>
      </c>
      <c r="C1055">
        <v>1432</v>
      </c>
      <c r="D1055" s="9"/>
    </row>
    <row r="1056" spans="1:4" x14ac:dyDescent="0.25">
      <c r="A1056" s="9" t="str">
        <f t="shared" si="24"/>
        <v>32010</v>
      </c>
      <c r="B1056" s="14">
        <v>40249</v>
      </c>
      <c r="C1056">
        <v>1012</v>
      </c>
      <c r="D1056" s="9"/>
    </row>
    <row r="1057" spans="1:4" x14ac:dyDescent="0.25">
      <c r="A1057" s="9" t="str">
        <f t="shared" si="24"/>
        <v>32010</v>
      </c>
      <c r="B1057" s="14">
        <v>40256</v>
      </c>
      <c r="C1057">
        <v>7245</v>
      </c>
      <c r="D1057" s="9"/>
    </row>
    <row r="1058" spans="1:4" x14ac:dyDescent="0.25">
      <c r="A1058" s="9" t="str">
        <f t="shared" si="24"/>
        <v>32010</v>
      </c>
      <c r="B1058" s="14">
        <v>40263</v>
      </c>
      <c r="C1058">
        <v>2929</v>
      </c>
      <c r="D1058" s="9"/>
    </row>
    <row r="1059" spans="1:4" x14ac:dyDescent="0.25">
      <c r="A1059" s="9" t="str">
        <f t="shared" si="24"/>
        <v>42010</v>
      </c>
      <c r="B1059" s="14">
        <v>40270</v>
      </c>
      <c r="C1059">
        <v>1976</v>
      </c>
      <c r="D1059" s="9"/>
    </row>
    <row r="1060" spans="1:4" x14ac:dyDescent="0.25">
      <c r="A1060" s="9" t="str">
        <f t="shared" si="24"/>
        <v>42010</v>
      </c>
      <c r="B1060" s="14">
        <v>40277</v>
      </c>
      <c r="C1060">
        <v>-2202</v>
      </c>
      <c r="D1060" s="9"/>
    </row>
    <row r="1061" spans="1:4" x14ac:dyDescent="0.25">
      <c r="A1061" s="9" t="str">
        <f t="shared" si="24"/>
        <v>42010</v>
      </c>
      <c r="B1061" s="14">
        <v>40284</v>
      </c>
      <c r="C1061">
        <v>1894</v>
      </c>
      <c r="D1061" s="9"/>
    </row>
    <row r="1062" spans="1:4" x14ac:dyDescent="0.25">
      <c r="A1062" s="9" t="str">
        <f t="shared" si="24"/>
        <v>42010</v>
      </c>
      <c r="B1062" s="14">
        <v>40291</v>
      </c>
      <c r="C1062">
        <v>1963</v>
      </c>
      <c r="D1062" s="9"/>
    </row>
    <row r="1063" spans="1:4" x14ac:dyDescent="0.25">
      <c r="A1063" s="9" t="str">
        <f t="shared" si="24"/>
        <v>42010</v>
      </c>
      <c r="B1063" s="14">
        <v>40298</v>
      </c>
      <c r="C1063">
        <v>2755</v>
      </c>
      <c r="D1063" s="9"/>
    </row>
    <row r="1064" spans="1:4" x14ac:dyDescent="0.25">
      <c r="A1064" s="9" t="str">
        <f t="shared" si="24"/>
        <v>52010</v>
      </c>
      <c r="B1064" s="14">
        <v>40305</v>
      </c>
      <c r="C1064">
        <v>1949</v>
      </c>
      <c r="D1064" s="9"/>
    </row>
    <row r="1065" spans="1:4" x14ac:dyDescent="0.25">
      <c r="A1065" s="9" t="str">
        <f t="shared" si="24"/>
        <v>52010</v>
      </c>
      <c r="B1065" s="14">
        <v>40312</v>
      </c>
      <c r="C1065">
        <v>162</v>
      </c>
      <c r="D1065" s="9"/>
    </row>
    <row r="1066" spans="1:4" x14ac:dyDescent="0.25">
      <c r="A1066" s="9" t="str">
        <f t="shared" si="24"/>
        <v>52010</v>
      </c>
      <c r="B1066" s="14">
        <v>40319</v>
      </c>
      <c r="C1066">
        <v>2460</v>
      </c>
      <c r="D1066" s="9"/>
    </row>
    <row r="1067" spans="1:4" x14ac:dyDescent="0.25">
      <c r="A1067" s="9" t="str">
        <f t="shared" si="24"/>
        <v>52010</v>
      </c>
      <c r="B1067" s="14">
        <v>40326</v>
      </c>
      <c r="C1067">
        <v>-1902</v>
      </c>
      <c r="D1067" s="9"/>
    </row>
    <row r="1068" spans="1:4" x14ac:dyDescent="0.25">
      <c r="A1068" s="9" t="str">
        <f t="shared" si="24"/>
        <v>62010</v>
      </c>
      <c r="B1068" s="14">
        <v>40333</v>
      </c>
      <c r="C1068">
        <v>-1829</v>
      </c>
      <c r="D1068" s="9"/>
    </row>
    <row r="1069" spans="1:4" x14ac:dyDescent="0.25">
      <c r="A1069" s="9" t="str">
        <f t="shared" si="24"/>
        <v>62010</v>
      </c>
      <c r="B1069" s="14">
        <v>40340</v>
      </c>
      <c r="C1069">
        <v>1690</v>
      </c>
      <c r="D1069" s="9"/>
    </row>
    <row r="1070" spans="1:4" x14ac:dyDescent="0.25">
      <c r="A1070" s="9" t="str">
        <f t="shared" si="24"/>
        <v>62010</v>
      </c>
      <c r="B1070" s="14">
        <v>40347</v>
      </c>
      <c r="C1070">
        <v>2017</v>
      </c>
      <c r="D1070" s="9"/>
    </row>
    <row r="1071" spans="1:4" x14ac:dyDescent="0.25">
      <c r="A1071" s="9" t="str">
        <f t="shared" si="24"/>
        <v>62010</v>
      </c>
      <c r="B1071" s="14">
        <v>40354</v>
      </c>
      <c r="C1071">
        <v>-2007</v>
      </c>
      <c r="D1071" s="9"/>
    </row>
    <row r="1072" spans="1:4" x14ac:dyDescent="0.25">
      <c r="A1072" s="9" t="str">
        <f t="shared" si="24"/>
        <v>72010</v>
      </c>
      <c r="B1072" s="14">
        <v>40361</v>
      </c>
      <c r="C1072">
        <v>-4961</v>
      </c>
      <c r="D1072" s="9"/>
    </row>
    <row r="1073" spans="1:4" x14ac:dyDescent="0.25">
      <c r="A1073" s="9" t="str">
        <f t="shared" si="24"/>
        <v>72010</v>
      </c>
      <c r="B1073" s="14">
        <v>40368</v>
      </c>
      <c r="C1073">
        <v>-5058</v>
      </c>
      <c r="D1073" s="9"/>
    </row>
    <row r="1074" spans="1:4" x14ac:dyDescent="0.25">
      <c r="A1074" s="9" t="str">
        <f t="shared" si="24"/>
        <v>72010</v>
      </c>
      <c r="B1074" s="14">
        <v>40375</v>
      </c>
      <c r="C1074">
        <v>360</v>
      </c>
      <c r="D1074" s="9"/>
    </row>
    <row r="1075" spans="1:4" x14ac:dyDescent="0.25">
      <c r="A1075" s="9" t="str">
        <f t="shared" si="24"/>
        <v>72010</v>
      </c>
      <c r="B1075" s="14">
        <v>40382</v>
      </c>
      <c r="C1075">
        <v>7308</v>
      </c>
      <c r="D1075" s="9"/>
    </row>
    <row r="1076" spans="1:4" x14ac:dyDescent="0.25">
      <c r="A1076" s="9" t="str">
        <f t="shared" si="24"/>
        <v>72010</v>
      </c>
      <c r="B1076" s="14">
        <v>40389</v>
      </c>
      <c r="C1076">
        <v>-2784</v>
      </c>
      <c r="D1076" s="9"/>
    </row>
    <row r="1077" spans="1:4" x14ac:dyDescent="0.25">
      <c r="A1077" s="9" t="str">
        <f t="shared" si="24"/>
        <v>82010</v>
      </c>
      <c r="B1077" s="14">
        <v>40396</v>
      </c>
      <c r="C1077">
        <v>-2988</v>
      </c>
      <c r="D1077" s="9"/>
    </row>
    <row r="1078" spans="1:4" x14ac:dyDescent="0.25">
      <c r="A1078" s="9" t="str">
        <f t="shared" si="24"/>
        <v>82010</v>
      </c>
      <c r="B1078" s="14">
        <v>40403</v>
      </c>
      <c r="C1078">
        <v>-818</v>
      </c>
      <c r="D1078" s="9"/>
    </row>
    <row r="1079" spans="1:4" x14ac:dyDescent="0.25">
      <c r="A1079" s="9" t="str">
        <f t="shared" si="24"/>
        <v>82010</v>
      </c>
      <c r="B1079" s="14">
        <v>40410</v>
      </c>
      <c r="C1079">
        <v>4108</v>
      </c>
      <c r="D1079" s="9"/>
    </row>
    <row r="1080" spans="1:4" x14ac:dyDescent="0.25">
      <c r="A1080" s="9" t="str">
        <f t="shared" si="24"/>
        <v>82010</v>
      </c>
      <c r="B1080" s="14">
        <v>40417</v>
      </c>
      <c r="C1080">
        <v>3425</v>
      </c>
      <c r="D1080" s="9"/>
    </row>
    <row r="1081" spans="1:4" x14ac:dyDescent="0.25">
      <c r="A1081" s="9" t="str">
        <f t="shared" si="24"/>
        <v>92010</v>
      </c>
      <c r="B1081" s="14">
        <v>40424</v>
      </c>
      <c r="C1081">
        <v>-1853</v>
      </c>
      <c r="D1081" s="9"/>
    </row>
    <row r="1082" spans="1:4" x14ac:dyDescent="0.25">
      <c r="A1082" s="9" t="str">
        <f t="shared" si="24"/>
        <v>92010</v>
      </c>
      <c r="B1082" s="14">
        <v>40431</v>
      </c>
      <c r="C1082">
        <v>-2489</v>
      </c>
      <c r="D1082" s="9"/>
    </row>
    <row r="1083" spans="1:4" x14ac:dyDescent="0.25">
      <c r="A1083" s="9" t="str">
        <f t="shared" si="24"/>
        <v>92010</v>
      </c>
      <c r="B1083" s="14">
        <v>40438</v>
      </c>
      <c r="C1083">
        <v>970</v>
      </c>
      <c r="D1083" s="9"/>
    </row>
    <row r="1084" spans="1:4" x14ac:dyDescent="0.25">
      <c r="A1084" s="9" t="str">
        <f t="shared" si="24"/>
        <v>92010</v>
      </c>
      <c r="B1084" s="14">
        <v>40445</v>
      </c>
      <c r="C1084">
        <v>-475</v>
      </c>
      <c r="D1084" s="9"/>
    </row>
    <row r="1085" spans="1:4" x14ac:dyDescent="0.25">
      <c r="A1085" s="9" t="str">
        <f t="shared" si="24"/>
        <v>102010</v>
      </c>
      <c r="B1085" s="14">
        <v>40452</v>
      </c>
      <c r="C1085">
        <v>3088</v>
      </c>
      <c r="D1085" s="9"/>
    </row>
    <row r="1086" spans="1:4" x14ac:dyDescent="0.25">
      <c r="A1086" s="9" t="str">
        <f t="shared" si="24"/>
        <v>102010</v>
      </c>
      <c r="B1086" s="14">
        <v>40459</v>
      </c>
      <c r="C1086">
        <v>-416</v>
      </c>
      <c r="D1086" s="9"/>
    </row>
    <row r="1087" spans="1:4" x14ac:dyDescent="0.25">
      <c r="A1087" s="9" t="str">
        <f t="shared" si="24"/>
        <v>102010</v>
      </c>
      <c r="B1087" s="14">
        <v>40466</v>
      </c>
      <c r="C1087">
        <v>667</v>
      </c>
      <c r="D1087" s="9"/>
    </row>
    <row r="1088" spans="1:4" x14ac:dyDescent="0.25">
      <c r="A1088" s="9" t="str">
        <f t="shared" si="24"/>
        <v>102010</v>
      </c>
      <c r="B1088" s="14">
        <v>40473</v>
      </c>
      <c r="C1088">
        <v>5007</v>
      </c>
      <c r="D1088" s="9"/>
    </row>
    <row r="1089" spans="1:4" x14ac:dyDescent="0.25">
      <c r="A1089" s="9" t="str">
        <f t="shared" si="24"/>
        <v>102010</v>
      </c>
      <c r="B1089" s="14">
        <v>40480</v>
      </c>
      <c r="C1089">
        <v>1950</v>
      </c>
      <c r="D1089" s="9"/>
    </row>
    <row r="1090" spans="1:4" x14ac:dyDescent="0.25">
      <c r="A1090" s="9" t="str">
        <f t="shared" si="24"/>
        <v>112010</v>
      </c>
      <c r="B1090" s="14">
        <v>40487</v>
      </c>
      <c r="C1090">
        <v>-3274</v>
      </c>
      <c r="D1090" s="9"/>
    </row>
    <row r="1091" spans="1:4" x14ac:dyDescent="0.25">
      <c r="A1091" s="9" t="str">
        <f t="shared" si="24"/>
        <v>112010</v>
      </c>
      <c r="B1091" s="14">
        <v>40494</v>
      </c>
      <c r="C1091">
        <v>-7286</v>
      </c>
      <c r="D1091" s="9"/>
    </row>
    <row r="1092" spans="1:4" x14ac:dyDescent="0.25">
      <c r="A1092" s="9" t="str">
        <f t="shared" ref="A1092:A1155" si="25">MONTH(B1092)&amp;YEAR(B1092)</f>
        <v>112010</v>
      </c>
      <c r="B1092" s="14">
        <v>40501</v>
      </c>
      <c r="C1092">
        <v>1029</v>
      </c>
      <c r="D1092" s="9"/>
    </row>
    <row r="1093" spans="1:4" x14ac:dyDescent="0.25">
      <c r="A1093" s="9" t="str">
        <f t="shared" si="25"/>
        <v>112010</v>
      </c>
      <c r="B1093" s="14">
        <v>40508</v>
      </c>
      <c r="C1093">
        <v>1066</v>
      </c>
      <c r="D1093" s="9"/>
    </row>
    <row r="1094" spans="1:4" x14ac:dyDescent="0.25">
      <c r="A1094" s="9" t="str">
        <f t="shared" si="25"/>
        <v>122010</v>
      </c>
      <c r="B1094" s="14">
        <v>40515</v>
      </c>
      <c r="C1094">
        <v>-3819</v>
      </c>
      <c r="D1094" s="9"/>
    </row>
    <row r="1095" spans="1:4" x14ac:dyDescent="0.25">
      <c r="A1095" s="9" t="str">
        <f t="shared" si="25"/>
        <v>122010</v>
      </c>
      <c r="B1095" s="14">
        <v>40522</v>
      </c>
      <c r="C1095">
        <v>-9854</v>
      </c>
      <c r="D1095" s="9"/>
    </row>
    <row r="1096" spans="1:4" x14ac:dyDescent="0.25">
      <c r="A1096" s="9" t="str">
        <f t="shared" si="25"/>
        <v>122010</v>
      </c>
      <c r="B1096" s="14">
        <v>40529</v>
      </c>
      <c r="C1096">
        <v>-5333</v>
      </c>
      <c r="D1096" s="9"/>
    </row>
    <row r="1097" spans="1:4" x14ac:dyDescent="0.25">
      <c r="A1097" s="9" t="str">
        <f t="shared" si="25"/>
        <v>122010</v>
      </c>
      <c r="B1097" s="14">
        <v>40536</v>
      </c>
      <c r="C1097">
        <v>-1258</v>
      </c>
      <c r="D1097" s="9"/>
    </row>
    <row r="1098" spans="1:4" x14ac:dyDescent="0.25">
      <c r="A1098" s="9" t="str">
        <f t="shared" si="25"/>
        <v>122010</v>
      </c>
      <c r="B1098" s="14">
        <v>40543</v>
      </c>
      <c r="C1098">
        <v>-4161</v>
      </c>
      <c r="D1098" s="9"/>
    </row>
    <row r="1099" spans="1:4" x14ac:dyDescent="0.25">
      <c r="A1099" s="9" t="str">
        <f t="shared" si="25"/>
        <v>12011</v>
      </c>
      <c r="B1099" s="14">
        <v>40550</v>
      </c>
      <c r="C1099">
        <v>-2154</v>
      </c>
      <c r="D1099" s="9"/>
    </row>
    <row r="1100" spans="1:4" x14ac:dyDescent="0.25">
      <c r="A1100" s="9" t="str">
        <f t="shared" si="25"/>
        <v>12011</v>
      </c>
      <c r="B1100" s="14">
        <v>40557</v>
      </c>
      <c r="C1100">
        <v>2617</v>
      </c>
      <c r="D1100" s="9"/>
    </row>
    <row r="1101" spans="1:4" x14ac:dyDescent="0.25">
      <c r="A1101" s="9" t="str">
        <f t="shared" si="25"/>
        <v>12011</v>
      </c>
      <c r="B1101" s="14">
        <v>40564</v>
      </c>
      <c r="C1101">
        <v>4836</v>
      </c>
      <c r="D1101" s="9"/>
    </row>
    <row r="1102" spans="1:4" x14ac:dyDescent="0.25">
      <c r="A1102" s="9" t="str">
        <f t="shared" si="25"/>
        <v>12011</v>
      </c>
      <c r="B1102" s="14">
        <v>40571</v>
      </c>
      <c r="C1102">
        <v>2594</v>
      </c>
      <c r="D1102" s="9"/>
    </row>
    <row r="1103" spans="1:4" x14ac:dyDescent="0.25">
      <c r="A1103" s="9" t="str">
        <f t="shared" si="25"/>
        <v>22011</v>
      </c>
      <c r="B1103" s="14">
        <v>40578</v>
      </c>
      <c r="C1103">
        <v>1898</v>
      </c>
      <c r="D1103" s="9"/>
    </row>
    <row r="1104" spans="1:4" x14ac:dyDescent="0.25">
      <c r="A1104" s="9" t="str">
        <f t="shared" si="25"/>
        <v>22011</v>
      </c>
      <c r="B1104" s="14">
        <v>40585</v>
      </c>
      <c r="C1104">
        <v>860</v>
      </c>
      <c r="D1104" s="9"/>
    </row>
    <row r="1105" spans="1:4" x14ac:dyDescent="0.25">
      <c r="A1105" s="9" t="str">
        <f t="shared" si="25"/>
        <v>22011</v>
      </c>
      <c r="B1105" s="14">
        <v>40592</v>
      </c>
      <c r="C1105">
        <v>822</v>
      </c>
      <c r="D1105" s="9"/>
    </row>
    <row r="1106" spans="1:4" x14ac:dyDescent="0.25">
      <c r="A1106" s="9" t="str">
        <f t="shared" si="25"/>
        <v>22011</v>
      </c>
      <c r="B1106" s="14">
        <v>40599</v>
      </c>
      <c r="C1106">
        <v>-364</v>
      </c>
      <c r="D1106" s="9"/>
    </row>
    <row r="1107" spans="1:4" x14ac:dyDescent="0.25">
      <c r="A1107" s="9" t="str">
        <f t="shared" si="25"/>
        <v>32011</v>
      </c>
      <c r="B1107" s="14">
        <v>40606</v>
      </c>
      <c r="C1107">
        <v>2516</v>
      </c>
      <c r="D1107" s="9"/>
    </row>
    <row r="1108" spans="1:4" x14ac:dyDescent="0.25">
      <c r="A1108" s="9" t="str">
        <f t="shared" si="25"/>
        <v>32011</v>
      </c>
      <c r="B1108" s="14">
        <v>40613</v>
      </c>
      <c r="C1108">
        <v>1745</v>
      </c>
      <c r="D1108" s="9"/>
    </row>
    <row r="1109" spans="1:4" x14ac:dyDescent="0.25">
      <c r="A1109" s="9" t="str">
        <f t="shared" si="25"/>
        <v>32011</v>
      </c>
      <c r="B1109" s="14">
        <v>40620</v>
      </c>
      <c r="C1109">
        <v>2131</v>
      </c>
      <c r="D1109" s="9"/>
    </row>
    <row r="1110" spans="1:4" x14ac:dyDescent="0.25">
      <c r="A1110" s="9" t="str">
        <f t="shared" si="25"/>
        <v>32011</v>
      </c>
      <c r="B1110" s="14">
        <v>40627</v>
      </c>
      <c r="C1110">
        <v>2945</v>
      </c>
      <c r="D1110" s="9"/>
    </row>
    <row r="1111" spans="1:4" x14ac:dyDescent="0.25">
      <c r="A1111" s="9" t="str">
        <f t="shared" si="25"/>
        <v>42011</v>
      </c>
      <c r="B1111" s="14">
        <v>40634</v>
      </c>
      <c r="C1111">
        <v>1952</v>
      </c>
      <c r="D1111" s="9"/>
    </row>
    <row r="1112" spans="1:4" x14ac:dyDescent="0.25">
      <c r="A1112" s="9" t="str">
        <f t="shared" si="25"/>
        <v>42011</v>
      </c>
      <c r="B1112" s="14">
        <v>40641</v>
      </c>
      <c r="C1112">
        <v>1627</v>
      </c>
      <c r="D1112" s="9"/>
    </row>
    <row r="1113" spans="1:4" x14ac:dyDescent="0.25">
      <c r="A1113" s="9" t="str">
        <f t="shared" si="25"/>
        <v>42011</v>
      </c>
      <c r="B1113" s="14">
        <v>40648</v>
      </c>
      <c r="C1113">
        <v>-2322</v>
      </c>
      <c r="D1113" s="9"/>
    </row>
    <row r="1114" spans="1:4" x14ac:dyDescent="0.25">
      <c r="A1114" s="9" t="str">
        <f t="shared" si="25"/>
        <v>42011</v>
      </c>
      <c r="B1114" s="14">
        <v>40655</v>
      </c>
      <c r="C1114">
        <v>6156</v>
      </c>
      <c r="D1114" s="9"/>
    </row>
    <row r="1115" spans="1:4" x14ac:dyDescent="0.25">
      <c r="A1115" s="9" t="str">
        <f t="shared" si="25"/>
        <v>42011</v>
      </c>
      <c r="B1115" s="14">
        <v>40662</v>
      </c>
      <c r="C1115">
        <v>3421</v>
      </c>
      <c r="D1115" s="9"/>
    </row>
    <row r="1116" spans="1:4" x14ac:dyDescent="0.25">
      <c r="A1116" s="9" t="str">
        <f t="shared" si="25"/>
        <v>52011</v>
      </c>
      <c r="B1116" s="14">
        <v>40669</v>
      </c>
      <c r="C1116">
        <v>3781</v>
      </c>
      <c r="D1116" s="9"/>
    </row>
    <row r="1117" spans="1:4" x14ac:dyDescent="0.25">
      <c r="A1117" s="9" t="str">
        <f t="shared" si="25"/>
        <v>52011</v>
      </c>
      <c r="B1117" s="14">
        <v>40676</v>
      </c>
      <c r="C1117">
        <v>-15</v>
      </c>
      <c r="D1117" s="9"/>
    </row>
    <row r="1118" spans="1:4" x14ac:dyDescent="0.25">
      <c r="A1118" s="9" t="str">
        <f t="shared" si="25"/>
        <v>52011</v>
      </c>
      <c r="B1118" s="14">
        <v>40683</v>
      </c>
      <c r="C1118">
        <v>616</v>
      </c>
      <c r="D1118" s="9"/>
    </row>
    <row r="1119" spans="1:4" x14ac:dyDescent="0.25">
      <c r="A1119" s="9" t="str">
        <f t="shared" si="25"/>
        <v>52011</v>
      </c>
      <c r="B1119" s="14">
        <v>40690</v>
      </c>
      <c r="C1119">
        <v>2878</v>
      </c>
      <c r="D1119" s="9"/>
    </row>
    <row r="1120" spans="1:4" x14ac:dyDescent="0.25">
      <c r="A1120" s="9" t="str">
        <f t="shared" si="25"/>
        <v>62011</v>
      </c>
      <c r="B1120" s="14">
        <v>40697</v>
      </c>
      <c r="C1120">
        <v>-4845</v>
      </c>
      <c r="D1120" s="9"/>
    </row>
    <row r="1121" spans="1:4" x14ac:dyDescent="0.25">
      <c r="A1121" s="9" t="str">
        <f t="shared" si="25"/>
        <v>62011</v>
      </c>
      <c r="B1121" s="14">
        <v>40704</v>
      </c>
      <c r="C1121">
        <v>-3406</v>
      </c>
      <c r="D1121" s="9"/>
    </row>
    <row r="1122" spans="1:4" x14ac:dyDescent="0.25">
      <c r="A1122" s="9" t="str">
        <f t="shared" si="25"/>
        <v>62011</v>
      </c>
      <c r="B1122" s="14">
        <v>40711</v>
      </c>
      <c r="C1122">
        <v>-1711</v>
      </c>
      <c r="D1122" s="9"/>
    </row>
    <row r="1123" spans="1:4" x14ac:dyDescent="0.25">
      <c r="A1123" s="9" t="str">
        <f t="shared" si="25"/>
        <v>62011</v>
      </c>
      <c r="B1123" s="14">
        <v>40718</v>
      </c>
      <c r="C1123">
        <v>-4375</v>
      </c>
      <c r="D1123" s="9"/>
    </row>
    <row r="1124" spans="1:4" x14ac:dyDescent="0.25">
      <c r="A1124" s="9" t="str">
        <f t="shared" si="25"/>
        <v>72011</v>
      </c>
      <c r="B1124" s="14">
        <v>40725</v>
      </c>
      <c r="C1124">
        <v>-889</v>
      </c>
      <c r="D1124" s="9"/>
    </row>
    <row r="1125" spans="1:4" x14ac:dyDescent="0.25">
      <c r="A1125" s="9" t="str">
        <f t="shared" si="25"/>
        <v>72011</v>
      </c>
      <c r="B1125" s="14">
        <v>40732</v>
      </c>
      <c r="C1125">
        <v>-3124</v>
      </c>
      <c r="D1125" s="9"/>
    </row>
    <row r="1126" spans="1:4" x14ac:dyDescent="0.25">
      <c r="A1126" s="9" t="str">
        <f t="shared" si="25"/>
        <v>72011</v>
      </c>
      <c r="B1126" s="14">
        <v>40739</v>
      </c>
      <c r="C1126">
        <v>-3727</v>
      </c>
      <c r="D1126" s="9"/>
    </row>
    <row r="1127" spans="1:4" x14ac:dyDescent="0.25">
      <c r="A1127" s="9" t="str">
        <f t="shared" si="25"/>
        <v>72011</v>
      </c>
      <c r="B1127" s="14">
        <v>40746</v>
      </c>
      <c r="C1127">
        <v>2296</v>
      </c>
      <c r="D1127" s="9"/>
    </row>
    <row r="1128" spans="1:4" x14ac:dyDescent="0.25">
      <c r="A1128" s="9" t="str">
        <f t="shared" si="25"/>
        <v>72011</v>
      </c>
      <c r="B1128" s="14">
        <v>40753</v>
      </c>
      <c r="C1128">
        <v>950</v>
      </c>
      <c r="D1128" s="9"/>
    </row>
    <row r="1129" spans="1:4" x14ac:dyDescent="0.25">
      <c r="A1129" s="9" t="str">
        <f t="shared" si="25"/>
        <v>82011</v>
      </c>
      <c r="B1129" s="14">
        <v>40760</v>
      </c>
      <c r="C1129">
        <v>-5225</v>
      </c>
      <c r="D1129" s="9"/>
    </row>
    <row r="1130" spans="1:4" x14ac:dyDescent="0.25">
      <c r="A1130" s="9" t="str">
        <f t="shared" si="25"/>
        <v>82011</v>
      </c>
      <c r="B1130" s="14">
        <v>40767</v>
      </c>
      <c r="C1130">
        <v>4233</v>
      </c>
      <c r="D1130" s="9"/>
    </row>
    <row r="1131" spans="1:4" x14ac:dyDescent="0.25">
      <c r="A1131" s="9" t="str">
        <f t="shared" si="25"/>
        <v>82011</v>
      </c>
      <c r="B1131" s="14">
        <v>40774</v>
      </c>
      <c r="C1131">
        <v>-2213</v>
      </c>
      <c r="D1131" s="9"/>
    </row>
    <row r="1132" spans="1:4" x14ac:dyDescent="0.25">
      <c r="A1132" s="9" t="str">
        <f t="shared" si="25"/>
        <v>82011</v>
      </c>
      <c r="B1132" s="14">
        <v>40781</v>
      </c>
      <c r="C1132">
        <v>5281</v>
      </c>
      <c r="D1132" s="9"/>
    </row>
    <row r="1133" spans="1:4" x14ac:dyDescent="0.25">
      <c r="A1133" s="9" t="str">
        <f t="shared" si="25"/>
        <v>92011</v>
      </c>
      <c r="B1133" s="14">
        <v>40788</v>
      </c>
      <c r="C1133">
        <v>-3963</v>
      </c>
      <c r="D1133" s="9"/>
    </row>
    <row r="1134" spans="1:4" x14ac:dyDescent="0.25">
      <c r="A1134" s="9" t="str">
        <f t="shared" si="25"/>
        <v>92011</v>
      </c>
      <c r="B1134" s="14">
        <v>40795</v>
      </c>
      <c r="C1134">
        <v>-6704</v>
      </c>
      <c r="D1134" s="9"/>
    </row>
    <row r="1135" spans="1:4" x14ac:dyDescent="0.25">
      <c r="A1135" s="9" t="str">
        <f t="shared" si="25"/>
        <v>92011</v>
      </c>
      <c r="B1135" s="14">
        <v>40802</v>
      </c>
      <c r="C1135">
        <v>-7336</v>
      </c>
      <c r="D1135" s="9"/>
    </row>
    <row r="1136" spans="1:4" x14ac:dyDescent="0.25">
      <c r="A1136" s="9" t="str">
        <f t="shared" si="25"/>
        <v>92011</v>
      </c>
      <c r="B1136" s="14">
        <v>40809</v>
      </c>
      <c r="C1136">
        <v>1915</v>
      </c>
      <c r="D1136" s="9"/>
    </row>
    <row r="1137" spans="1:4" x14ac:dyDescent="0.25">
      <c r="A1137" s="9" t="str">
        <f t="shared" si="25"/>
        <v>92011</v>
      </c>
      <c r="B1137" s="14">
        <v>40816</v>
      </c>
      <c r="C1137">
        <v>-4679</v>
      </c>
      <c r="D1137" s="9"/>
    </row>
    <row r="1138" spans="1:4" x14ac:dyDescent="0.25">
      <c r="A1138" s="9" t="str">
        <f t="shared" si="25"/>
        <v>102011</v>
      </c>
      <c r="B1138" s="14">
        <v>40823</v>
      </c>
      <c r="C1138">
        <v>1344</v>
      </c>
      <c r="D1138" s="9"/>
    </row>
    <row r="1139" spans="1:4" x14ac:dyDescent="0.25">
      <c r="A1139" s="9" t="str">
        <f t="shared" si="25"/>
        <v>102011</v>
      </c>
      <c r="B1139" s="14">
        <v>40830</v>
      </c>
      <c r="C1139">
        <v>-4729</v>
      </c>
      <c r="D1139" s="9"/>
    </row>
    <row r="1140" spans="1:4" x14ac:dyDescent="0.25">
      <c r="A1140" s="9" t="str">
        <f t="shared" si="25"/>
        <v>102011</v>
      </c>
      <c r="B1140" s="14">
        <v>40837</v>
      </c>
      <c r="C1140">
        <v>4735</v>
      </c>
      <c r="D1140" s="9"/>
    </row>
    <row r="1141" spans="1:4" x14ac:dyDescent="0.25">
      <c r="A1141" s="9" t="str">
        <f t="shared" si="25"/>
        <v>102011</v>
      </c>
      <c r="B1141" s="14">
        <v>40844</v>
      </c>
      <c r="C1141">
        <v>1826</v>
      </c>
      <c r="D1141" s="9"/>
    </row>
    <row r="1142" spans="1:4" x14ac:dyDescent="0.25">
      <c r="A1142" s="9" t="str">
        <f t="shared" si="25"/>
        <v>112011</v>
      </c>
      <c r="B1142" s="14">
        <v>40851</v>
      </c>
      <c r="C1142">
        <v>-1370</v>
      </c>
      <c r="D1142" s="9"/>
    </row>
    <row r="1143" spans="1:4" x14ac:dyDescent="0.25">
      <c r="A1143" s="9" t="str">
        <f t="shared" si="25"/>
        <v>112011</v>
      </c>
      <c r="B1143" s="14">
        <v>40858</v>
      </c>
      <c r="C1143">
        <v>-1056</v>
      </c>
      <c r="D1143" s="9"/>
    </row>
    <row r="1144" spans="1:4" x14ac:dyDescent="0.25">
      <c r="A1144" s="9" t="str">
        <f t="shared" si="25"/>
        <v>112011</v>
      </c>
      <c r="B1144" s="14">
        <v>40865</v>
      </c>
      <c r="C1144">
        <v>-6219</v>
      </c>
      <c r="D1144" s="9"/>
    </row>
    <row r="1145" spans="1:4" x14ac:dyDescent="0.25">
      <c r="A1145" s="9" t="str">
        <f t="shared" si="25"/>
        <v>112011</v>
      </c>
      <c r="B1145" s="14">
        <v>40872</v>
      </c>
      <c r="C1145">
        <v>3932</v>
      </c>
      <c r="D1145" s="9"/>
    </row>
    <row r="1146" spans="1:4" x14ac:dyDescent="0.25">
      <c r="A1146" s="9" t="str">
        <f t="shared" si="25"/>
        <v>122011</v>
      </c>
      <c r="B1146" s="14">
        <v>40879</v>
      </c>
      <c r="C1146">
        <v>1336</v>
      </c>
      <c r="D1146" s="9"/>
    </row>
    <row r="1147" spans="1:4" x14ac:dyDescent="0.25">
      <c r="A1147" s="9" t="str">
        <f t="shared" si="25"/>
        <v>122011</v>
      </c>
      <c r="B1147" s="14">
        <v>40886</v>
      </c>
      <c r="C1147">
        <v>-1932</v>
      </c>
      <c r="D1147" s="9"/>
    </row>
    <row r="1148" spans="1:4" x14ac:dyDescent="0.25">
      <c r="A1148" s="9" t="str">
        <f t="shared" si="25"/>
        <v>122011</v>
      </c>
      <c r="B1148" s="14">
        <v>40893</v>
      </c>
      <c r="C1148">
        <v>-10570</v>
      </c>
      <c r="D1148" s="9"/>
    </row>
    <row r="1149" spans="1:4" x14ac:dyDescent="0.25">
      <c r="A1149" s="9" t="str">
        <f t="shared" si="25"/>
        <v>122011</v>
      </c>
      <c r="B1149" s="14">
        <v>40900</v>
      </c>
      <c r="C1149">
        <v>3899</v>
      </c>
      <c r="D1149" s="9"/>
    </row>
    <row r="1150" spans="1:4" x14ac:dyDescent="0.25">
      <c r="A1150" s="9" t="str">
        <f t="shared" si="25"/>
        <v>122011</v>
      </c>
      <c r="B1150" s="14">
        <v>40907</v>
      </c>
      <c r="C1150">
        <v>2209</v>
      </c>
      <c r="D1150" s="9"/>
    </row>
    <row r="1151" spans="1:4" x14ac:dyDescent="0.25">
      <c r="A1151" s="9" t="str">
        <f t="shared" si="25"/>
        <v>12012</v>
      </c>
      <c r="B1151" s="14">
        <v>40914</v>
      </c>
      <c r="C1151">
        <v>4958</v>
      </c>
      <c r="D1151" s="9"/>
    </row>
    <row r="1152" spans="1:4" x14ac:dyDescent="0.25">
      <c r="A1152" s="9" t="str">
        <f t="shared" si="25"/>
        <v>12012</v>
      </c>
      <c r="B1152" s="14">
        <v>40921</v>
      </c>
      <c r="C1152">
        <v>-3438</v>
      </c>
      <c r="D1152" s="9"/>
    </row>
    <row r="1153" spans="1:4" x14ac:dyDescent="0.25">
      <c r="A1153" s="9" t="str">
        <f t="shared" si="25"/>
        <v>12012</v>
      </c>
      <c r="B1153" s="14">
        <v>40928</v>
      </c>
      <c r="C1153">
        <v>3558</v>
      </c>
      <c r="D1153" s="9"/>
    </row>
    <row r="1154" spans="1:4" x14ac:dyDescent="0.25">
      <c r="A1154" s="9" t="str">
        <f t="shared" si="25"/>
        <v>12012</v>
      </c>
      <c r="B1154" s="14">
        <v>40935</v>
      </c>
      <c r="C1154">
        <v>4175</v>
      </c>
      <c r="D1154" s="9"/>
    </row>
    <row r="1155" spans="1:4" x14ac:dyDescent="0.25">
      <c r="A1155" s="9" t="str">
        <f t="shared" si="25"/>
        <v>22012</v>
      </c>
      <c r="B1155" s="14">
        <v>40942</v>
      </c>
      <c r="C1155">
        <v>304</v>
      </c>
      <c r="D1155" s="9"/>
    </row>
    <row r="1156" spans="1:4" x14ac:dyDescent="0.25">
      <c r="A1156" s="9" t="str">
        <f t="shared" ref="A1156:A1219" si="26">MONTH(B1156)&amp;YEAR(B1156)</f>
        <v>22012</v>
      </c>
      <c r="B1156" s="14">
        <v>40949</v>
      </c>
      <c r="C1156">
        <v>-171</v>
      </c>
      <c r="D1156" s="9"/>
    </row>
    <row r="1157" spans="1:4" x14ac:dyDescent="0.25">
      <c r="A1157" s="9" t="str">
        <f t="shared" si="26"/>
        <v>22012</v>
      </c>
      <c r="B1157" s="14">
        <v>40956</v>
      </c>
      <c r="C1157">
        <v>1633</v>
      </c>
      <c r="D1157" s="9"/>
    </row>
    <row r="1158" spans="1:4" x14ac:dyDescent="0.25">
      <c r="A1158" s="9" t="str">
        <f t="shared" si="26"/>
        <v>22012</v>
      </c>
      <c r="B1158" s="14">
        <v>40963</v>
      </c>
      <c r="C1158">
        <v>4160</v>
      </c>
      <c r="D1158" s="9"/>
    </row>
    <row r="1159" spans="1:4" x14ac:dyDescent="0.25">
      <c r="A1159" s="9" t="str">
        <f t="shared" si="26"/>
        <v>32012</v>
      </c>
      <c r="B1159" s="14">
        <v>40970</v>
      </c>
      <c r="C1159">
        <v>832</v>
      </c>
      <c r="D1159" s="9"/>
    </row>
    <row r="1160" spans="1:4" x14ac:dyDescent="0.25">
      <c r="A1160" s="9" t="str">
        <f t="shared" si="26"/>
        <v>32012</v>
      </c>
      <c r="B1160" s="14">
        <v>40977</v>
      </c>
      <c r="C1160">
        <v>1750</v>
      </c>
      <c r="D1160" s="9"/>
    </row>
    <row r="1161" spans="1:4" x14ac:dyDescent="0.25">
      <c r="A1161" s="9" t="str">
        <f t="shared" si="26"/>
        <v>32012</v>
      </c>
      <c r="B1161" s="14">
        <v>40984</v>
      </c>
      <c r="C1161">
        <v>-1162</v>
      </c>
      <c r="D1161" s="9"/>
    </row>
    <row r="1162" spans="1:4" x14ac:dyDescent="0.25">
      <c r="A1162" s="9" t="str">
        <f t="shared" si="26"/>
        <v>32012</v>
      </c>
      <c r="B1162" s="14">
        <v>40991</v>
      </c>
      <c r="C1162">
        <v>7102</v>
      </c>
      <c r="D1162" s="9"/>
    </row>
    <row r="1163" spans="1:4" x14ac:dyDescent="0.25">
      <c r="A1163" s="9" t="str">
        <f t="shared" si="26"/>
        <v>32012</v>
      </c>
      <c r="B1163" s="14">
        <v>40998</v>
      </c>
      <c r="C1163">
        <v>9009</v>
      </c>
      <c r="D1163" s="9"/>
    </row>
    <row r="1164" spans="1:4" x14ac:dyDescent="0.25">
      <c r="A1164" s="9" t="str">
        <f t="shared" si="26"/>
        <v>42012</v>
      </c>
      <c r="B1164" s="14">
        <v>41005</v>
      </c>
      <c r="C1164">
        <v>2791</v>
      </c>
      <c r="D1164" s="9"/>
    </row>
    <row r="1165" spans="1:4" x14ac:dyDescent="0.25">
      <c r="A1165" s="9" t="str">
        <f t="shared" si="26"/>
        <v>42012</v>
      </c>
      <c r="B1165" s="14">
        <v>41012</v>
      </c>
      <c r="C1165">
        <v>3856</v>
      </c>
      <c r="D1165" s="9"/>
    </row>
    <row r="1166" spans="1:4" x14ac:dyDescent="0.25">
      <c r="A1166" s="9" t="str">
        <f t="shared" si="26"/>
        <v>42012</v>
      </c>
      <c r="B1166" s="14">
        <v>41019</v>
      </c>
      <c r="C1166">
        <v>3978</v>
      </c>
      <c r="D1166" s="9"/>
    </row>
    <row r="1167" spans="1:4" x14ac:dyDescent="0.25">
      <c r="A1167" s="9" t="str">
        <f t="shared" si="26"/>
        <v>42012</v>
      </c>
      <c r="B1167" s="14">
        <v>41026</v>
      </c>
      <c r="C1167">
        <v>2840</v>
      </c>
      <c r="D1167" s="9"/>
    </row>
    <row r="1168" spans="1:4" x14ac:dyDescent="0.25">
      <c r="A1168" s="9" t="str">
        <f t="shared" si="26"/>
        <v>52012</v>
      </c>
      <c r="B1168" s="14">
        <v>41033</v>
      </c>
      <c r="C1168">
        <v>3652</v>
      </c>
      <c r="D1168" s="9"/>
    </row>
    <row r="1169" spans="1:4" x14ac:dyDescent="0.25">
      <c r="A1169" s="9" t="str">
        <f t="shared" si="26"/>
        <v>52012</v>
      </c>
      <c r="B1169" s="14">
        <v>41040</v>
      </c>
      <c r="C1169">
        <v>2128</v>
      </c>
      <c r="D1169" s="9"/>
    </row>
    <row r="1170" spans="1:4" x14ac:dyDescent="0.25">
      <c r="A1170" s="9" t="str">
        <f t="shared" si="26"/>
        <v>52012</v>
      </c>
      <c r="B1170" s="14">
        <v>41047</v>
      </c>
      <c r="C1170">
        <v>883</v>
      </c>
      <c r="D1170" s="9"/>
    </row>
    <row r="1171" spans="1:4" x14ac:dyDescent="0.25">
      <c r="A1171" s="9" t="str">
        <f t="shared" si="26"/>
        <v>52012</v>
      </c>
      <c r="B1171" s="14">
        <v>41054</v>
      </c>
      <c r="C1171">
        <v>2213</v>
      </c>
      <c r="D1171" s="9"/>
    </row>
    <row r="1172" spans="1:4" x14ac:dyDescent="0.25">
      <c r="A1172" s="9" t="str">
        <f t="shared" si="26"/>
        <v>62012</v>
      </c>
      <c r="B1172" s="14">
        <v>41061</v>
      </c>
      <c r="C1172">
        <v>-111</v>
      </c>
      <c r="D1172" s="9"/>
    </row>
    <row r="1173" spans="1:4" x14ac:dyDescent="0.25">
      <c r="A1173" s="9" t="str">
        <f t="shared" si="26"/>
        <v>62012</v>
      </c>
      <c r="B1173" s="14">
        <v>41068</v>
      </c>
      <c r="C1173">
        <v>-191</v>
      </c>
      <c r="D1173" s="9"/>
    </row>
    <row r="1174" spans="1:4" x14ac:dyDescent="0.25">
      <c r="A1174" s="9" t="str">
        <f t="shared" si="26"/>
        <v>62012</v>
      </c>
      <c r="B1174" s="14">
        <v>41075</v>
      </c>
      <c r="C1174">
        <v>2861</v>
      </c>
      <c r="D1174" s="9"/>
    </row>
    <row r="1175" spans="1:4" x14ac:dyDescent="0.25">
      <c r="A1175" s="9" t="str">
        <f t="shared" si="26"/>
        <v>62012</v>
      </c>
      <c r="B1175" s="14">
        <v>41082</v>
      </c>
      <c r="C1175">
        <v>-133</v>
      </c>
      <c r="D1175" s="9"/>
    </row>
    <row r="1176" spans="1:4" x14ac:dyDescent="0.25">
      <c r="A1176" s="9" t="str">
        <f t="shared" si="26"/>
        <v>62012</v>
      </c>
      <c r="B1176" s="14">
        <v>41089</v>
      </c>
      <c r="C1176">
        <v>-4270</v>
      </c>
      <c r="D1176" s="9"/>
    </row>
    <row r="1177" spans="1:4" x14ac:dyDescent="0.25">
      <c r="A1177" s="9" t="str">
        <f t="shared" si="26"/>
        <v>72012</v>
      </c>
      <c r="B1177" s="14">
        <v>41096</v>
      </c>
      <c r="C1177">
        <v>-4696</v>
      </c>
      <c r="D1177" s="9"/>
    </row>
    <row r="1178" spans="1:4" x14ac:dyDescent="0.25">
      <c r="A1178" s="9" t="str">
        <f t="shared" si="26"/>
        <v>72012</v>
      </c>
      <c r="B1178" s="14">
        <v>41103</v>
      </c>
      <c r="C1178">
        <v>-809</v>
      </c>
      <c r="D1178" s="9"/>
    </row>
    <row r="1179" spans="1:4" x14ac:dyDescent="0.25">
      <c r="A1179" s="9" t="str">
        <f t="shared" si="26"/>
        <v>72012</v>
      </c>
      <c r="B1179" s="14">
        <v>41110</v>
      </c>
      <c r="C1179">
        <v>2717</v>
      </c>
      <c r="D1179" s="9"/>
    </row>
    <row r="1180" spans="1:4" x14ac:dyDescent="0.25">
      <c r="A1180" s="9" t="str">
        <f t="shared" si="26"/>
        <v>72012</v>
      </c>
      <c r="B1180" s="14">
        <v>41117</v>
      </c>
      <c r="C1180">
        <v>-6522</v>
      </c>
      <c r="D1180" s="9"/>
    </row>
    <row r="1181" spans="1:4" x14ac:dyDescent="0.25">
      <c r="A1181" s="9" t="str">
        <f t="shared" si="26"/>
        <v>82012</v>
      </c>
      <c r="B1181" s="14">
        <v>41124</v>
      </c>
      <c r="C1181">
        <v>-3729</v>
      </c>
      <c r="D1181" s="9"/>
    </row>
    <row r="1182" spans="1:4" x14ac:dyDescent="0.25">
      <c r="A1182" s="9" t="str">
        <f t="shared" si="26"/>
        <v>82012</v>
      </c>
      <c r="B1182" s="14">
        <v>41131</v>
      </c>
      <c r="C1182">
        <v>-3699</v>
      </c>
      <c r="D1182" s="9"/>
    </row>
    <row r="1183" spans="1:4" x14ac:dyDescent="0.25">
      <c r="A1183" s="9" t="str">
        <f t="shared" si="26"/>
        <v>82012</v>
      </c>
      <c r="B1183" s="14">
        <v>41138</v>
      </c>
      <c r="C1183">
        <v>-5412</v>
      </c>
      <c r="D1183" s="9"/>
    </row>
    <row r="1184" spans="1:4" x14ac:dyDescent="0.25">
      <c r="A1184" s="9" t="str">
        <f t="shared" si="26"/>
        <v>82012</v>
      </c>
      <c r="B1184" s="14">
        <v>41145</v>
      </c>
      <c r="C1184">
        <v>3778</v>
      </c>
      <c r="D1184" s="9"/>
    </row>
    <row r="1185" spans="1:4" x14ac:dyDescent="0.25">
      <c r="A1185" s="9" t="str">
        <f t="shared" si="26"/>
        <v>82012</v>
      </c>
      <c r="B1185" s="14">
        <v>41152</v>
      </c>
      <c r="C1185">
        <v>-7426</v>
      </c>
      <c r="D1185" s="9"/>
    </row>
    <row r="1186" spans="1:4" x14ac:dyDescent="0.25">
      <c r="A1186" s="9" t="str">
        <f t="shared" si="26"/>
        <v>92012</v>
      </c>
      <c r="B1186" s="14">
        <v>41159</v>
      </c>
      <c r="C1186">
        <v>1994</v>
      </c>
      <c r="D1186" s="9"/>
    </row>
    <row r="1187" spans="1:4" x14ac:dyDescent="0.25">
      <c r="A1187" s="9" t="str">
        <f t="shared" si="26"/>
        <v>92012</v>
      </c>
      <c r="B1187" s="14">
        <v>41166</v>
      </c>
      <c r="C1187">
        <v>8534</v>
      </c>
      <c r="D1187" s="9"/>
    </row>
    <row r="1188" spans="1:4" x14ac:dyDescent="0.25">
      <c r="A1188" s="9" t="str">
        <f t="shared" si="26"/>
        <v>92012</v>
      </c>
      <c r="B1188" s="14">
        <v>41173</v>
      </c>
      <c r="C1188">
        <v>-2446</v>
      </c>
      <c r="D1188" s="9"/>
    </row>
    <row r="1189" spans="1:4" x14ac:dyDescent="0.25">
      <c r="A1189" s="9" t="str">
        <f t="shared" si="26"/>
        <v>92012</v>
      </c>
      <c r="B1189" s="14">
        <v>41180</v>
      </c>
      <c r="C1189">
        <v>-482</v>
      </c>
      <c r="D1189" s="9"/>
    </row>
    <row r="1190" spans="1:4" x14ac:dyDescent="0.25">
      <c r="A1190" s="9" t="str">
        <f t="shared" si="26"/>
        <v>102012</v>
      </c>
      <c r="B1190" s="14">
        <v>41187</v>
      </c>
      <c r="C1190">
        <v>1672</v>
      </c>
      <c r="D1190" s="9"/>
    </row>
    <row r="1191" spans="1:4" x14ac:dyDescent="0.25">
      <c r="A1191" s="9" t="str">
        <f t="shared" si="26"/>
        <v>102012</v>
      </c>
      <c r="B1191" s="14">
        <v>41194</v>
      </c>
      <c r="C1191">
        <v>2860</v>
      </c>
      <c r="D1191" s="9"/>
    </row>
    <row r="1192" spans="1:4" x14ac:dyDescent="0.25">
      <c r="A1192" s="9" t="str">
        <f t="shared" si="26"/>
        <v>102012</v>
      </c>
      <c r="B1192" s="14">
        <v>41201</v>
      </c>
      <c r="C1192">
        <v>5896</v>
      </c>
      <c r="D1192" s="9"/>
    </row>
    <row r="1193" spans="1:4" x14ac:dyDescent="0.25">
      <c r="A1193" s="9" t="str">
        <f t="shared" si="26"/>
        <v>102012</v>
      </c>
      <c r="B1193" s="14">
        <v>41208</v>
      </c>
      <c r="C1193">
        <v>-2045</v>
      </c>
      <c r="D1193" s="9"/>
    </row>
    <row r="1194" spans="1:4" x14ac:dyDescent="0.25">
      <c r="A1194" s="9" t="str">
        <f t="shared" si="26"/>
        <v>112012</v>
      </c>
      <c r="B1194" s="14">
        <v>41215</v>
      </c>
      <c r="C1194">
        <v>1766</v>
      </c>
      <c r="D1194" s="9"/>
    </row>
    <row r="1195" spans="1:4" x14ac:dyDescent="0.25">
      <c r="A1195" s="9" t="str">
        <f t="shared" si="26"/>
        <v>112012</v>
      </c>
      <c r="B1195" s="14">
        <v>41222</v>
      </c>
      <c r="C1195">
        <v>1089</v>
      </c>
      <c r="D1195" s="9"/>
    </row>
    <row r="1196" spans="1:4" x14ac:dyDescent="0.25">
      <c r="A1196" s="9" t="str">
        <f t="shared" si="26"/>
        <v>112012</v>
      </c>
      <c r="B1196" s="14">
        <v>41229</v>
      </c>
      <c r="C1196">
        <v>-1466</v>
      </c>
      <c r="D1196" s="9"/>
    </row>
    <row r="1197" spans="1:4" x14ac:dyDescent="0.25">
      <c r="A1197" s="9" t="str">
        <f t="shared" si="26"/>
        <v>112012</v>
      </c>
      <c r="B1197" s="14">
        <v>41236</v>
      </c>
      <c r="C1197">
        <v>-347</v>
      </c>
      <c r="D1197" s="9"/>
    </row>
    <row r="1198" spans="1:4" x14ac:dyDescent="0.25">
      <c r="A1198" s="9" t="str">
        <f t="shared" si="26"/>
        <v>112012</v>
      </c>
      <c r="B1198" s="14">
        <v>41243</v>
      </c>
      <c r="C1198">
        <v>-2357</v>
      </c>
      <c r="D1198" s="9"/>
    </row>
    <row r="1199" spans="1:4" x14ac:dyDescent="0.25">
      <c r="A1199" s="9" t="str">
        <f t="shared" si="26"/>
        <v>122012</v>
      </c>
      <c r="B1199" s="14">
        <v>41250</v>
      </c>
      <c r="C1199">
        <v>843</v>
      </c>
      <c r="D1199" s="9"/>
    </row>
    <row r="1200" spans="1:4" x14ac:dyDescent="0.25">
      <c r="A1200" s="9" t="str">
        <f t="shared" si="26"/>
        <v>122012</v>
      </c>
      <c r="B1200" s="14">
        <v>41257</v>
      </c>
      <c r="C1200">
        <v>-964</v>
      </c>
      <c r="D1200" s="9"/>
    </row>
    <row r="1201" spans="1:4" x14ac:dyDescent="0.25">
      <c r="A1201" s="9" t="str">
        <f t="shared" si="26"/>
        <v>122012</v>
      </c>
      <c r="B1201" s="14">
        <v>41264</v>
      </c>
      <c r="C1201">
        <v>-586</v>
      </c>
      <c r="D1201" s="9"/>
    </row>
    <row r="1202" spans="1:4" x14ac:dyDescent="0.25">
      <c r="A1202" s="9" t="str">
        <f t="shared" si="26"/>
        <v>122012</v>
      </c>
      <c r="B1202" s="14">
        <v>41271</v>
      </c>
      <c r="C1202">
        <v>-11120</v>
      </c>
      <c r="D1202" s="9"/>
    </row>
    <row r="1203" spans="1:4" x14ac:dyDescent="0.25">
      <c r="A1203" s="9" t="str">
        <f t="shared" si="26"/>
        <v>12013</v>
      </c>
      <c r="B1203" s="14">
        <v>41278</v>
      </c>
      <c r="C1203">
        <v>1314</v>
      </c>
      <c r="D1203" s="9"/>
    </row>
    <row r="1204" spans="1:4" x14ac:dyDescent="0.25">
      <c r="A1204" s="9" t="str">
        <f t="shared" si="26"/>
        <v>12013</v>
      </c>
      <c r="B1204" s="14">
        <v>41285</v>
      </c>
      <c r="C1204">
        <v>-951</v>
      </c>
      <c r="D1204" s="9"/>
    </row>
    <row r="1205" spans="1:4" x14ac:dyDescent="0.25">
      <c r="A1205" s="9" t="str">
        <f t="shared" si="26"/>
        <v>12013</v>
      </c>
      <c r="B1205" s="14">
        <v>41292</v>
      </c>
      <c r="C1205">
        <v>2813</v>
      </c>
      <c r="D1205" s="9"/>
    </row>
    <row r="1206" spans="1:4" x14ac:dyDescent="0.25">
      <c r="A1206" s="9" t="str">
        <f t="shared" si="26"/>
        <v>12013</v>
      </c>
      <c r="B1206" s="14">
        <v>41299</v>
      </c>
      <c r="C1206">
        <v>5947</v>
      </c>
      <c r="D1206" s="9"/>
    </row>
    <row r="1207" spans="1:4" x14ac:dyDescent="0.25">
      <c r="A1207" s="9" t="str">
        <f t="shared" si="26"/>
        <v>22013</v>
      </c>
      <c r="B1207" s="14">
        <v>41306</v>
      </c>
      <c r="C1207">
        <v>2623</v>
      </c>
      <c r="D1207" s="9"/>
    </row>
    <row r="1208" spans="1:4" x14ac:dyDescent="0.25">
      <c r="A1208" s="9" t="str">
        <f t="shared" si="26"/>
        <v>22013</v>
      </c>
      <c r="B1208" s="14">
        <v>41313</v>
      </c>
      <c r="C1208">
        <v>560</v>
      </c>
      <c r="D1208" s="9"/>
    </row>
    <row r="1209" spans="1:4" x14ac:dyDescent="0.25">
      <c r="A1209" s="9" t="str">
        <f t="shared" si="26"/>
        <v>22013</v>
      </c>
      <c r="B1209" s="14">
        <v>41320</v>
      </c>
      <c r="C1209">
        <v>4143</v>
      </c>
      <c r="D1209" s="9"/>
    </row>
    <row r="1210" spans="1:4" x14ac:dyDescent="0.25">
      <c r="A1210" s="9" t="str">
        <f t="shared" si="26"/>
        <v>22013</v>
      </c>
      <c r="B1210" s="14">
        <v>41327</v>
      </c>
      <c r="C1210">
        <v>1130</v>
      </c>
      <c r="D1210" s="9"/>
    </row>
    <row r="1211" spans="1:4" x14ac:dyDescent="0.25">
      <c r="A1211" s="9" t="str">
        <f t="shared" si="26"/>
        <v>32013</v>
      </c>
      <c r="B1211" s="14">
        <v>41334</v>
      </c>
      <c r="C1211">
        <v>3833</v>
      </c>
      <c r="D1211" s="9"/>
    </row>
    <row r="1212" spans="1:4" x14ac:dyDescent="0.25">
      <c r="A1212" s="9" t="str">
        <f t="shared" si="26"/>
        <v>32013</v>
      </c>
      <c r="B1212" s="14">
        <v>41341</v>
      </c>
      <c r="C1212">
        <v>2624</v>
      </c>
      <c r="D1212" s="9"/>
    </row>
    <row r="1213" spans="1:4" x14ac:dyDescent="0.25">
      <c r="A1213" s="9" t="str">
        <f t="shared" si="26"/>
        <v>32013</v>
      </c>
      <c r="B1213" s="14">
        <v>41348</v>
      </c>
      <c r="C1213">
        <v>-1314</v>
      </c>
      <c r="D1213" s="9"/>
    </row>
    <row r="1214" spans="1:4" x14ac:dyDescent="0.25">
      <c r="A1214" s="9" t="str">
        <f t="shared" si="26"/>
        <v>32013</v>
      </c>
      <c r="B1214" s="14">
        <v>41355</v>
      </c>
      <c r="C1214">
        <v>3256</v>
      </c>
      <c r="D1214" s="9"/>
    </row>
    <row r="1215" spans="1:4" x14ac:dyDescent="0.25">
      <c r="A1215" s="9" t="str">
        <f t="shared" si="26"/>
        <v>32013</v>
      </c>
      <c r="B1215" s="14">
        <v>41362</v>
      </c>
      <c r="C1215">
        <v>2707</v>
      </c>
      <c r="D1215" s="9"/>
    </row>
    <row r="1216" spans="1:4" x14ac:dyDescent="0.25">
      <c r="A1216" s="9" t="str">
        <f t="shared" si="26"/>
        <v>42013</v>
      </c>
      <c r="B1216" s="14">
        <v>41369</v>
      </c>
      <c r="C1216">
        <v>250</v>
      </c>
      <c r="D1216" s="9"/>
    </row>
    <row r="1217" spans="1:4" x14ac:dyDescent="0.25">
      <c r="A1217" s="9" t="str">
        <f t="shared" si="26"/>
        <v>42013</v>
      </c>
      <c r="B1217" s="14">
        <v>41376</v>
      </c>
      <c r="C1217">
        <v>-1233</v>
      </c>
      <c r="D1217" s="9"/>
    </row>
    <row r="1218" spans="1:4" x14ac:dyDescent="0.25">
      <c r="A1218" s="9" t="str">
        <f t="shared" si="26"/>
        <v>42013</v>
      </c>
      <c r="B1218" s="14">
        <v>41383</v>
      </c>
      <c r="C1218">
        <v>947</v>
      </c>
      <c r="D1218" s="9"/>
    </row>
    <row r="1219" spans="1:4" x14ac:dyDescent="0.25">
      <c r="A1219" s="9" t="str">
        <f t="shared" si="26"/>
        <v>42013</v>
      </c>
      <c r="B1219" s="14">
        <v>41390</v>
      </c>
      <c r="C1219">
        <v>6696</v>
      </c>
      <c r="D1219" s="9"/>
    </row>
    <row r="1220" spans="1:4" x14ac:dyDescent="0.25">
      <c r="A1220" s="9" t="str">
        <f t="shared" ref="A1220:A1283" si="27">MONTH(B1220)&amp;YEAR(B1220)</f>
        <v>52013</v>
      </c>
      <c r="B1220" s="14">
        <v>41397</v>
      </c>
      <c r="C1220">
        <v>230</v>
      </c>
      <c r="D1220" s="9"/>
    </row>
    <row r="1221" spans="1:4" x14ac:dyDescent="0.25">
      <c r="A1221" s="9" t="str">
        <f t="shared" si="27"/>
        <v>52013</v>
      </c>
      <c r="B1221" s="14">
        <v>41404</v>
      </c>
      <c r="C1221">
        <v>-624</v>
      </c>
      <c r="D1221" s="9"/>
    </row>
    <row r="1222" spans="1:4" x14ac:dyDescent="0.25">
      <c r="A1222" s="9" t="str">
        <f t="shared" si="27"/>
        <v>52013</v>
      </c>
      <c r="B1222" s="14">
        <v>41411</v>
      </c>
      <c r="C1222">
        <v>-338</v>
      </c>
      <c r="D1222" s="9"/>
    </row>
    <row r="1223" spans="1:4" x14ac:dyDescent="0.25">
      <c r="A1223" s="9" t="str">
        <f t="shared" si="27"/>
        <v>52013</v>
      </c>
      <c r="B1223" s="14">
        <v>41418</v>
      </c>
      <c r="C1223">
        <v>3000</v>
      </c>
      <c r="D1223" s="9"/>
    </row>
    <row r="1224" spans="1:4" x14ac:dyDescent="0.25">
      <c r="A1224" s="9" t="str">
        <f t="shared" si="27"/>
        <v>52013</v>
      </c>
      <c r="B1224" s="14">
        <v>41425</v>
      </c>
      <c r="C1224">
        <v>-6267</v>
      </c>
      <c r="D1224" s="9"/>
    </row>
    <row r="1225" spans="1:4" x14ac:dyDescent="0.25">
      <c r="A1225" s="9" t="str">
        <f t="shared" si="27"/>
        <v>62013</v>
      </c>
      <c r="B1225" s="14">
        <v>41432</v>
      </c>
      <c r="C1225">
        <v>2523</v>
      </c>
      <c r="D1225" s="9"/>
    </row>
    <row r="1226" spans="1:4" x14ac:dyDescent="0.25">
      <c r="A1226" s="9" t="str">
        <f t="shared" si="27"/>
        <v>62013</v>
      </c>
      <c r="B1226" s="14">
        <v>41439</v>
      </c>
      <c r="C1226">
        <v>313</v>
      </c>
      <c r="D1226" s="9"/>
    </row>
    <row r="1227" spans="1:4" x14ac:dyDescent="0.25">
      <c r="A1227" s="9" t="str">
        <f t="shared" si="27"/>
        <v>62013</v>
      </c>
      <c r="B1227" s="14">
        <v>41446</v>
      </c>
      <c r="C1227">
        <v>18</v>
      </c>
      <c r="D1227" s="9"/>
    </row>
    <row r="1228" spans="1:4" x14ac:dyDescent="0.25">
      <c r="A1228" s="9" t="str">
        <f t="shared" si="27"/>
        <v>62013</v>
      </c>
      <c r="B1228" s="14">
        <v>41453</v>
      </c>
      <c r="C1228">
        <v>-10347</v>
      </c>
      <c r="D1228" s="9"/>
    </row>
    <row r="1229" spans="1:4" x14ac:dyDescent="0.25">
      <c r="A1229" s="9" t="str">
        <f t="shared" si="27"/>
        <v>72013</v>
      </c>
      <c r="B1229" s="14">
        <v>41460</v>
      </c>
      <c r="C1229">
        <v>-9874</v>
      </c>
      <c r="D1229" s="9"/>
    </row>
    <row r="1230" spans="1:4" x14ac:dyDescent="0.25">
      <c r="A1230" s="9" t="str">
        <f t="shared" si="27"/>
        <v>72013</v>
      </c>
      <c r="B1230" s="14">
        <v>41467</v>
      </c>
      <c r="C1230">
        <v>-6902</v>
      </c>
      <c r="D1230" s="9"/>
    </row>
    <row r="1231" spans="1:4" x14ac:dyDescent="0.25">
      <c r="A1231" s="9" t="str">
        <f t="shared" si="27"/>
        <v>72013</v>
      </c>
      <c r="B1231" s="14">
        <v>41474</v>
      </c>
      <c r="C1231">
        <v>-2825</v>
      </c>
      <c r="D1231" s="9"/>
    </row>
    <row r="1232" spans="1:4" x14ac:dyDescent="0.25">
      <c r="A1232" s="9" t="str">
        <f t="shared" si="27"/>
        <v>72013</v>
      </c>
      <c r="B1232" s="14">
        <v>41481</v>
      </c>
      <c r="C1232">
        <v>431</v>
      </c>
      <c r="D1232" s="9"/>
    </row>
    <row r="1233" spans="1:4" x14ac:dyDescent="0.25">
      <c r="A1233" s="9" t="str">
        <f t="shared" si="27"/>
        <v>82013</v>
      </c>
      <c r="B1233" s="14">
        <v>41488</v>
      </c>
      <c r="C1233">
        <v>-1320</v>
      </c>
      <c r="D1233" s="9"/>
    </row>
    <row r="1234" spans="1:4" x14ac:dyDescent="0.25">
      <c r="A1234" s="9" t="str">
        <f t="shared" si="27"/>
        <v>82013</v>
      </c>
      <c r="B1234" s="14">
        <v>41495</v>
      </c>
      <c r="C1234">
        <v>-2812</v>
      </c>
      <c r="D1234" s="9"/>
    </row>
    <row r="1235" spans="1:4" x14ac:dyDescent="0.25">
      <c r="A1235" s="9" t="str">
        <f t="shared" si="27"/>
        <v>82013</v>
      </c>
      <c r="B1235" s="14">
        <v>41502</v>
      </c>
      <c r="C1235">
        <v>-1428</v>
      </c>
      <c r="D1235" s="9"/>
    </row>
    <row r="1236" spans="1:4" x14ac:dyDescent="0.25">
      <c r="A1236" s="9" t="str">
        <f t="shared" si="27"/>
        <v>82013</v>
      </c>
      <c r="B1236" s="14">
        <v>41509</v>
      </c>
      <c r="C1236">
        <v>2986</v>
      </c>
      <c r="D1236" s="9"/>
    </row>
    <row r="1237" spans="1:4" x14ac:dyDescent="0.25">
      <c r="A1237" s="9" t="str">
        <f t="shared" si="27"/>
        <v>82013</v>
      </c>
      <c r="B1237" s="14">
        <v>41516</v>
      </c>
      <c r="C1237">
        <v>-1836</v>
      </c>
      <c r="D1237" s="9"/>
    </row>
    <row r="1238" spans="1:4" x14ac:dyDescent="0.25">
      <c r="A1238" s="9" t="str">
        <f t="shared" si="27"/>
        <v>92013</v>
      </c>
      <c r="B1238" s="14">
        <v>41523</v>
      </c>
      <c r="C1238">
        <v>-219</v>
      </c>
      <c r="D1238" s="9"/>
    </row>
    <row r="1239" spans="1:4" x14ac:dyDescent="0.25">
      <c r="A1239" s="9" t="str">
        <f t="shared" si="27"/>
        <v>92013</v>
      </c>
      <c r="B1239" s="14">
        <v>41530</v>
      </c>
      <c r="C1239">
        <v>-4368</v>
      </c>
      <c r="D1239" s="9"/>
    </row>
    <row r="1240" spans="1:4" x14ac:dyDescent="0.25">
      <c r="A1240" s="9" t="str">
        <f t="shared" si="27"/>
        <v>92013</v>
      </c>
      <c r="B1240" s="14">
        <v>41537</v>
      </c>
      <c r="C1240">
        <v>2635</v>
      </c>
      <c r="D1240" s="9"/>
    </row>
    <row r="1241" spans="1:4" x14ac:dyDescent="0.25">
      <c r="A1241" s="9" t="str">
        <f t="shared" si="27"/>
        <v>92013</v>
      </c>
      <c r="B1241" s="14">
        <v>41544</v>
      </c>
      <c r="C1241">
        <v>5472</v>
      </c>
      <c r="D1241" s="9"/>
    </row>
    <row r="1242" spans="1:4" x14ac:dyDescent="0.25">
      <c r="A1242" s="9" t="str">
        <f t="shared" si="27"/>
        <v>102013</v>
      </c>
      <c r="B1242" s="14">
        <v>41551</v>
      </c>
      <c r="C1242">
        <v>6807</v>
      </c>
      <c r="D1242" s="9"/>
    </row>
    <row r="1243" spans="1:4" x14ac:dyDescent="0.25">
      <c r="A1243" s="9" t="str">
        <f t="shared" si="27"/>
        <v>102013</v>
      </c>
      <c r="B1243" s="14">
        <v>41558</v>
      </c>
      <c r="C1243">
        <v>3999</v>
      </c>
      <c r="D1243" s="9"/>
    </row>
    <row r="1244" spans="1:4" x14ac:dyDescent="0.25">
      <c r="A1244" s="9" t="str">
        <f t="shared" si="27"/>
        <v>102013</v>
      </c>
      <c r="B1244" s="14">
        <v>41565</v>
      </c>
      <c r="C1244">
        <v>5246</v>
      </c>
      <c r="D1244" s="9"/>
    </row>
    <row r="1245" spans="1:4" x14ac:dyDescent="0.25">
      <c r="A1245" s="9" t="str">
        <f t="shared" si="27"/>
        <v>102013</v>
      </c>
      <c r="B1245" s="14">
        <v>41572</v>
      </c>
      <c r="C1245">
        <v>4087</v>
      </c>
      <c r="D1245" s="9"/>
    </row>
    <row r="1246" spans="1:4" x14ac:dyDescent="0.25">
      <c r="A1246" s="9" t="str">
        <f t="shared" si="27"/>
        <v>112013</v>
      </c>
      <c r="B1246" s="14">
        <v>41579</v>
      </c>
      <c r="C1246">
        <v>1577</v>
      </c>
      <c r="D1246" s="9"/>
    </row>
    <row r="1247" spans="1:4" x14ac:dyDescent="0.25">
      <c r="A1247" s="9" t="str">
        <f t="shared" si="27"/>
        <v>112013</v>
      </c>
      <c r="B1247" s="14">
        <v>41586</v>
      </c>
      <c r="C1247">
        <v>2640</v>
      </c>
      <c r="D1247" s="9"/>
    </row>
    <row r="1248" spans="1:4" x14ac:dyDescent="0.25">
      <c r="A1248" s="9" t="str">
        <f t="shared" si="27"/>
        <v>112013</v>
      </c>
      <c r="B1248" s="14">
        <v>41593</v>
      </c>
      <c r="C1248">
        <v>375</v>
      </c>
      <c r="D1248" s="9"/>
    </row>
    <row r="1249" spans="1:4" x14ac:dyDescent="0.25">
      <c r="A1249" s="9" t="str">
        <f t="shared" si="27"/>
        <v>112013</v>
      </c>
      <c r="B1249" s="14">
        <v>41600</v>
      </c>
      <c r="C1249">
        <v>2953</v>
      </c>
      <c r="D1249" s="9"/>
    </row>
    <row r="1250" spans="1:4" x14ac:dyDescent="0.25">
      <c r="A1250" s="9" t="str">
        <f t="shared" si="27"/>
        <v>112013</v>
      </c>
      <c r="B1250" s="14">
        <v>41607</v>
      </c>
      <c r="C1250">
        <v>-5585</v>
      </c>
      <c r="D1250" s="9"/>
    </row>
    <row r="1251" spans="1:4" x14ac:dyDescent="0.25">
      <c r="A1251" s="9" t="str">
        <f t="shared" si="27"/>
        <v>122013</v>
      </c>
      <c r="B1251" s="14">
        <v>41614</v>
      </c>
      <c r="C1251">
        <v>-10585</v>
      </c>
      <c r="D1251" s="9"/>
    </row>
    <row r="1252" spans="1:4" x14ac:dyDescent="0.25">
      <c r="A1252" s="9" t="str">
        <f t="shared" si="27"/>
        <v>122013</v>
      </c>
      <c r="B1252" s="14">
        <v>41621</v>
      </c>
      <c r="C1252">
        <v>-2941</v>
      </c>
      <c r="D1252" s="9"/>
    </row>
    <row r="1253" spans="1:4" x14ac:dyDescent="0.25">
      <c r="A1253" s="9" t="str">
        <f t="shared" si="27"/>
        <v>122013</v>
      </c>
      <c r="B1253" s="14">
        <v>41628</v>
      </c>
      <c r="C1253">
        <v>-4731</v>
      </c>
      <c r="D1253" s="9"/>
    </row>
    <row r="1254" spans="1:4" x14ac:dyDescent="0.25">
      <c r="A1254" s="9" t="str">
        <f t="shared" si="27"/>
        <v>122013</v>
      </c>
      <c r="B1254" s="14">
        <v>41635</v>
      </c>
      <c r="C1254">
        <v>-7007</v>
      </c>
      <c r="D1254" s="9"/>
    </row>
    <row r="1255" spans="1:4" x14ac:dyDescent="0.25">
      <c r="A1255" s="9" t="str">
        <f t="shared" si="27"/>
        <v>12014</v>
      </c>
      <c r="B1255" s="14">
        <v>41642</v>
      </c>
      <c r="C1255">
        <v>-2675</v>
      </c>
      <c r="D1255" s="9"/>
    </row>
    <row r="1256" spans="1:4" x14ac:dyDescent="0.25">
      <c r="A1256" s="9" t="str">
        <f t="shared" si="27"/>
        <v>12014</v>
      </c>
      <c r="B1256" s="14">
        <v>41649</v>
      </c>
      <c r="C1256">
        <v>-7658</v>
      </c>
      <c r="D1256" s="9"/>
    </row>
    <row r="1257" spans="1:4" x14ac:dyDescent="0.25">
      <c r="A1257" s="9" t="str">
        <f t="shared" si="27"/>
        <v>12014</v>
      </c>
      <c r="B1257" s="14">
        <v>41656</v>
      </c>
      <c r="C1257">
        <v>990</v>
      </c>
      <c r="D1257" s="9"/>
    </row>
    <row r="1258" spans="1:4" x14ac:dyDescent="0.25">
      <c r="A1258" s="9" t="str">
        <f t="shared" si="27"/>
        <v>12014</v>
      </c>
      <c r="B1258" s="14">
        <v>41663</v>
      </c>
      <c r="C1258">
        <v>6421</v>
      </c>
      <c r="D1258" s="9"/>
    </row>
    <row r="1259" spans="1:4" x14ac:dyDescent="0.25">
      <c r="A1259" s="9" t="str">
        <f t="shared" si="27"/>
        <v>12014</v>
      </c>
      <c r="B1259" s="14">
        <v>41670</v>
      </c>
      <c r="C1259">
        <v>440</v>
      </c>
      <c r="D1259" s="9"/>
    </row>
    <row r="1260" spans="1:4" x14ac:dyDescent="0.25">
      <c r="A1260" s="9" t="str">
        <f t="shared" si="27"/>
        <v>22014</v>
      </c>
      <c r="B1260" s="14">
        <v>41677</v>
      </c>
      <c r="C1260">
        <v>3267</v>
      </c>
      <c r="D1260" s="9"/>
    </row>
    <row r="1261" spans="1:4" x14ac:dyDescent="0.25">
      <c r="A1261" s="9" t="str">
        <f t="shared" si="27"/>
        <v>22014</v>
      </c>
      <c r="B1261" s="14">
        <v>41684</v>
      </c>
      <c r="C1261">
        <v>973</v>
      </c>
      <c r="D1261" s="9"/>
    </row>
    <row r="1262" spans="1:4" x14ac:dyDescent="0.25">
      <c r="A1262" s="9" t="str">
        <f t="shared" si="27"/>
        <v>22014</v>
      </c>
      <c r="B1262" s="14">
        <v>41691</v>
      </c>
      <c r="C1262">
        <v>68</v>
      </c>
      <c r="D1262" s="9"/>
    </row>
    <row r="1263" spans="1:4" x14ac:dyDescent="0.25">
      <c r="A1263" s="9" t="str">
        <f t="shared" si="27"/>
        <v>22014</v>
      </c>
      <c r="B1263" s="14">
        <v>41698</v>
      </c>
      <c r="C1263">
        <v>1429</v>
      </c>
      <c r="D1263" s="9"/>
    </row>
    <row r="1264" spans="1:4" x14ac:dyDescent="0.25">
      <c r="A1264" s="9" t="str">
        <f t="shared" si="27"/>
        <v>32014</v>
      </c>
      <c r="B1264" s="14">
        <v>41705</v>
      </c>
      <c r="C1264">
        <v>6180</v>
      </c>
      <c r="D1264" s="9"/>
    </row>
    <row r="1265" spans="1:4" x14ac:dyDescent="0.25">
      <c r="A1265" s="9" t="str">
        <f t="shared" si="27"/>
        <v>32014</v>
      </c>
      <c r="B1265" s="14">
        <v>41712</v>
      </c>
      <c r="C1265">
        <v>5850</v>
      </c>
      <c r="D1265" s="9"/>
    </row>
    <row r="1266" spans="1:4" x14ac:dyDescent="0.25">
      <c r="A1266" s="9" t="str">
        <f t="shared" si="27"/>
        <v>32014</v>
      </c>
      <c r="B1266" s="14">
        <v>41719</v>
      </c>
      <c r="C1266">
        <v>6619</v>
      </c>
      <c r="D1266" s="9"/>
    </row>
    <row r="1267" spans="1:4" x14ac:dyDescent="0.25">
      <c r="A1267" s="9" t="str">
        <f t="shared" si="27"/>
        <v>32014</v>
      </c>
      <c r="B1267" s="14">
        <v>41726</v>
      </c>
      <c r="C1267">
        <v>-2379</v>
      </c>
      <c r="D1267" s="9"/>
    </row>
    <row r="1268" spans="1:4" x14ac:dyDescent="0.25">
      <c r="A1268" s="9" t="str">
        <f t="shared" si="27"/>
        <v>42014</v>
      </c>
      <c r="B1268" s="14">
        <v>41733</v>
      </c>
      <c r="C1268">
        <v>4030</v>
      </c>
      <c r="D1268" s="9"/>
    </row>
    <row r="1269" spans="1:4" x14ac:dyDescent="0.25">
      <c r="A1269" s="9" t="str">
        <f t="shared" si="27"/>
        <v>42014</v>
      </c>
      <c r="B1269" s="14">
        <v>41740</v>
      </c>
      <c r="C1269">
        <v>10013</v>
      </c>
      <c r="D1269" s="9"/>
    </row>
    <row r="1270" spans="1:4" x14ac:dyDescent="0.25">
      <c r="A1270" s="9" t="str">
        <f t="shared" si="27"/>
        <v>42014</v>
      </c>
      <c r="B1270" s="14">
        <v>41747</v>
      </c>
      <c r="C1270">
        <v>3524</v>
      </c>
      <c r="D1270" s="9"/>
    </row>
    <row r="1271" spans="1:4" x14ac:dyDescent="0.25">
      <c r="A1271" s="9" t="str">
        <f t="shared" si="27"/>
        <v>42014</v>
      </c>
      <c r="B1271" s="14">
        <v>41754</v>
      </c>
      <c r="C1271">
        <v>1698</v>
      </c>
      <c r="D1271" s="9"/>
    </row>
    <row r="1272" spans="1:4" x14ac:dyDescent="0.25">
      <c r="A1272" s="9" t="str">
        <f t="shared" si="27"/>
        <v>52014</v>
      </c>
      <c r="B1272" s="14">
        <v>41761</v>
      </c>
      <c r="C1272">
        <v>-1781</v>
      </c>
      <c r="D1272" s="9"/>
    </row>
    <row r="1273" spans="1:4" x14ac:dyDescent="0.25">
      <c r="A1273" s="9" t="str">
        <f t="shared" si="27"/>
        <v>52014</v>
      </c>
      <c r="B1273" s="14">
        <v>41768</v>
      </c>
      <c r="C1273">
        <v>947</v>
      </c>
      <c r="D1273" s="9"/>
    </row>
    <row r="1274" spans="1:4" x14ac:dyDescent="0.25">
      <c r="A1274" s="9" t="str">
        <f t="shared" si="27"/>
        <v>52014</v>
      </c>
      <c r="B1274" s="14">
        <v>41775</v>
      </c>
      <c r="C1274">
        <v>-7226</v>
      </c>
      <c r="D1274" s="9"/>
    </row>
    <row r="1275" spans="1:4" x14ac:dyDescent="0.25">
      <c r="A1275" s="9" t="str">
        <f t="shared" si="27"/>
        <v>52014</v>
      </c>
      <c r="B1275" s="14">
        <v>41782</v>
      </c>
      <c r="C1275">
        <v>1657</v>
      </c>
      <c r="D1275" s="9"/>
    </row>
    <row r="1276" spans="1:4" x14ac:dyDescent="0.25">
      <c r="A1276" s="9" t="str">
        <f t="shared" si="27"/>
        <v>52014</v>
      </c>
      <c r="B1276" s="14">
        <v>41789</v>
      </c>
      <c r="C1276">
        <v>-3431</v>
      </c>
      <c r="D1276" s="9"/>
    </row>
    <row r="1277" spans="1:4" x14ac:dyDescent="0.25">
      <c r="A1277" s="9" t="str">
        <f t="shared" si="27"/>
        <v>62014</v>
      </c>
      <c r="B1277" s="14">
        <v>41796</v>
      </c>
      <c r="C1277">
        <v>-2596</v>
      </c>
      <c r="D1277" s="9"/>
    </row>
    <row r="1278" spans="1:4" x14ac:dyDescent="0.25">
      <c r="A1278" s="9" t="str">
        <f t="shared" si="27"/>
        <v>62014</v>
      </c>
      <c r="B1278" s="14">
        <v>41803</v>
      </c>
      <c r="C1278">
        <v>-579</v>
      </c>
      <c r="D1278" s="9"/>
    </row>
    <row r="1279" spans="1:4" x14ac:dyDescent="0.25">
      <c r="A1279" s="9" t="str">
        <f t="shared" si="27"/>
        <v>62014</v>
      </c>
      <c r="B1279" s="14">
        <v>41810</v>
      </c>
      <c r="C1279">
        <v>1742</v>
      </c>
      <c r="D1279" s="9"/>
    </row>
    <row r="1280" spans="1:4" x14ac:dyDescent="0.25">
      <c r="A1280" s="9" t="str">
        <f t="shared" si="27"/>
        <v>62014</v>
      </c>
      <c r="B1280" s="14">
        <v>41817</v>
      </c>
      <c r="C1280">
        <v>-3155</v>
      </c>
      <c r="D1280" s="9"/>
    </row>
    <row r="1281" spans="1:4" x14ac:dyDescent="0.25">
      <c r="A1281" s="9" t="str">
        <f t="shared" si="27"/>
        <v>72014</v>
      </c>
      <c r="B1281" s="14">
        <v>41824</v>
      </c>
      <c r="C1281">
        <v>-2370</v>
      </c>
      <c r="D1281" s="9"/>
    </row>
    <row r="1282" spans="1:4" x14ac:dyDescent="0.25">
      <c r="A1282" s="9" t="str">
        <f t="shared" si="27"/>
        <v>72014</v>
      </c>
      <c r="B1282" s="14">
        <v>41831</v>
      </c>
      <c r="C1282">
        <v>-7525</v>
      </c>
      <c r="D1282" s="9"/>
    </row>
    <row r="1283" spans="1:4" x14ac:dyDescent="0.25">
      <c r="A1283" s="9" t="str">
        <f t="shared" si="27"/>
        <v>72014</v>
      </c>
      <c r="B1283" s="14">
        <v>41838</v>
      </c>
      <c r="C1283">
        <v>-3969</v>
      </c>
      <c r="D1283" s="9"/>
    </row>
    <row r="1284" spans="1:4" x14ac:dyDescent="0.25">
      <c r="A1284" s="9" t="str">
        <f t="shared" ref="A1284:A1347" si="28">MONTH(B1284)&amp;YEAR(B1284)</f>
        <v>72014</v>
      </c>
      <c r="B1284" s="14">
        <v>41845</v>
      </c>
      <c r="C1284">
        <v>-3697</v>
      </c>
      <c r="D1284" s="9"/>
    </row>
    <row r="1285" spans="1:4" x14ac:dyDescent="0.25">
      <c r="A1285" s="9" t="str">
        <f t="shared" si="28"/>
        <v>82014</v>
      </c>
      <c r="B1285" s="14">
        <v>41852</v>
      </c>
      <c r="C1285">
        <v>-1756</v>
      </c>
      <c r="D1285" s="9"/>
    </row>
    <row r="1286" spans="1:4" x14ac:dyDescent="0.25">
      <c r="A1286" s="9" t="str">
        <f t="shared" si="28"/>
        <v>82014</v>
      </c>
      <c r="B1286" s="14">
        <v>41859</v>
      </c>
      <c r="C1286">
        <v>1401</v>
      </c>
      <c r="D1286" s="9"/>
    </row>
    <row r="1287" spans="1:4" x14ac:dyDescent="0.25">
      <c r="A1287" s="9" t="str">
        <f t="shared" si="28"/>
        <v>82014</v>
      </c>
      <c r="B1287" s="14">
        <v>41866</v>
      </c>
      <c r="C1287">
        <v>-4474</v>
      </c>
      <c r="D1287" s="9"/>
    </row>
    <row r="1288" spans="1:4" x14ac:dyDescent="0.25">
      <c r="A1288" s="9" t="str">
        <f t="shared" si="28"/>
        <v>82014</v>
      </c>
      <c r="B1288" s="14">
        <v>41873</v>
      </c>
      <c r="C1288">
        <v>-2070</v>
      </c>
      <c r="D1288" s="9"/>
    </row>
    <row r="1289" spans="1:4" x14ac:dyDescent="0.25">
      <c r="A1289" s="9" t="str">
        <f t="shared" si="28"/>
        <v>82014</v>
      </c>
      <c r="B1289" s="14">
        <v>41880</v>
      </c>
      <c r="C1289">
        <v>-905</v>
      </c>
      <c r="D1289" s="9"/>
    </row>
    <row r="1290" spans="1:4" x14ac:dyDescent="0.25">
      <c r="A1290" s="9" t="str">
        <f t="shared" si="28"/>
        <v>92014</v>
      </c>
      <c r="B1290" s="14">
        <v>41887</v>
      </c>
      <c r="C1290">
        <v>-972</v>
      </c>
      <c r="D1290" s="9"/>
    </row>
    <row r="1291" spans="1:4" x14ac:dyDescent="0.25">
      <c r="A1291" s="9" t="str">
        <f t="shared" si="28"/>
        <v>92014</v>
      </c>
      <c r="B1291" s="14">
        <v>41894</v>
      </c>
      <c r="C1291">
        <v>3673</v>
      </c>
      <c r="D1291" s="9"/>
    </row>
    <row r="1292" spans="1:4" x14ac:dyDescent="0.25">
      <c r="A1292" s="9" t="str">
        <f t="shared" si="28"/>
        <v>92014</v>
      </c>
      <c r="B1292" s="14">
        <v>41901</v>
      </c>
      <c r="C1292">
        <v>-4273</v>
      </c>
      <c r="D1292" s="9"/>
    </row>
    <row r="1293" spans="1:4" x14ac:dyDescent="0.25">
      <c r="A1293" s="9" t="str">
        <f t="shared" si="28"/>
        <v>92014</v>
      </c>
      <c r="B1293" s="14">
        <v>41908</v>
      </c>
      <c r="C1293">
        <v>-1363</v>
      </c>
      <c r="D1293" s="9"/>
    </row>
    <row r="1294" spans="1:4" x14ac:dyDescent="0.25">
      <c r="A1294" s="9" t="str">
        <f t="shared" si="28"/>
        <v>102014</v>
      </c>
      <c r="B1294" s="14">
        <v>41915</v>
      </c>
      <c r="C1294">
        <v>5015</v>
      </c>
      <c r="D1294" s="9"/>
    </row>
    <row r="1295" spans="1:4" x14ac:dyDescent="0.25">
      <c r="A1295" s="9" t="str">
        <f t="shared" si="28"/>
        <v>102014</v>
      </c>
      <c r="B1295" s="14">
        <v>41922</v>
      </c>
      <c r="C1295">
        <v>8923</v>
      </c>
      <c r="D1295" s="9"/>
    </row>
    <row r="1296" spans="1:4" x14ac:dyDescent="0.25">
      <c r="A1296" s="9" t="str">
        <f t="shared" si="28"/>
        <v>102014</v>
      </c>
      <c r="B1296" s="14">
        <v>41929</v>
      </c>
      <c r="C1296">
        <v>7111</v>
      </c>
      <c r="D1296" s="9"/>
    </row>
    <row r="1297" spans="1:4" x14ac:dyDescent="0.25">
      <c r="A1297" s="9" t="str">
        <f t="shared" si="28"/>
        <v>102014</v>
      </c>
      <c r="B1297" s="14">
        <v>41936</v>
      </c>
      <c r="C1297">
        <v>2061</v>
      </c>
      <c r="D1297" s="9"/>
    </row>
    <row r="1298" spans="1:4" x14ac:dyDescent="0.25">
      <c r="A1298" s="9" t="str">
        <f t="shared" si="28"/>
        <v>102014</v>
      </c>
      <c r="B1298" s="14">
        <v>41943</v>
      </c>
      <c r="C1298">
        <v>460</v>
      </c>
      <c r="D1298" s="9"/>
    </row>
    <row r="1299" spans="1:4" x14ac:dyDescent="0.25">
      <c r="A1299" s="9" t="str">
        <f t="shared" si="28"/>
        <v>112014</v>
      </c>
      <c r="B1299" s="14">
        <v>41950</v>
      </c>
      <c r="C1299">
        <v>-1735</v>
      </c>
      <c r="D1299" s="9"/>
    </row>
    <row r="1300" spans="1:4" x14ac:dyDescent="0.25">
      <c r="A1300" s="9" t="str">
        <f t="shared" si="28"/>
        <v>112014</v>
      </c>
      <c r="B1300" s="14">
        <v>41957</v>
      </c>
      <c r="C1300">
        <v>2608</v>
      </c>
      <c r="D1300" s="9"/>
    </row>
    <row r="1301" spans="1:4" x14ac:dyDescent="0.25">
      <c r="A1301" s="9" t="str">
        <f t="shared" si="28"/>
        <v>112014</v>
      </c>
      <c r="B1301" s="14">
        <v>41964</v>
      </c>
      <c r="C1301">
        <v>1946</v>
      </c>
      <c r="D1301" s="9"/>
    </row>
    <row r="1302" spans="1:4" x14ac:dyDescent="0.25">
      <c r="A1302" s="9" t="str">
        <f t="shared" si="28"/>
        <v>112014</v>
      </c>
      <c r="B1302" s="14">
        <v>41971</v>
      </c>
      <c r="C1302">
        <v>-3689</v>
      </c>
      <c r="D1302" s="9"/>
    </row>
    <row r="1303" spans="1:4" x14ac:dyDescent="0.25">
      <c r="A1303" s="9" t="str">
        <f t="shared" si="28"/>
        <v>122014</v>
      </c>
      <c r="B1303" s="14">
        <v>41978</v>
      </c>
      <c r="C1303">
        <v>1454</v>
      </c>
      <c r="D1303" s="9"/>
    </row>
    <row r="1304" spans="1:4" x14ac:dyDescent="0.25">
      <c r="A1304" s="9" t="str">
        <f t="shared" si="28"/>
        <v>122014</v>
      </c>
      <c r="B1304" s="14">
        <v>41985</v>
      </c>
      <c r="C1304">
        <v>-847</v>
      </c>
      <c r="D1304" s="9"/>
    </row>
    <row r="1305" spans="1:4" x14ac:dyDescent="0.25">
      <c r="A1305" s="9" t="str">
        <f t="shared" si="28"/>
        <v>122014</v>
      </c>
      <c r="B1305" s="14">
        <v>41992</v>
      </c>
      <c r="C1305">
        <v>7267</v>
      </c>
      <c r="D1305" s="9"/>
    </row>
    <row r="1306" spans="1:4" x14ac:dyDescent="0.25">
      <c r="A1306" s="9" t="str">
        <f t="shared" si="28"/>
        <v>122014</v>
      </c>
      <c r="B1306" s="14">
        <v>41999</v>
      </c>
      <c r="C1306">
        <v>-1754</v>
      </c>
      <c r="D1306" s="9"/>
    </row>
    <row r="1307" spans="1:4" x14ac:dyDescent="0.25">
      <c r="A1307" s="9" t="str">
        <f t="shared" si="28"/>
        <v>12015</v>
      </c>
      <c r="B1307" s="14">
        <v>42006</v>
      </c>
      <c r="C1307">
        <v>-3062</v>
      </c>
      <c r="D1307" s="9"/>
    </row>
    <row r="1308" spans="1:4" x14ac:dyDescent="0.25">
      <c r="A1308" s="9" t="str">
        <f t="shared" si="28"/>
        <v>12015</v>
      </c>
      <c r="B1308" s="14">
        <v>42013</v>
      </c>
      <c r="C1308">
        <v>5389</v>
      </c>
      <c r="D1308" s="9"/>
    </row>
    <row r="1309" spans="1:4" x14ac:dyDescent="0.25">
      <c r="A1309" s="9" t="str">
        <f t="shared" si="28"/>
        <v>12015</v>
      </c>
      <c r="B1309" s="14">
        <v>42020</v>
      </c>
      <c r="C1309">
        <v>10071</v>
      </c>
      <c r="D1309" s="9"/>
    </row>
    <row r="1310" spans="1:4" x14ac:dyDescent="0.25">
      <c r="A1310" s="9" t="str">
        <f t="shared" si="28"/>
        <v>12015</v>
      </c>
      <c r="B1310" s="14">
        <v>42027</v>
      </c>
      <c r="C1310">
        <v>8874</v>
      </c>
      <c r="D1310" s="9"/>
    </row>
    <row r="1311" spans="1:4" x14ac:dyDescent="0.25">
      <c r="A1311" s="9" t="str">
        <f t="shared" si="28"/>
        <v>12015</v>
      </c>
      <c r="B1311" s="14">
        <v>42034</v>
      </c>
      <c r="C1311">
        <v>6333</v>
      </c>
      <c r="D1311" s="9"/>
    </row>
    <row r="1312" spans="1:4" x14ac:dyDescent="0.25">
      <c r="A1312" s="9" t="str">
        <f t="shared" si="28"/>
        <v>22015</v>
      </c>
      <c r="B1312" s="14">
        <v>42041</v>
      </c>
      <c r="C1312">
        <v>4868</v>
      </c>
      <c r="D1312" s="9"/>
    </row>
    <row r="1313" spans="1:4" x14ac:dyDescent="0.25">
      <c r="A1313" s="9" t="str">
        <f t="shared" si="28"/>
        <v>22015</v>
      </c>
      <c r="B1313" s="14">
        <v>42048</v>
      </c>
      <c r="C1313">
        <v>7716</v>
      </c>
      <c r="D1313" s="9"/>
    </row>
    <row r="1314" spans="1:4" x14ac:dyDescent="0.25">
      <c r="A1314" s="9" t="str">
        <f t="shared" si="28"/>
        <v>22015</v>
      </c>
      <c r="B1314" s="14">
        <v>42055</v>
      </c>
      <c r="C1314">
        <v>8427</v>
      </c>
      <c r="D1314" s="9"/>
    </row>
    <row r="1315" spans="1:4" x14ac:dyDescent="0.25">
      <c r="A1315" s="9" t="str">
        <f t="shared" si="28"/>
        <v>22015</v>
      </c>
      <c r="B1315" s="14">
        <v>42062</v>
      </c>
      <c r="C1315">
        <v>10303</v>
      </c>
      <c r="D1315" s="9"/>
    </row>
    <row r="1316" spans="1:4" x14ac:dyDescent="0.25">
      <c r="A1316" s="9" t="str">
        <f t="shared" si="28"/>
        <v>32015</v>
      </c>
      <c r="B1316" s="14">
        <v>42069</v>
      </c>
      <c r="C1316">
        <v>4512</v>
      </c>
      <c r="D1316" s="9"/>
    </row>
    <row r="1317" spans="1:4" x14ac:dyDescent="0.25">
      <c r="A1317" s="9" t="str">
        <f t="shared" si="28"/>
        <v>32015</v>
      </c>
      <c r="B1317" s="14">
        <v>42076</v>
      </c>
      <c r="C1317">
        <v>9622</v>
      </c>
      <c r="D1317" s="9"/>
    </row>
    <row r="1318" spans="1:4" x14ac:dyDescent="0.25">
      <c r="A1318" s="9" t="str">
        <f t="shared" si="28"/>
        <v>32015</v>
      </c>
      <c r="B1318" s="14">
        <v>42083</v>
      </c>
      <c r="C1318">
        <v>8170</v>
      </c>
      <c r="D1318" s="9"/>
    </row>
    <row r="1319" spans="1:4" x14ac:dyDescent="0.25">
      <c r="A1319" s="9" t="str">
        <f t="shared" si="28"/>
        <v>32015</v>
      </c>
      <c r="B1319" s="14">
        <v>42090</v>
      </c>
      <c r="C1319">
        <v>4766</v>
      </c>
      <c r="D1319" s="9"/>
    </row>
    <row r="1320" spans="1:4" x14ac:dyDescent="0.25">
      <c r="A1320" s="9" t="str">
        <f t="shared" si="28"/>
        <v>42015</v>
      </c>
      <c r="B1320" s="14">
        <v>42097</v>
      </c>
      <c r="C1320">
        <v>10949</v>
      </c>
      <c r="D1320" s="9"/>
    </row>
    <row r="1321" spans="1:4" x14ac:dyDescent="0.25">
      <c r="A1321" s="9" t="str">
        <f t="shared" si="28"/>
        <v>42015</v>
      </c>
      <c r="B1321" s="14">
        <v>42104</v>
      </c>
      <c r="C1321">
        <v>1294</v>
      </c>
      <c r="D1321" s="9"/>
    </row>
    <row r="1322" spans="1:4" x14ac:dyDescent="0.25">
      <c r="A1322" s="9" t="str">
        <f t="shared" si="28"/>
        <v>42015</v>
      </c>
      <c r="B1322" s="14">
        <v>42111</v>
      </c>
      <c r="C1322">
        <v>5315</v>
      </c>
      <c r="D1322" s="9"/>
    </row>
    <row r="1323" spans="1:4" x14ac:dyDescent="0.25">
      <c r="A1323" s="9" t="str">
        <f t="shared" si="28"/>
        <v>42015</v>
      </c>
      <c r="B1323" s="14">
        <v>42118</v>
      </c>
      <c r="C1323">
        <v>1910</v>
      </c>
      <c r="D1323" s="9"/>
    </row>
    <row r="1324" spans="1:4" x14ac:dyDescent="0.25">
      <c r="A1324" s="9" t="str">
        <f t="shared" si="28"/>
        <v>52015</v>
      </c>
      <c r="B1324" s="14">
        <v>42125</v>
      </c>
      <c r="C1324">
        <v>-3882</v>
      </c>
      <c r="D1324" s="9"/>
    </row>
    <row r="1325" spans="1:4" x14ac:dyDescent="0.25">
      <c r="A1325" s="9" t="str">
        <f t="shared" si="28"/>
        <v>52015</v>
      </c>
      <c r="B1325" s="14">
        <v>42132</v>
      </c>
      <c r="C1325">
        <v>-2191</v>
      </c>
      <c r="D1325" s="9"/>
    </row>
    <row r="1326" spans="1:4" x14ac:dyDescent="0.25">
      <c r="A1326" s="9" t="str">
        <f t="shared" si="28"/>
        <v>52015</v>
      </c>
      <c r="B1326" s="14">
        <v>42139</v>
      </c>
      <c r="C1326">
        <v>-2674</v>
      </c>
      <c r="D1326" s="9"/>
    </row>
    <row r="1327" spans="1:4" x14ac:dyDescent="0.25">
      <c r="A1327" s="9" t="str">
        <f t="shared" si="28"/>
        <v>52015</v>
      </c>
      <c r="B1327" s="14">
        <v>42146</v>
      </c>
      <c r="C1327">
        <v>-2802</v>
      </c>
      <c r="D1327" s="9"/>
    </row>
    <row r="1328" spans="1:4" x14ac:dyDescent="0.25">
      <c r="A1328" s="9" t="str">
        <f t="shared" si="28"/>
        <v>52015</v>
      </c>
      <c r="B1328" s="14">
        <v>42153</v>
      </c>
      <c r="C1328">
        <v>-1948</v>
      </c>
      <c r="D1328" s="9"/>
    </row>
    <row r="1329" spans="1:4" x14ac:dyDescent="0.25">
      <c r="A1329" s="9" t="str">
        <f t="shared" si="28"/>
        <v>62015</v>
      </c>
      <c r="B1329" s="14">
        <v>42160</v>
      </c>
      <c r="C1329">
        <v>-6812</v>
      </c>
      <c r="D1329" s="9"/>
    </row>
    <row r="1330" spans="1:4" x14ac:dyDescent="0.25">
      <c r="A1330" s="9" t="str">
        <f t="shared" si="28"/>
        <v>62015</v>
      </c>
      <c r="B1330" s="14">
        <v>42167</v>
      </c>
      <c r="C1330">
        <v>-2676</v>
      </c>
      <c r="D1330" s="9"/>
    </row>
    <row r="1331" spans="1:4" x14ac:dyDescent="0.25">
      <c r="A1331" s="9" t="str">
        <f t="shared" si="28"/>
        <v>62015</v>
      </c>
      <c r="B1331" s="14">
        <v>42174</v>
      </c>
      <c r="C1331">
        <v>-4934</v>
      </c>
      <c r="D1331" s="9"/>
    </row>
    <row r="1332" spans="1:4" x14ac:dyDescent="0.25">
      <c r="A1332" s="9" t="str">
        <f t="shared" si="28"/>
        <v>62015</v>
      </c>
      <c r="B1332" s="14">
        <v>42181</v>
      </c>
      <c r="C1332">
        <v>2386</v>
      </c>
      <c r="D1332" s="9"/>
    </row>
    <row r="1333" spans="1:4" x14ac:dyDescent="0.25">
      <c r="A1333" s="9" t="str">
        <f t="shared" si="28"/>
        <v>72015</v>
      </c>
      <c r="B1333" s="14">
        <v>42188</v>
      </c>
      <c r="C1333">
        <v>384</v>
      </c>
      <c r="D1333" s="9"/>
    </row>
    <row r="1334" spans="1:4" x14ac:dyDescent="0.25">
      <c r="A1334" s="9" t="str">
        <f t="shared" si="28"/>
        <v>72015</v>
      </c>
      <c r="B1334" s="14">
        <v>42195</v>
      </c>
      <c r="C1334">
        <v>-4346</v>
      </c>
      <c r="D1334" s="9"/>
    </row>
    <row r="1335" spans="1:4" x14ac:dyDescent="0.25">
      <c r="A1335" s="9" t="str">
        <f t="shared" si="28"/>
        <v>72015</v>
      </c>
      <c r="B1335" s="14">
        <v>42202</v>
      </c>
      <c r="C1335">
        <v>2468</v>
      </c>
      <c r="D1335" s="9"/>
    </row>
    <row r="1336" spans="1:4" x14ac:dyDescent="0.25">
      <c r="A1336" s="9" t="str">
        <f t="shared" si="28"/>
        <v>72015</v>
      </c>
      <c r="B1336" s="14">
        <v>42209</v>
      </c>
      <c r="C1336">
        <v>-4203</v>
      </c>
      <c r="D1336" s="9"/>
    </row>
    <row r="1337" spans="1:4" x14ac:dyDescent="0.25">
      <c r="A1337" s="9" t="str">
        <f t="shared" si="28"/>
        <v>72015</v>
      </c>
      <c r="B1337" s="14">
        <v>42216</v>
      </c>
      <c r="C1337">
        <v>-4407</v>
      </c>
      <c r="D1337" s="9"/>
    </row>
    <row r="1338" spans="1:4" x14ac:dyDescent="0.25">
      <c r="A1338" s="9" t="str">
        <f t="shared" si="28"/>
        <v>82015</v>
      </c>
      <c r="B1338" s="14">
        <v>42223</v>
      </c>
      <c r="C1338">
        <v>-1682</v>
      </c>
      <c r="D1338" s="9"/>
    </row>
    <row r="1339" spans="1:4" x14ac:dyDescent="0.25">
      <c r="A1339" s="9" t="str">
        <f t="shared" si="28"/>
        <v>82015</v>
      </c>
      <c r="B1339" s="14">
        <v>42230</v>
      </c>
      <c r="C1339">
        <v>2620</v>
      </c>
      <c r="D1339" s="9"/>
    </row>
    <row r="1340" spans="1:4" x14ac:dyDescent="0.25">
      <c r="A1340" s="9" t="str">
        <f t="shared" si="28"/>
        <v>82015</v>
      </c>
      <c r="B1340" s="14">
        <v>42237</v>
      </c>
      <c r="C1340">
        <v>-5452</v>
      </c>
      <c r="D1340" s="9"/>
    </row>
    <row r="1341" spans="1:4" x14ac:dyDescent="0.25">
      <c r="A1341" s="9" t="str">
        <f t="shared" si="28"/>
        <v>82015</v>
      </c>
      <c r="B1341" s="14">
        <v>42244</v>
      </c>
      <c r="C1341">
        <v>4667</v>
      </c>
      <c r="D1341" s="9"/>
    </row>
    <row r="1342" spans="1:4" x14ac:dyDescent="0.25">
      <c r="A1342" s="9" t="str">
        <f t="shared" si="28"/>
        <v>92015</v>
      </c>
      <c r="B1342" s="14">
        <v>42251</v>
      </c>
      <c r="C1342">
        <v>2570</v>
      </c>
      <c r="D1342" s="9"/>
    </row>
    <row r="1343" spans="1:4" x14ac:dyDescent="0.25">
      <c r="A1343" s="9" t="str">
        <f t="shared" si="28"/>
        <v>92015</v>
      </c>
      <c r="B1343" s="14">
        <v>42258</v>
      </c>
      <c r="C1343">
        <v>-2104</v>
      </c>
      <c r="D1343" s="9"/>
    </row>
    <row r="1344" spans="1:4" x14ac:dyDescent="0.25">
      <c r="A1344" s="9" t="str">
        <f t="shared" si="28"/>
        <v>92015</v>
      </c>
      <c r="B1344" s="14">
        <v>42265</v>
      </c>
      <c r="C1344">
        <v>-1925</v>
      </c>
      <c r="D1344" s="9"/>
    </row>
    <row r="1345" spans="1:4" x14ac:dyDescent="0.25">
      <c r="A1345" s="9" t="str">
        <f t="shared" si="28"/>
        <v>92015</v>
      </c>
      <c r="B1345" s="14">
        <v>42272</v>
      </c>
      <c r="C1345">
        <v>3955</v>
      </c>
      <c r="D1345" s="9"/>
    </row>
    <row r="1346" spans="1:4" x14ac:dyDescent="0.25">
      <c r="A1346" s="9" t="str">
        <f t="shared" si="28"/>
        <v>102015</v>
      </c>
      <c r="B1346" s="14">
        <v>42279</v>
      </c>
      <c r="C1346">
        <v>3073</v>
      </c>
      <c r="D1346" s="9"/>
    </row>
    <row r="1347" spans="1:4" x14ac:dyDescent="0.25">
      <c r="A1347" s="9" t="str">
        <f t="shared" si="28"/>
        <v>102015</v>
      </c>
      <c r="B1347" s="14">
        <v>42286</v>
      </c>
      <c r="C1347">
        <v>7562</v>
      </c>
      <c r="D1347" s="9"/>
    </row>
    <row r="1348" spans="1:4" x14ac:dyDescent="0.25">
      <c r="A1348" s="9" t="str">
        <f t="shared" ref="A1348:A1411" si="29">MONTH(B1348)&amp;YEAR(B1348)</f>
        <v>102015</v>
      </c>
      <c r="B1348" s="14">
        <v>42293</v>
      </c>
      <c r="C1348">
        <v>8028</v>
      </c>
      <c r="D1348" s="9"/>
    </row>
    <row r="1349" spans="1:4" x14ac:dyDescent="0.25">
      <c r="A1349" s="9" t="str">
        <f t="shared" si="29"/>
        <v>102015</v>
      </c>
      <c r="B1349" s="14">
        <v>42300</v>
      </c>
      <c r="C1349">
        <v>3376</v>
      </c>
      <c r="D1349" s="9"/>
    </row>
    <row r="1350" spans="1:4" x14ac:dyDescent="0.25">
      <c r="A1350" s="9" t="str">
        <f t="shared" si="29"/>
        <v>102015</v>
      </c>
      <c r="B1350" s="14">
        <v>42307</v>
      </c>
      <c r="C1350">
        <v>2847</v>
      </c>
      <c r="D1350" s="9"/>
    </row>
    <row r="1351" spans="1:4" x14ac:dyDescent="0.25">
      <c r="A1351" s="9" t="str">
        <f t="shared" si="29"/>
        <v>112015</v>
      </c>
      <c r="B1351" s="14">
        <v>42314</v>
      </c>
      <c r="C1351">
        <v>4224</v>
      </c>
      <c r="D1351" s="9"/>
    </row>
    <row r="1352" spans="1:4" x14ac:dyDescent="0.25">
      <c r="A1352" s="9" t="str">
        <f t="shared" si="29"/>
        <v>112015</v>
      </c>
      <c r="B1352" s="14">
        <v>42321</v>
      </c>
      <c r="C1352">
        <v>252</v>
      </c>
      <c r="D1352" s="9"/>
    </row>
    <row r="1353" spans="1:4" x14ac:dyDescent="0.25">
      <c r="A1353" s="9" t="str">
        <f t="shared" si="29"/>
        <v>112015</v>
      </c>
      <c r="B1353" s="14">
        <v>42328</v>
      </c>
      <c r="C1353">
        <v>961</v>
      </c>
      <c r="D1353" s="9"/>
    </row>
    <row r="1354" spans="1:4" x14ac:dyDescent="0.25">
      <c r="A1354" s="9" t="str">
        <f t="shared" si="29"/>
        <v>112015</v>
      </c>
      <c r="B1354" s="14">
        <v>42335</v>
      </c>
      <c r="C1354">
        <v>1177</v>
      </c>
      <c r="D1354" s="9"/>
    </row>
    <row r="1355" spans="1:4" x14ac:dyDescent="0.25">
      <c r="A1355" s="9" t="str">
        <f t="shared" si="29"/>
        <v>122015</v>
      </c>
      <c r="B1355" s="14">
        <v>42342</v>
      </c>
      <c r="C1355">
        <v>-3568</v>
      </c>
      <c r="D1355" s="9"/>
    </row>
    <row r="1356" spans="1:4" x14ac:dyDescent="0.25">
      <c r="A1356" s="9" t="str">
        <f t="shared" si="29"/>
        <v>122015</v>
      </c>
      <c r="B1356" s="14">
        <v>42349</v>
      </c>
      <c r="C1356">
        <v>4801</v>
      </c>
      <c r="D1356" s="9"/>
    </row>
    <row r="1357" spans="1:4" x14ac:dyDescent="0.25">
      <c r="A1357" s="9" t="str">
        <f t="shared" si="29"/>
        <v>122015</v>
      </c>
      <c r="B1357" s="14">
        <v>42356</v>
      </c>
      <c r="C1357">
        <v>-5877</v>
      </c>
      <c r="D1357" s="9"/>
    </row>
    <row r="1358" spans="1:4" x14ac:dyDescent="0.25">
      <c r="A1358" s="9" t="str">
        <f t="shared" si="29"/>
        <v>122015</v>
      </c>
      <c r="B1358" s="14">
        <v>42363</v>
      </c>
      <c r="C1358">
        <v>2629</v>
      </c>
      <c r="D1358" s="9"/>
    </row>
    <row r="1359" spans="1:4" x14ac:dyDescent="0.25">
      <c r="A1359" s="9" t="str">
        <f t="shared" si="29"/>
        <v>12016</v>
      </c>
      <c r="B1359" s="14">
        <v>42370</v>
      </c>
      <c r="C1359">
        <v>-5085</v>
      </c>
      <c r="D1359" s="9"/>
    </row>
    <row r="1360" spans="1:4" x14ac:dyDescent="0.25">
      <c r="A1360" s="9" t="str">
        <f t="shared" si="29"/>
        <v>12016</v>
      </c>
      <c r="B1360" s="14">
        <v>42377</v>
      </c>
      <c r="C1360">
        <v>234</v>
      </c>
      <c r="D1360" s="9"/>
    </row>
    <row r="1361" spans="1:4" x14ac:dyDescent="0.25">
      <c r="A1361" s="9" t="str">
        <f t="shared" si="29"/>
        <v>12016</v>
      </c>
      <c r="B1361" s="14">
        <v>42384</v>
      </c>
      <c r="C1361">
        <v>3979</v>
      </c>
      <c r="D1361" s="9"/>
    </row>
    <row r="1362" spans="1:4" x14ac:dyDescent="0.25">
      <c r="A1362" s="9" t="str">
        <f t="shared" si="29"/>
        <v>12016</v>
      </c>
      <c r="B1362" s="14">
        <v>42391</v>
      </c>
      <c r="C1362">
        <v>8383</v>
      </c>
      <c r="D1362" s="9"/>
    </row>
    <row r="1363" spans="1:4" x14ac:dyDescent="0.25">
      <c r="A1363" s="9" t="str">
        <f t="shared" si="29"/>
        <v>12016</v>
      </c>
      <c r="B1363" s="14">
        <v>42398</v>
      </c>
      <c r="C1363">
        <v>7792</v>
      </c>
      <c r="D1363" s="9"/>
    </row>
    <row r="1364" spans="1:4" x14ac:dyDescent="0.25">
      <c r="A1364" s="9" t="str">
        <f t="shared" si="29"/>
        <v>22016</v>
      </c>
      <c r="B1364" s="14">
        <v>42405</v>
      </c>
      <c r="C1364">
        <v>-754</v>
      </c>
      <c r="D1364" s="9"/>
    </row>
    <row r="1365" spans="1:4" x14ac:dyDescent="0.25">
      <c r="A1365" s="9" t="str">
        <f t="shared" si="29"/>
        <v>22016</v>
      </c>
      <c r="B1365" s="14">
        <v>42412</v>
      </c>
      <c r="C1365">
        <v>2147</v>
      </c>
      <c r="D1365" s="9"/>
    </row>
    <row r="1366" spans="1:4" x14ac:dyDescent="0.25">
      <c r="A1366" s="9" t="str">
        <f t="shared" si="29"/>
        <v>22016</v>
      </c>
      <c r="B1366" s="14">
        <v>42419</v>
      </c>
      <c r="C1366">
        <v>3502</v>
      </c>
      <c r="D1366" s="9"/>
    </row>
    <row r="1367" spans="1:4" x14ac:dyDescent="0.25">
      <c r="A1367" s="9" t="str">
        <f t="shared" si="29"/>
        <v>22016</v>
      </c>
      <c r="B1367" s="14">
        <v>42426</v>
      </c>
      <c r="C1367">
        <v>10374</v>
      </c>
      <c r="D1367" s="9"/>
    </row>
    <row r="1368" spans="1:4" x14ac:dyDescent="0.25">
      <c r="A1368" s="9" t="str">
        <f t="shared" si="29"/>
        <v>32016</v>
      </c>
      <c r="B1368" s="14">
        <v>42433</v>
      </c>
      <c r="C1368">
        <v>3880</v>
      </c>
      <c r="D1368" s="9"/>
    </row>
    <row r="1369" spans="1:4" x14ac:dyDescent="0.25">
      <c r="A1369" s="9" t="str">
        <f t="shared" si="29"/>
        <v>32016</v>
      </c>
      <c r="B1369" s="14">
        <v>42440</v>
      </c>
      <c r="C1369">
        <v>1317</v>
      </c>
      <c r="D1369" s="9"/>
    </row>
    <row r="1370" spans="1:4" x14ac:dyDescent="0.25">
      <c r="A1370" s="9" t="str">
        <f t="shared" si="29"/>
        <v>32016</v>
      </c>
      <c r="B1370" s="14">
        <v>42447</v>
      </c>
      <c r="C1370">
        <v>9357</v>
      </c>
      <c r="D1370" s="9"/>
    </row>
    <row r="1371" spans="1:4" x14ac:dyDescent="0.25">
      <c r="A1371" s="9" t="str">
        <f t="shared" si="29"/>
        <v>32016</v>
      </c>
      <c r="B1371" s="14">
        <v>42454</v>
      </c>
      <c r="C1371">
        <v>2299</v>
      </c>
      <c r="D1371" s="9"/>
    </row>
    <row r="1372" spans="1:4" x14ac:dyDescent="0.25">
      <c r="A1372" s="9" t="str">
        <f t="shared" si="29"/>
        <v>42016</v>
      </c>
      <c r="B1372" s="14">
        <v>42461</v>
      </c>
      <c r="C1372">
        <v>-4937</v>
      </c>
      <c r="D1372" s="9"/>
    </row>
    <row r="1373" spans="1:4" x14ac:dyDescent="0.25">
      <c r="A1373" s="9" t="str">
        <f t="shared" si="29"/>
        <v>42016</v>
      </c>
      <c r="B1373" s="14">
        <v>42468</v>
      </c>
      <c r="C1373">
        <v>6634</v>
      </c>
      <c r="D1373" s="9"/>
    </row>
    <row r="1374" spans="1:4" x14ac:dyDescent="0.25">
      <c r="A1374" s="9" t="str">
        <f t="shared" si="29"/>
        <v>42016</v>
      </c>
      <c r="B1374" s="14">
        <v>42475</v>
      </c>
      <c r="C1374">
        <v>2080</v>
      </c>
      <c r="D1374" s="9"/>
    </row>
    <row r="1375" spans="1:4" x14ac:dyDescent="0.25">
      <c r="A1375" s="9" t="str">
        <f t="shared" si="29"/>
        <v>42016</v>
      </c>
      <c r="B1375" s="14">
        <v>42482</v>
      </c>
      <c r="C1375">
        <v>1999</v>
      </c>
      <c r="D1375" s="9"/>
    </row>
    <row r="1376" spans="1:4" x14ac:dyDescent="0.25">
      <c r="A1376" s="9" t="str">
        <f t="shared" si="29"/>
        <v>42016</v>
      </c>
      <c r="B1376" s="14">
        <v>42489</v>
      </c>
      <c r="C1376">
        <v>2784</v>
      </c>
      <c r="D1376" s="9"/>
    </row>
    <row r="1377" spans="1:4" x14ac:dyDescent="0.25">
      <c r="A1377" s="9" t="str">
        <f t="shared" si="29"/>
        <v>52016</v>
      </c>
      <c r="B1377" s="14">
        <v>42496</v>
      </c>
      <c r="C1377">
        <v>-3410</v>
      </c>
      <c r="D1377" s="9"/>
    </row>
    <row r="1378" spans="1:4" x14ac:dyDescent="0.25">
      <c r="A1378" s="9" t="str">
        <f t="shared" si="29"/>
        <v>52016</v>
      </c>
      <c r="B1378" s="14">
        <v>42503</v>
      </c>
      <c r="C1378">
        <v>1310</v>
      </c>
      <c r="D1378" s="9"/>
    </row>
    <row r="1379" spans="1:4" x14ac:dyDescent="0.25">
      <c r="A1379" s="9" t="str">
        <f t="shared" si="29"/>
        <v>52016</v>
      </c>
      <c r="B1379" s="14">
        <v>42510</v>
      </c>
      <c r="C1379">
        <v>-4226</v>
      </c>
      <c r="D1379" s="9"/>
    </row>
    <row r="1380" spans="1:4" x14ac:dyDescent="0.25">
      <c r="A1380" s="9" t="str">
        <f t="shared" si="29"/>
        <v>52016</v>
      </c>
      <c r="B1380" s="14">
        <v>42517</v>
      </c>
      <c r="C1380">
        <v>-1366</v>
      </c>
      <c r="D1380" s="9"/>
    </row>
    <row r="1381" spans="1:4" x14ac:dyDescent="0.25">
      <c r="A1381" s="9" t="str">
        <f t="shared" si="29"/>
        <v>62016</v>
      </c>
      <c r="B1381" s="14">
        <v>42524</v>
      </c>
      <c r="C1381">
        <v>-3226</v>
      </c>
      <c r="D1381" s="9"/>
    </row>
    <row r="1382" spans="1:4" x14ac:dyDescent="0.25">
      <c r="A1382" s="9" t="str">
        <f t="shared" si="29"/>
        <v>62016</v>
      </c>
      <c r="B1382" s="14">
        <v>42531</v>
      </c>
      <c r="C1382">
        <v>-933</v>
      </c>
      <c r="D1382" s="9"/>
    </row>
    <row r="1383" spans="1:4" x14ac:dyDescent="0.25">
      <c r="A1383" s="9" t="str">
        <f t="shared" si="29"/>
        <v>62016</v>
      </c>
      <c r="B1383" s="14">
        <v>42538</v>
      </c>
      <c r="C1383">
        <v>-917</v>
      </c>
      <c r="D1383" s="9"/>
    </row>
    <row r="1384" spans="1:4" x14ac:dyDescent="0.25">
      <c r="A1384" s="9" t="str">
        <f t="shared" si="29"/>
        <v>62016</v>
      </c>
      <c r="B1384" s="14">
        <v>42545</v>
      </c>
      <c r="C1384">
        <v>-4053</v>
      </c>
      <c r="D1384" s="9"/>
    </row>
    <row r="1385" spans="1:4" x14ac:dyDescent="0.25">
      <c r="A1385" s="9" t="str">
        <f t="shared" si="29"/>
        <v>72016</v>
      </c>
      <c r="B1385" s="14">
        <v>42552</v>
      </c>
      <c r="C1385">
        <v>-2223</v>
      </c>
      <c r="D1385" s="9"/>
    </row>
    <row r="1386" spans="1:4" x14ac:dyDescent="0.25">
      <c r="A1386" s="9" t="str">
        <f t="shared" si="29"/>
        <v>72016</v>
      </c>
      <c r="B1386" s="14">
        <v>42559</v>
      </c>
      <c r="C1386">
        <v>-2546</v>
      </c>
      <c r="D1386" s="9"/>
    </row>
    <row r="1387" spans="1:4" x14ac:dyDescent="0.25">
      <c r="A1387" s="9" t="str">
        <f t="shared" si="29"/>
        <v>72016</v>
      </c>
      <c r="B1387" s="14">
        <v>42566</v>
      </c>
      <c r="C1387">
        <v>-2342</v>
      </c>
      <c r="D1387" s="9"/>
    </row>
    <row r="1388" spans="1:4" x14ac:dyDescent="0.25">
      <c r="A1388" s="9" t="str">
        <f t="shared" si="29"/>
        <v>72016</v>
      </c>
      <c r="B1388" s="14">
        <v>42573</v>
      </c>
      <c r="C1388">
        <v>1671</v>
      </c>
      <c r="D1388" s="9"/>
    </row>
    <row r="1389" spans="1:4" x14ac:dyDescent="0.25">
      <c r="A1389" s="9" t="str">
        <f t="shared" si="29"/>
        <v>72016</v>
      </c>
      <c r="B1389" s="14">
        <v>42580</v>
      </c>
      <c r="C1389">
        <v>1413</v>
      </c>
      <c r="D1389" s="9"/>
    </row>
    <row r="1390" spans="1:4" x14ac:dyDescent="0.25">
      <c r="A1390" s="9" t="str">
        <f t="shared" si="29"/>
        <v>82016</v>
      </c>
      <c r="B1390" s="14">
        <v>42587</v>
      </c>
      <c r="C1390">
        <v>1055</v>
      </c>
      <c r="D1390" s="9"/>
    </row>
    <row r="1391" spans="1:4" x14ac:dyDescent="0.25">
      <c r="A1391" s="9" t="str">
        <f t="shared" si="29"/>
        <v>82016</v>
      </c>
      <c r="B1391" s="14">
        <v>42594</v>
      </c>
      <c r="C1391">
        <v>-2508</v>
      </c>
      <c r="D1391" s="9"/>
    </row>
    <row r="1392" spans="1:4" x14ac:dyDescent="0.25">
      <c r="A1392" s="9" t="str">
        <f t="shared" si="29"/>
        <v>82016</v>
      </c>
      <c r="B1392" s="14">
        <v>42601</v>
      </c>
      <c r="C1392">
        <v>2501</v>
      </c>
      <c r="D1392" s="9"/>
    </row>
    <row r="1393" spans="1:4" x14ac:dyDescent="0.25">
      <c r="A1393" s="9" t="str">
        <f t="shared" si="29"/>
        <v>82016</v>
      </c>
      <c r="B1393" s="14">
        <v>42608</v>
      </c>
      <c r="C1393">
        <v>2276</v>
      </c>
      <c r="D1393" s="9"/>
    </row>
    <row r="1394" spans="1:4" x14ac:dyDescent="0.25">
      <c r="A1394" s="9" t="str">
        <f t="shared" si="29"/>
        <v>92016</v>
      </c>
      <c r="B1394" s="14">
        <v>42615</v>
      </c>
      <c r="C1394">
        <v>-14513</v>
      </c>
      <c r="D1394" s="9"/>
    </row>
    <row r="1395" spans="1:4" x14ac:dyDescent="0.25">
      <c r="A1395" s="9" t="str">
        <f t="shared" si="29"/>
        <v>92016</v>
      </c>
      <c r="B1395" s="14">
        <v>42622</v>
      </c>
      <c r="C1395">
        <v>-559</v>
      </c>
      <c r="D1395" s="9"/>
    </row>
    <row r="1396" spans="1:4" x14ac:dyDescent="0.25">
      <c r="A1396" s="9" t="str">
        <f t="shared" si="29"/>
        <v>92016</v>
      </c>
      <c r="B1396" s="14">
        <v>42629</v>
      </c>
      <c r="C1396">
        <v>-6200</v>
      </c>
      <c r="D1396" s="9"/>
    </row>
    <row r="1397" spans="1:4" x14ac:dyDescent="0.25">
      <c r="A1397" s="9" t="str">
        <f t="shared" si="29"/>
        <v>92016</v>
      </c>
      <c r="B1397" s="14">
        <v>42636</v>
      </c>
      <c r="C1397">
        <v>-1882</v>
      </c>
      <c r="D1397" s="9"/>
    </row>
    <row r="1398" spans="1:4" x14ac:dyDescent="0.25">
      <c r="A1398" s="9" t="str">
        <f t="shared" si="29"/>
        <v>92016</v>
      </c>
      <c r="B1398" s="14">
        <v>42643</v>
      </c>
      <c r="C1398">
        <v>-2976</v>
      </c>
      <c r="D1398" s="9"/>
    </row>
    <row r="1399" spans="1:4" x14ac:dyDescent="0.25">
      <c r="A1399" s="9" t="str">
        <f t="shared" si="29"/>
        <v>102016</v>
      </c>
      <c r="B1399" s="14">
        <v>42650</v>
      </c>
      <c r="C1399">
        <v>4850</v>
      </c>
      <c r="D1399" s="9"/>
    </row>
    <row r="1400" spans="1:4" x14ac:dyDescent="0.25">
      <c r="A1400" s="9" t="str">
        <f t="shared" si="29"/>
        <v>102016</v>
      </c>
      <c r="B1400" s="14">
        <v>42657</v>
      </c>
      <c r="C1400">
        <v>-5247</v>
      </c>
      <c r="D1400" s="9"/>
    </row>
    <row r="1401" spans="1:4" x14ac:dyDescent="0.25">
      <c r="A1401" s="9" t="str">
        <f t="shared" si="29"/>
        <v>102016</v>
      </c>
      <c r="B1401" s="14">
        <v>42664</v>
      </c>
      <c r="C1401">
        <v>-553</v>
      </c>
      <c r="D1401" s="9"/>
    </row>
    <row r="1402" spans="1:4" x14ac:dyDescent="0.25">
      <c r="A1402" s="9" t="str">
        <f t="shared" si="29"/>
        <v>102016</v>
      </c>
      <c r="B1402" s="14">
        <v>42671</v>
      </c>
      <c r="C1402">
        <v>14420</v>
      </c>
      <c r="D1402" s="9"/>
    </row>
    <row r="1403" spans="1:4" x14ac:dyDescent="0.25">
      <c r="A1403" s="9" t="str">
        <f t="shared" si="29"/>
        <v>112016</v>
      </c>
      <c r="B1403" s="14">
        <v>42678</v>
      </c>
      <c r="C1403">
        <v>2432</v>
      </c>
      <c r="D1403" s="9"/>
    </row>
    <row r="1404" spans="1:4" x14ac:dyDescent="0.25">
      <c r="A1404" s="9" t="str">
        <f t="shared" si="29"/>
        <v>112016</v>
      </c>
      <c r="B1404" s="14">
        <v>42685</v>
      </c>
      <c r="C1404">
        <v>5274</v>
      </c>
      <c r="D1404" s="9"/>
    </row>
    <row r="1405" spans="1:4" x14ac:dyDescent="0.25">
      <c r="A1405" s="9" t="str">
        <f t="shared" si="29"/>
        <v>112016</v>
      </c>
      <c r="B1405" s="14">
        <v>42692</v>
      </c>
      <c r="C1405">
        <v>-1255</v>
      </c>
      <c r="D1405" s="9"/>
    </row>
    <row r="1406" spans="1:4" x14ac:dyDescent="0.25">
      <c r="A1406" s="9" t="str">
        <f t="shared" si="29"/>
        <v>112016</v>
      </c>
      <c r="B1406" s="14">
        <v>42699</v>
      </c>
      <c r="C1406">
        <v>-884</v>
      </c>
      <c r="D1406" s="9"/>
    </row>
    <row r="1407" spans="1:4" x14ac:dyDescent="0.25">
      <c r="A1407" s="9" t="str">
        <f t="shared" si="29"/>
        <v>122016</v>
      </c>
      <c r="B1407" s="14">
        <v>42706</v>
      </c>
      <c r="C1407">
        <v>-2389</v>
      </c>
      <c r="D1407" s="9"/>
    </row>
    <row r="1408" spans="1:4" x14ac:dyDescent="0.25">
      <c r="A1408" s="9" t="str">
        <f t="shared" si="29"/>
        <v>122016</v>
      </c>
      <c r="B1408" s="14">
        <v>42713</v>
      </c>
      <c r="C1408">
        <v>-2563</v>
      </c>
      <c r="D1408" s="9"/>
    </row>
    <row r="1409" spans="1:4" x14ac:dyDescent="0.25">
      <c r="A1409" s="9" t="str">
        <f t="shared" si="29"/>
        <v>122016</v>
      </c>
      <c r="B1409" s="14">
        <v>42720</v>
      </c>
      <c r="C1409">
        <v>2256</v>
      </c>
      <c r="D1409" s="9"/>
    </row>
    <row r="1410" spans="1:4" x14ac:dyDescent="0.25">
      <c r="A1410" s="9" t="str">
        <f t="shared" si="29"/>
        <v>122016</v>
      </c>
      <c r="B1410" s="14">
        <v>42727</v>
      </c>
      <c r="C1410">
        <v>614</v>
      </c>
      <c r="D1410" s="9"/>
    </row>
    <row r="1411" spans="1:4" x14ac:dyDescent="0.25">
      <c r="A1411" s="9" t="str">
        <f t="shared" si="29"/>
        <v>122016</v>
      </c>
      <c r="B1411" s="14">
        <v>42734</v>
      </c>
      <c r="C1411">
        <v>-7051</v>
      </c>
      <c r="D1411" s="9"/>
    </row>
    <row r="1412" spans="1:4" x14ac:dyDescent="0.25">
      <c r="A1412" s="9" t="str">
        <f t="shared" ref="A1412:A1475" si="30">MONTH(B1412)&amp;YEAR(B1412)</f>
        <v>12017</v>
      </c>
      <c r="B1412" s="14">
        <v>42741</v>
      </c>
      <c r="C1412">
        <v>4097</v>
      </c>
      <c r="D1412" s="9"/>
    </row>
    <row r="1413" spans="1:4" x14ac:dyDescent="0.25">
      <c r="A1413" s="9" t="str">
        <f t="shared" si="30"/>
        <v>12017</v>
      </c>
      <c r="B1413" s="14">
        <v>42748</v>
      </c>
      <c r="C1413">
        <v>2347</v>
      </c>
      <c r="D1413" s="9"/>
    </row>
    <row r="1414" spans="1:4" x14ac:dyDescent="0.25">
      <c r="A1414" s="9" t="str">
        <f t="shared" si="30"/>
        <v>12017</v>
      </c>
      <c r="B1414" s="14">
        <v>42755</v>
      </c>
      <c r="C1414">
        <v>2840</v>
      </c>
      <c r="D1414" s="9"/>
    </row>
    <row r="1415" spans="1:4" x14ac:dyDescent="0.25">
      <c r="A1415" s="9" t="str">
        <f t="shared" si="30"/>
        <v>12017</v>
      </c>
      <c r="B1415" s="14">
        <v>42762</v>
      </c>
      <c r="C1415">
        <v>6466</v>
      </c>
      <c r="D1415" s="9"/>
    </row>
    <row r="1416" spans="1:4" x14ac:dyDescent="0.25">
      <c r="A1416" s="9" t="str">
        <f t="shared" si="30"/>
        <v>22017</v>
      </c>
      <c r="B1416" s="14">
        <v>42769</v>
      </c>
      <c r="C1416">
        <v>13830</v>
      </c>
      <c r="D1416" s="9"/>
    </row>
    <row r="1417" spans="1:4" x14ac:dyDescent="0.25">
      <c r="A1417" s="9" t="str">
        <f t="shared" si="30"/>
        <v>22017</v>
      </c>
      <c r="B1417" s="14">
        <v>42776</v>
      </c>
      <c r="C1417">
        <v>9527</v>
      </c>
      <c r="D1417" s="9"/>
    </row>
    <row r="1418" spans="1:4" x14ac:dyDescent="0.25">
      <c r="A1418" s="9" t="str">
        <f t="shared" si="30"/>
        <v>22017</v>
      </c>
      <c r="B1418" s="14">
        <v>42783</v>
      </c>
      <c r="C1418">
        <v>564</v>
      </c>
      <c r="D1418" s="9"/>
    </row>
    <row r="1419" spans="1:4" x14ac:dyDescent="0.25">
      <c r="A1419" s="9" t="str">
        <f t="shared" si="30"/>
        <v>22017</v>
      </c>
      <c r="B1419" s="14">
        <v>42790</v>
      </c>
      <c r="C1419">
        <v>1501</v>
      </c>
      <c r="D1419" s="9"/>
    </row>
    <row r="1420" spans="1:4" x14ac:dyDescent="0.25">
      <c r="A1420" s="9" t="str">
        <f t="shared" si="30"/>
        <v>32017</v>
      </c>
      <c r="B1420" s="14">
        <v>42797</v>
      </c>
      <c r="C1420">
        <v>8209</v>
      </c>
      <c r="D1420" s="9"/>
    </row>
    <row r="1421" spans="1:4" x14ac:dyDescent="0.25">
      <c r="A1421" s="9" t="str">
        <f t="shared" si="30"/>
        <v>32017</v>
      </c>
      <c r="B1421" s="14">
        <v>42804</v>
      </c>
      <c r="C1421">
        <v>-237</v>
      </c>
      <c r="D1421" s="9"/>
    </row>
    <row r="1422" spans="1:4" x14ac:dyDescent="0.25">
      <c r="A1422" s="9" t="str">
        <f t="shared" si="30"/>
        <v>32017</v>
      </c>
      <c r="B1422" s="14">
        <v>42811</v>
      </c>
      <c r="C1422">
        <v>4954</v>
      </c>
      <c r="D1422" s="9"/>
    </row>
    <row r="1423" spans="1:4" x14ac:dyDescent="0.25">
      <c r="A1423" s="9" t="str">
        <f t="shared" si="30"/>
        <v>32017</v>
      </c>
      <c r="B1423" s="14">
        <v>42818</v>
      </c>
      <c r="C1423">
        <v>867</v>
      </c>
      <c r="D1423" s="9"/>
    </row>
    <row r="1424" spans="1:4" x14ac:dyDescent="0.25">
      <c r="A1424" s="9" t="str">
        <f t="shared" si="30"/>
        <v>32017</v>
      </c>
      <c r="B1424" s="14">
        <v>42825</v>
      </c>
      <c r="C1424">
        <v>1566</v>
      </c>
      <c r="D1424" s="9"/>
    </row>
    <row r="1425" spans="1:4" x14ac:dyDescent="0.25">
      <c r="A1425" s="9" t="str">
        <f t="shared" si="30"/>
        <v>42017</v>
      </c>
      <c r="B1425" s="14">
        <v>42832</v>
      </c>
      <c r="C1425">
        <v>-2166</v>
      </c>
      <c r="D1425" s="9"/>
    </row>
    <row r="1426" spans="1:4" x14ac:dyDescent="0.25">
      <c r="A1426" s="9" t="str">
        <f t="shared" si="30"/>
        <v>42017</v>
      </c>
      <c r="B1426" s="14">
        <v>42839</v>
      </c>
      <c r="C1426">
        <v>-1034</v>
      </c>
      <c r="D1426" s="9"/>
    </row>
    <row r="1427" spans="1:4" x14ac:dyDescent="0.25">
      <c r="A1427" s="9" t="str">
        <f t="shared" si="30"/>
        <v>42017</v>
      </c>
      <c r="B1427" s="14">
        <v>42846</v>
      </c>
      <c r="C1427">
        <v>-3641</v>
      </c>
      <c r="D1427" s="9"/>
    </row>
    <row r="1428" spans="1:4" x14ac:dyDescent="0.25">
      <c r="A1428" s="9" t="str">
        <f t="shared" si="30"/>
        <v>42017</v>
      </c>
      <c r="B1428" s="14">
        <v>42853</v>
      </c>
      <c r="C1428">
        <v>-930</v>
      </c>
      <c r="D1428" s="9"/>
    </row>
    <row r="1429" spans="1:4" x14ac:dyDescent="0.25">
      <c r="A1429" s="9" t="str">
        <f t="shared" si="30"/>
        <v>52017</v>
      </c>
      <c r="B1429" s="14">
        <v>42860</v>
      </c>
      <c r="C1429">
        <v>-5247</v>
      </c>
      <c r="D1429" s="9"/>
    </row>
    <row r="1430" spans="1:4" x14ac:dyDescent="0.25">
      <c r="A1430" s="9" t="str">
        <f t="shared" si="30"/>
        <v>52017</v>
      </c>
      <c r="B1430" s="14">
        <v>42867</v>
      </c>
      <c r="C1430">
        <v>-1753</v>
      </c>
      <c r="D1430" s="9"/>
    </row>
    <row r="1431" spans="1:4" x14ac:dyDescent="0.25">
      <c r="A1431" s="9" t="str">
        <f t="shared" si="30"/>
        <v>52017</v>
      </c>
      <c r="B1431" s="14">
        <v>42874</v>
      </c>
      <c r="C1431">
        <v>-4432</v>
      </c>
      <c r="D1431" s="9"/>
    </row>
    <row r="1432" spans="1:4" x14ac:dyDescent="0.25">
      <c r="A1432" s="9" t="str">
        <f t="shared" si="30"/>
        <v>52017</v>
      </c>
      <c r="B1432" s="14">
        <v>42881</v>
      </c>
      <c r="C1432">
        <v>-6428</v>
      </c>
      <c r="D1432" s="9"/>
    </row>
    <row r="1433" spans="1:4" x14ac:dyDescent="0.25">
      <c r="A1433" s="9" t="str">
        <f t="shared" si="30"/>
        <v>62017</v>
      </c>
      <c r="B1433" s="14">
        <v>42888</v>
      </c>
      <c r="C1433">
        <v>3295</v>
      </c>
      <c r="D1433" s="9"/>
    </row>
    <row r="1434" spans="1:4" x14ac:dyDescent="0.25">
      <c r="A1434" s="9" t="str">
        <f t="shared" si="30"/>
        <v>62017</v>
      </c>
      <c r="B1434" s="14">
        <v>42895</v>
      </c>
      <c r="C1434">
        <v>-1661</v>
      </c>
      <c r="D1434" s="9"/>
    </row>
    <row r="1435" spans="1:4" x14ac:dyDescent="0.25">
      <c r="A1435" s="9" t="str">
        <f t="shared" si="30"/>
        <v>62017</v>
      </c>
      <c r="B1435" s="14">
        <v>42902</v>
      </c>
      <c r="C1435">
        <v>-2451</v>
      </c>
      <c r="D1435" s="9"/>
    </row>
    <row r="1436" spans="1:4" x14ac:dyDescent="0.25">
      <c r="A1436" s="9" t="str">
        <f t="shared" si="30"/>
        <v>62017</v>
      </c>
      <c r="B1436" s="14">
        <v>42909</v>
      </c>
      <c r="C1436">
        <v>118</v>
      </c>
      <c r="D1436" s="9"/>
    </row>
    <row r="1437" spans="1:4" x14ac:dyDescent="0.25">
      <c r="A1437" s="9" t="str">
        <f t="shared" si="30"/>
        <v>62017</v>
      </c>
      <c r="B1437" s="14">
        <v>42916</v>
      </c>
      <c r="C1437">
        <v>-6299</v>
      </c>
      <c r="D1437" s="9"/>
    </row>
    <row r="1438" spans="1:4" x14ac:dyDescent="0.25">
      <c r="A1438" s="9" t="str">
        <f t="shared" si="30"/>
        <v>72017</v>
      </c>
      <c r="B1438" s="14">
        <v>42923</v>
      </c>
      <c r="C1438">
        <v>-7564</v>
      </c>
      <c r="D1438" s="9"/>
    </row>
    <row r="1439" spans="1:4" x14ac:dyDescent="0.25">
      <c r="A1439" s="9" t="str">
        <f t="shared" si="30"/>
        <v>72017</v>
      </c>
      <c r="B1439" s="14">
        <v>42930</v>
      </c>
      <c r="C1439">
        <v>-4727</v>
      </c>
      <c r="D1439" s="9"/>
    </row>
    <row r="1440" spans="1:4" x14ac:dyDescent="0.25">
      <c r="A1440" s="9" t="str">
        <f t="shared" si="30"/>
        <v>72017</v>
      </c>
      <c r="B1440" s="14">
        <v>42937</v>
      </c>
      <c r="C1440">
        <v>-7208</v>
      </c>
      <c r="D1440" s="9"/>
    </row>
    <row r="1441" spans="1:4" x14ac:dyDescent="0.25">
      <c r="A1441" s="9" t="str">
        <f t="shared" si="30"/>
        <v>72017</v>
      </c>
      <c r="B1441" s="14">
        <v>42944</v>
      </c>
      <c r="C1441">
        <v>-1527</v>
      </c>
      <c r="D1441" s="9"/>
    </row>
    <row r="1442" spans="1:4" x14ac:dyDescent="0.25">
      <c r="A1442" s="9" t="str">
        <f t="shared" si="30"/>
        <v>82017</v>
      </c>
      <c r="B1442" s="14">
        <v>42951</v>
      </c>
      <c r="C1442">
        <v>-6451</v>
      </c>
      <c r="D1442" s="9"/>
    </row>
    <row r="1443" spans="1:4" x14ac:dyDescent="0.25">
      <c r="A1443" s="9" t="str">
        <f t="shared" si="30"/>
        <v>82017</v>
      </c>
      <c r="B1443" s="14">
        <v>42958</v>
      </c>
      <c r="C1443">
        <v>-8945</v>
      </c>
      <c r="D1443" s="9"/>
    </row>
    <row r="1444" spans="1:4" x14ac:dyDescent="0.25">
      <c r="A1444" s="9" t="str">
        <f t="shared" si="30"/>
        <v>82017</v>
      </c>
      <c r="B1444" s="14">
        <v>42965</v>
      </c>
      <c r="C1444">
        <v>-3327</v>
      </c>
      <c r="D1444" s="9"/>
    </row>
    <row r="1445" spans="1:4" x14ac:dyDescent="0.25">
      <c r="A1445" s="9" t="str">
        <f t="shared" si="30"/>
        <v>82017</v>
      </c>
      <c r="B1445" s="14">
        <v>42972</v>
      </c>
      <c r="C1445">
        <v>-5392</v>
      </c>
      <c r="D1445" s="9"/>
    </row>
    <row r="1446" spans="1:4" x14ac:dyDescent="0.25">
      <c r="A1446" s="9" t="str">
        <f t="shared" si="30"/>
        <v>92017</v>
      </c>
      <c r="B1446" s="14">
        <v>42979</v>
      </c>
      <c r="C1446">
        <v>4580</v>
      </c>
      <c r="D1446" s="9"/>
    </row>
    <row r="1447" spans="1:4" x14ac:dyDescent="0.25">
      <c r="A1447" s="9" t="str">
        <f t="shared" si="30"/>
        <v>92017</v>
      </c>
      <c r="B1447" s="14">
        <v>42986</v>
      </c>
      <c r="C1447">
        <v>5888</v>
      </c>
      <c r="D1447" s="9"/>
    </row>
    <row r="1448" spans="1:4" x14ac:dyDescent="0.25">
      <c r="A1448" s="9" t="str">
        <f t="shared" si="30"/>
        <v>92017</v>
      </c>
      <c r="B1448" s="14">
        <v>42993</v>
      </c>
      <c r="C1448">
        <v>4591</v>
      </c>
      <c r="D1448" s="9"/>
    </row>
    <row r="1449" spans="1:4" x14ac:dyDescent="0.25">
      <c r="A1449" s="9" t="str">
        <f t="shared" si="30"/>
        <v>92017</v>
      </c>
      <c r="B1449" s="14">
        <v>43000</v>
      </c>
      <c r="C1449">
        <v>-1846</v>
      </c>
      <c r="D1449" s="9"/>
    </row>
    <row r="1450" spans="1:4" x14ac:dyDescent="0.25">
      <c r="A1450" s="9" t="str">
        <f t="shared" si="30"/>
        <v>92017</v>
      </c>
      <c r="B1450" s="14">
        <v>43007</v>
      </c>
      <c r="C1450">
        <v>-6023</v>
      </c>
      <c r="D1450" s="9"/>
    </row>
    <row r="1451" spans="1:4" x14ac:dyDescent="0.25">
      <c r="A1451" s="9" t="str">
        <f t="shared" si="30"/>
        <v>102017</v>
      </c>
      <c r="B1451" s="14">
        <v>43014</v>
      </c>
      <c r="C1451">
        <v>-2747</v>
      </c>
      <c r="D1451" s="9"/>
    </row>
    <row r="1452" spans="1:4" x14ac:dyDescent="0.25">
      <c r="A1452" s="9" t="str">
        <f t="shared" si="30"/>
        <v>102017</v>
      </c>
      <c r="B1452" s="14">
        <v>43021</v>
      </c>
      <c r="C1452">
        <v>-5731</v>
      </c>
      <c r="D1452" s="9"/>
    </row>
    <row r="1453" spans="1:4" x14ac:dyDescent="0.25">
      <c r="A1453" s="9" t="str">
        <f t="shared" si="30"/>
        <v>102017</v>
      </c>
      <c r="B1453" s="14">
        <v>43028</v>
      </c>
      <c r="C1453">
        <v>856</v>
      </c>
      <c r="D1453" s="9"/>
    </row>
    <row r="1454" spans="1:4" x14ac:dyDescent="0.25">
      <c r="A1454" s="9" t="str">
        <f t="shared" si="30"/>
        <v>102017</v>
      </c>
      <c r="B1454" s="14">
        <v>43035</v>
      </c>
      <c r="C1454">
        <v>-2435</v>
      </c>
      <c r="D1454" s="9"/>
    </row>
    <row r="1455" spans="1:4" x14ac:dyDescent="0.25">
      <c r="A1455" s="9" t="str">
        <f t="shared" si="30"/>
        <v>112017</v>
      </c>
      <c r="B1455" s="14">
        <v>43042</v>
      </c>
      <c r="C1455">
        <v>2237</v>
      </c>
      <c r="D1455" s="9"/>
    </row>
    <row r="1456" spans="1:4" x14ac:dyDescent="0.25">
      <c r="A1456" s="9" t="str">
        <f t="shared" si="30"/>
        <v>112017</v>
      </c>
      <c r="B1456" s="14">
        <v>43049</v>
      </c>
      <c r="C1456">
        <v>1854</v>
      </c>
      <c r="D1456" s="9"/>
    </row>
    <row r="1457" spans="1:4" x14ac:dyDescent="0.25">
      <c r="A1457" s="9" t="str">
        <f t="shared" si="30"/>
        <v>112017</v>
      </c>
      <c r="B1457" s="14">
        <v>43056</v>
      </c>
      <c r="C1457">
        <v>-1855</v>
      </c>
      <c r="D1457" s="9"/>
    </row>
    <row r="1458" spans="1:4" x14ac:dyDescent="0.25">
      <c r="A1458" s="9" t="str">
        <f t="shared" si="30"/>
        <v>112017</v>
      </c>
      <c r="B1458" s="14">
        <v>43063</v>
      </c>
      <c r="C1458">
        <v>-3429</v>
      </c>
      <c r="D1458" s="9"/>
    </row>
    <row r="1459" spans="1:4" x14ac:dyDescent="0.25">
      <c r="A1459" s="9" t="str">
        <f t="shared" si="30"/>
        <v>122017</v>
      </c>
      <c r="B1459" s="14">
        <v>43070</v>
      </c>
      <c r="C1459">
        <v>-5610</v>
      </c>
      <c r="D1459" s="9"/>
    </row>
    <row r="1460" spans="1:4" x14ac:dyDescent="0.25">
      <c r="A1460" s="9" t="str">
        <f t="shared" si="30"/>
        <v>122017</v>
      </c>
      <c r="B1460" s="14">
        <v>43077</v>
      </c>
      <c r="C1460">
        <v>-5117</v>
      </c>
      <c r="D1460" s="9"/>
    </row>
    <row r="1461" spans="1:4" x14ac:dyDescent="0.25">
      <c r="A1461" s="9" t="str">
        <f t="shared" si="30"/>
        <v>122017</v>
      </c>
      <c r="B1461" s="14">
        <v>43084</v>
      </c>
      <c r="C1461">
        <v>-6495</v>
      </c>
      <c r="D1461" s="9"/>
    </row>
    <row r="1462" spans="1:4" x14ac:dyDescent="0.25">
      <c r="A1462" s="9" t="str">
        <f t="shared" si="30"/>
        <v>122017</v>
      </c>
      <c r="B1462" s="14">
        <v>43091</v>
      </c>
      <c r="C1462">
        <v>-4609</v>
      </c>
      <c r="D1462" s="9"/>
    </row>
    <row r="1463" spans="1:4" x14ac:dyDescent="0.25">
      <c r="A1463" s="9" t="str">
        <f t="shared" si="30"/>
        <v>122017</v>
      </c>
      <c r="B1463" s="14">
        <v>43098</v>
      </c>
      <c r="C1463">
        <v>-7419</v>
      </c>
      <c r="D1463" s="9"/>
    </row>
    <row r="1464" spans="1:4" x14ac:dyDescent="0.25">
      <c r="A1464" s="9" t="str">
        <f t="shared" si="30"/>
        <v>12018</v>
      </c>
      <c r="B1464" s="14">
        <v>43105</v>
      </c>
      <c r="C1464">
        <v>-4948</v>
      </c>
      <c r="D1464" s="9"/>
    </row>
    <row r="1465" spans="1:4" x14ac:dyDescent="0.25">
      <c r="A1465" s="9" t="str">
        <f t="shared" si="30"/>
        <v>12018</v>
      </c>
      <c r="B1465" s="14">
        <v>43112</v>
      </c>
      <c r="C1465">
        <v>-6861</v>
      </c>
      <c r="D1465" s="9"/>
    </row>
    <row r="1466" spans="1:4" x14ac:dyDescent="0.25">
      <c r="A1466" s="9" t="str">
        <f t="shared" si="30"/>
        <v>12018</v>
      </c>
      <c r="B1466" s="14">
        <v>43119</v>
      </c>
      <c r="C1466">
        <v>-1071</v>
      </c>
      <c r="D1466" s="9"/>
    </row>
    <row r="1467" spans="1:4" x14ac:dyDescent="0.25">
      <c r="A1467" s="9" t="str">
        <f t="shared" si="30"/>
        <v>12018</v>
      </c>
      <c r="B1467" s="14">
        <v>43126</v>
      </c>
      <c r="C1467">
        <v>6776</v>
      </c>
      <c r="D1467" s="9"/>
    </row>
    <row r="1468" spans="1:4" x14ac:dyDescent="0.25">
      <c r="A1468" s="9" t="str">
        <f t="shared" si="30"/>
        <v>22018</v>
      </c>
      <c r="B1468" s="14">
        <v>43133</v>
      </c>
      <c r="C1468">
        <v>1895</v>
      </c>
      <c r="D1468" s="9"/>
    </row>
    <row r="1469" spans="1:4" x14ac:dyDescent="0.25">
      <c r="A1469" s="9" t="str">
        <f t="shared" si="30"/>
        <v>22018</v>
      </c>
      <c r="B1469" s="14">
        <v>43140</v>
      </c>
      <c r="C1469">
        <v>1841</v>
      </c>
      <c r="D1469" s="9"/>
    </row>
    <row r="1470" spans="1:4" x14ac:dyDescent="0.25">
      <c r="A1470" s="9" t="str">
        <f t="shared" si="30"/>
        <v>22018</v>
      </c>
      <c r="B1470" s="14">
        <v>43147</v>
      </c>
      <c r="C1470">
        <v>-1616</v>
      </c>
      <c r="D1470" s="9"/>
    </row>
    <row r="1471" spans="1:4" x14ac:dyDescent="0.25">
      <c r="A1471" s="9" t="str">
        <f t="shared" si="30"/>
        <v>22018</v>
      </c>
      <c r="B1471" s="14">
        <v>43154</v>
      </c>
      <c r="C1471">
        <v>3019</v>
      </c>
      <c r="D1471" s="9"/>
    </row>
    <row r="1472" spans="1:4" x14ac:dyDescent="0.25">
      <c r="A1472" s="9" t="str">
        <f t="shared" si="30"/>
        <v>32018</v>
      </c>
      <c r="B1472" s="14">
        <v>43161</v>
      </c>
      <c r="C1472">
        <v>2408</v>
      </c>
      <c r="D1472" s="9"/>
    </row>
    <row r="1473" spans="1:4" x14ac:dyDescent="0.25">
      <c r="A1473" s="9" t="str">
        <f t="shared" si="30"/>
        <v>32018</v>
      </c>
      <c r="B1473" s="14">
        <v>43168</v>
      </c>
      <c r="C1473">
        <v>5022</v>
      </c>
      <c r="D1473" s="9"/>
    </row>
    <row r="1474" spans="1:4" x14ac:dyDescent="0.25">
      <c r="A1474" s="9" t="str">
        <f t="shared" si="30"/>
        <v>32018</v>
      </c>
      <c r="B1474" s="14">
        <v>43175</v>
      </c>
      <c r="C1474">
        <v>-2622</v>
      </c>
      <c r="D1474" s="9"/>
    </row>
    <row r="1475" spans="1:4" x14ac:dyDescent="0.25">
      <c r="A1475" s="9" t="str">
        <f t="shared" si="30"/>
        <v>32018</v>
      </c>
      <c r="B1475" s="14">
        <v>43182</v>
      </c>
      <c r="C1475">
        <v>1643</v>
      </c>
      <c r="D1475" s="9"/>
    </row>
    <row r="1476" spans="1:4" x14ac:dyDescent="0.25">
      <c r="A1476" s="9" t="str">
        <f t="shared" ref="A1476:A1539" si="31">MONTH(B1476)&amp;YEAR(B1476)</f>
        <v>32018</v>
      </c>
      <c r="B1476" s="14">
        <v>43189</v>
      </c>
      <c r="C1476">
        <v>-4617</v>
      </c>
      <c r="D1476" s="9"/>
    </row>
    <row r="1477" spans="1:4" x14ac:dyDescent="0.25">
      <c r="A1477" s="9" t="str">
        <f t="shared" si="31"/>
        <v>42018</v>
      </c>
      <c r="B1477" s="14">
        <v>43196</v>
      </c>
      <c r="C1477">
        <v>3306</v>
      </c>
      <c r="D1477" s="9"/>
    </row>
    <row r="1478" spans="1:4" x14ac:dyDescent="0.25">
      <c r="A1478" s="9" t="str">
        <f t="shared" si="31"/>
        <v>42018</v>
      </c>
      <c r="B1478" s="14">
        <v>43203</v>
      </c>
      <c r="C1478">
        <v>-1071</v>
      </c>
      <c r="D1478" s="9"/>
    </row>
    <row r="1479" spans="1:4" x14ac:dyDescent="0.25">
      <c r="A1479" s="9" t="str">
        <f t="shared" si="31"/>
        <v>42018</v>
      </c>
      <c r="B1479" s="14">
        <v>43210</v>
      </c>
      <c r="C1479">
        <v>2170</v>
      </c>
      <c r="D1479" s="9"/>
    </row>
    <row r="1480" spans="1:4" x14ac:dyDescent="0.25">
      <c r="A1480" s="9" t="str">
        <f t="shared" si="31"/>
        <v>42018</v>
      </c>
      <c r="B1480" s="14">
        <v>43217</v>
      </c>
      <c r="C1480">
        <v>6218</v>
      </c>
      <c r="D1480" s="9"/>
    </row>
    <row r="1481" spans="1:4" x14ac:dyDescent="0.25">
      <c r="A1481" s="9" t="str">
        <f t="shared" si="31"/>
        <v>52018</v>
      </c>
      <c r="B1481" s="14">
        <v>43224</v>
      </c>
      <c r="C1481">
        <v>-2197</v>
      </c>
      <c r="D1481" s="9"/>
    </row>
    <row r="1482" spans="1:4" x14ac:dyDescent="0.25">
      <c r="A1482" s="9" t="str">
        <f t="shared" si="31"/>
        <v>52018</v>
      </c>
      <c r="B1482" s="14">
        <v>43231</v>
      </c>
      <c r="C1482">
        <v>-1404</v>
      </c>
      <c r="D1482" s="9"/>
    </row>
    <row r="1483" spans="1:4" x14ac:dyDescent="0.25">
      <c r="A1483" s="9" t="str">
        <f t="shared" si="31"/>
        <v>52018</v>
      </c>
      <c r="B1483" s="14">
        <v>43238</v>
      </c>
      <c r="C1483">
        <v>5778</v>
      </c>
      <c r="D1483" s="9"/>
    </row>
    <row r="1484" spans="1:4" x14ac:dyDescent="0.25">
      <c r="A1484" s="9" t="str">
        <f t="shared" si="31"/>
        <v>52018</v>
      </c>
      <c r="B1484" s="14">
        <v>43245</v>
      </c>
      <c r="C1484">
        <v>-3620</v>
      </c>
      <c r="D1484" s="9"/>
    </row>
    <row r="1485" spans="1:4" x14ac:dyDescent="0.25">
      <c r="A1485" s="9" t="str">
        <f t="shared" si="31"/>
        <v>62018</v>
      </c>
      <c r="B1485" s="14">
        <v>43252</v>
      </c>
      <c r="C1485">
        <v>2072</v>
      </c>
      <c r="D1485" s="9"/>
    </row>
    <row r="1486" spans="1:4" x14ac:dyDescent="0.25">
      <c r="A1486" s="9" t="str">
        <f t="shared" si="31"/>
        <v>62018</v>
      </c>
      <c r="B1486" s="14">
        <v>43259</v>
      </c>
      <c r="C1486">
        <v>-4143</v>
      </c>
      <c r="D1486" s="9"/>
    </row>
    <row r="1487" spans="1:4" x14ac:dyDescent="0.25">
      <c r="A1487" s="9" t="str">
        <f t="shared" si="31"/>
        <v>62018</v>
      </c>
      <c r="B1487" s="14">
        <v>43266</v>
      </c>
      <c r="C1487">
        <v>-5914</v>
      </c>
      <c r="D1487" s="9"/>
    </row>
    <row r="1488" spans="1:4" x14ac:dyDescent="0.25">
      <c r="A1488" s="9" t="str">
        <f t="shared" si="31"/>
        <v>62018</v>
      </c>
      <c r="B1488" s="14">
        <v>43273</v>
      </c>
      <c r="C1488">
        <v>-9891</v>
      </c>
      <c r="D1488" s="9"/>
    </row>
    <row r="1489" spans="1:4" x14ac:dyDescent="0.25">
      <c r="A1489" s="9" t="str">
        <f t="shared" si="31"/>
        <v>62018</v>
      </c>
      <c r="B1489" s="14">
        <v>43280</v>
      </c>
      <c r="C1489">
        <v>1245</v>
      </c>
      <c r="D1489" s="9"/>
    </row>
    <row r="1490" spans="1:4" x14ac:dyDescent="0.25">
      <c r="A1490" s="9" t="str">
        <f t="shared" si="31"/>
        <v>72018</v>
      </c>
      <c r="B1490" s="14">
        <v>43287</v>
      </c>
      <c r="C1490">
        <v>-12633</v>
      </c>
      <c r="D1490" s="9"/>
    </row>
    <row r="1491" spans="1:4" x14ac:dyDescent="0.25">
      <c r="A1491" s="9" t="str">
        <f t="shared" si="31"/>
        <v>72018</v>
      </c>
      <c r="B1491" s="14">
        <v>43294</v>
      </c>
      <c r="C1491">
        <v>5836</v>
      </c>
      <c r="D1491" s="9"/>
    </row>
    <row r="1492" spans="1:4" x14ac:dyDescent="0.25">
      <c r="A1492" s="9" t="str">
        <f t="shared" si="31"/>
        <v>72018</v>
      </c>
      <c r="B1492" s="14">
        <v>43301</v>
      </c>
      <c r="C1492">
        <v>-6147</v>
      </c>
      <c r="D1492" s="9"/>
    </row>
    <row r="1493" spans="1:4" x14ac:dyDescent="0.25">
      <c r="A1493" s="9" t="str">
        <f t="shared" si="31"/>
        <v>72018</v>
      </c>
      <c r="B1493" s="14">
        <v>43308</v>
      </c>
      <c r="C1493">
        <v>3803</v>
      </c>
      <c r="D1493" s="9"/>
    </row>
    <row r="1494" spans="1:4" x14ac:dyDescent="0.25">
      <c r="A1494" s="9" t="str">
        <f t="shared" si="31"/>
        <v>82018</v>
      </c>
      <c r="B1494" s="14">
        <v>43315</v>
      </c>
      <c r="C1494">
        <v>-1351</v>
      </c>
      <c r="D1494" s="9"/>
    </row>
    <row r="1495" spans="1:4" x14ac:dyDescent="0.25">
      <c r="A1495" s="9" t="str">
        <f t="shared" si="31"/>
        <v>82018</v>
      </c>
      <c r="B1495" s="14">
        <v>43322</v>
      </c>
      <c r="C1495">
        <v>6805</v>
      </c>
      <c r="D1495" s="9"/>
    </row>
    <row r="1496" spans="1:4" x14ac:dyDescent="0.25">
      <c r="A1496" s="9" t="str">
        <f t="shared" si="31"/>
        <v>82018</v>
      </c>
      <c r="B1496" s="14">
        <v>43329</v>
      </c>
      <c r="C1496">
        <v>-5836</v>
      </c>
      <c r="D1496" s="9"/>
    </row>
    <row r="1497" spans="1:4" x14ac:dyDescent="0.25">
      <c r="A1497" s="9" t="str">
        <f t="shared" si="31"/>
        <v>82018</v>
      </c>
      <c r="B1497" s="14">
        <v>43336</v>
      </c>
      <c r="C1497">
        <v>-2566</v>
      </c>
      <c r="D1497" s="9"/>
    </row>
    <row r="1498" spans="1:4" x14ac:dyDescent="0.25">
      <c r="A1498" s="9" t="str">
        <f t="shared" si="31"/>
        <v>82018</v>
      </c>
      <c r="B1498" s="14">
        <v>43343</v>
      </c>
      <c r="C1498">
        <v>-4302</v>
      </c>
      <c r="D1498" s="9"/>
    </row>
    <row r="1499" spans="1:4" x14ac:dyDescent="0.25">
      <c r="A1499" s="9" t="str">
        <f t="shared" si="31"/>
        <v>92018</v>
      </c>
      <c r="B1499" s="14">
        <v>43350</v>
      </c>
      <c r="C1499">
        <v>-5296</v>
      </c>
      <c r="D1499" s="9"/>
    </row>
    <row r="1500" spans="1:4" x14ac:dyDescent="0.25">
      <c r="A1500" s="9" t="str">
        <f t="shared" si="31"/>
        <v>92018</v>
      </c>
      <c r="B1500" s="14">
        <v>43357</v>
      </c>
      <c r="C1500">
        <v>-2057</v>
      </c>
      <c r="D1500" s="9"/>
    </row>
    <row r="1501" spans="1:4" x14ac:dyDescent="0.25">
      <c r="A1501" s="9" t="str">
        <f t="shared" si="31"/>
        <v>92018</v>
      </c>
      <c r="B1501" s="14">
        <v>43364</v>
      </c>
      <c r="C1501">
        <v>1852</v>
      </c>
      <c r="D1501" s="9"/>
    </row>
    <row r="1502" spans="1:4" x14ac:dyDescent="0.25">
      <c r="A1502" s="9" t="str">
        <f t="shared" si="31"/>
        <v>92018</v>
      </c>
      <c r="B1502" s="14">
        <v>43371</v>
      </c>
      <c r="C1502">
        <v>7975</v>
      </c>
      <c r="D1502" s="9"/>
    </row>
    <row r="1503" spans="1:4" x14ac:dyDescent="0.25">
      <c r="A1503" s="9" t="str">
        <f t="shared" si="31"/>
        <v>102018</v>
      </c>
      <c r="B1503" s="14">
        <v>43378</v>
      </c>
      <c r="C1503">
        <v>5987</v>
      </c>
      <c r="D1503" s="9"/>
    </row>
    <row r="1504" spans="1:4" x14ac:dyDescent="0.25">
      <c r="A1504" s="9" t="str">
        <f t="shared" si="31"/>
        <v>102018</v>
      </c>
      <c r="B1504" s="14">
        <v>43385</v>
      </c>
      <c r="C1504">
        <v>6490</v>
      </c>
      <c r="D1504" s="9"/>
    </row>
    <row r="1505" spans="1:4" x14ac:dyDescent="0.25">
      <c r="A1505" s="9" t="str">
        <f t="shared" si="31"/>
        <v>102018</v>
      </c>
      <c r="B1505" s="14">
        <v>43392</v>
      </c>
      <c r="C1505">
        <v>6346</v>
      </c>
      <c r="D1505" s="9"/>
    </row>
    <row r="1506" spans="1:4" x14ac:dyDescent="0.25">
      <c r="A1506" s="9" t="str">
        <f t="shared" si="31"/>
        <v>102018</v>
      </c>
      <c r="B1506" s="14">
        <v>43399</v>
      </c>
      <c r="C1506">
        <v>3217</v>
      </c>
      <c r="D1506" s="9"/>
    </row>
    <row r="1507" spans="1:4" x14ac:dyDescent="0.25">
      <c r="A1507" s="9" t="str">
        <f t="shared" si="31"/>
        <v>112018</v>
      </c>
      <c r="B1507" s="14">
        <v>43406</v>
      </c>
      <c r="C1507">
        <v>5783</v>
      </c>
      <c r="D1507" s="9"/>
    </row>
    <row r="1508" spans="1:4" x14ac:dyDescent="0.25">
      <c r="A1508" s="9" t="str">
        <f t="shared" si="31"/>
        <v>112018</v>
      </c>
      <c r="B1508" s="14">
        <v>43413</v>
      </c>
      <c r="C1508">
        <v>10270</v>
      </c>
      <c r="D1508" s="9"/>
    </row>
    <row r="1509" spans="1:4" x14ac:dyDescent="0.25">
      <c r="A1509" s="9" t="str">
        <f t="shared" si="31"/>
        <v>112018</v>
      </c>
      <c r="B1509" s="14">
        <v>43420</v>
      </c>
      <c r="C1509">
        <v>4851</v>
      </c>
      <c r="D1509" s="9"/>
    </row>
    <row r="1510" spans="1:4" x14ac:dyDescent="0.25">
      <c r="A1510" s="9" t="str">
        <f t="shared" si="31"/>
        <v>112018</v>
      </c>
      <c r="B1510" s="14">
        <v>43427</v>
      </c>
      <c r="C1510">
        <v>3577</v>
      </c>
      <c r="D1510" s="9"/>
    </row>
    <row r="1511" spans="1:4" x14ac:dyDescent="0.25">
      <c r="A1511" s="9" t="str">
        <f t="shared" si="31"/>
        <v>112018</v>
      </c>
      <c r="B1511" s="14">
        <v>43434</v>
      </c>
      <c r="C1511">
        <v>-7323</v>
      </c>
      <c r="D1511" s="9"/>
    </row>
    <row r="1512" spans="1:4" x14ac:dyDescent="0.25">
      <c r="A1512" s="9" t="str">
        <f t="shared" si="31"/>
        <v>122018</v>
      </c>
      <c r="B1512" s="14">
        <v>43441</v>
      </c>
      <c r="C1512">
        <v>-1208</v>
      </c>
      <c r="D1512" s="9"/>
    </row>
    <row r="1513" spans="1:4" x14ac:dyDescent="0.25">
      <c r="A1513" s="9" t="str">
        <f t="shared" si="31"/>
        <v>122018</v>
      </c>
      <c r="B1513" s="14">
        <v>43448</v>
      </c>
      <c r="C1513">
        <v>-497</v>
      </c>
      <c r="D1513" s="9"/>
    </row>
    <row r="1514" spans="1:4" x14ac:dyDescent="0.25">
      <c r="A1514" s="9" t="str">
        <f t="shared" si="31"/>
        <v>122018</v>
      </c>
      <c r="B1514" s="14">
        <v>43455</v>
      </c>
      <c r="C1514">
        <v>-46</v>
      </c>
      <c r="D1514" s="9"/>
    </row>
    <row r="1515" spans="1:4" x14ac:dyDescent="0.25">
      <c r="A1515" s="9" t="str">
        <f t="shared" si="31"/>
        <v>122018</v>
      </c>
      <c r="B1515" s="14">
        <v>43462</v>
      </c>
      <c r="C1515">
        <v>7</v>
      </c>
      <c r="D1515" s="9"/>
    </row>
    <row r="1516" spans="1:4" x14ac:dyDescent="0.25">
      <c r="A1516" s="9" t="str">
        <f t="shared" si="31"/>
        <v>12019</v>
      </c>
      <c r="B1516" s="14">
        <v>43469</v>
      </c>
      <c r="C1516">
        <v>-1680</v>
      </c>
      <c r="D1516" s="9"/>
    </row>
    <row r="1517" spans="1:4" x14ac:dyDescent="0.25">
      <c r="A1517" s="9" t="str">
        <f t="shared" si="31"/>
        <v>12019</v>
      </c>
      <c r="B1517" s="14">
        <v>43476</v>
      </c>
      <c r="C1517">
        <v>-2683</v>
      </c>
      <c r="D1517" s="9"/>
    </row>
    <row r="1518" spans="1:4" x14ac:dyDescent="0.25">
      <c r="A1518" s="9" t="str">
        <f t="shared" si="31"/>
        <v>12019</v>
      </c>
      <c r="B1518" s="14">
        <v>43483</v>
      </c>
      <c r="C1518">
        <v>7970</v>
      </c>
      <c r="D1518" s="9"/>
    </row>
    <row r="1519" spans="1:4" x14ac:dyDescent="0.25">
      <c r="A1519" s="9" t="str">
        <f t="shared" si="31"/>
        <v>12019</v>
      </c>
      <c r="B1519" s="14">
        <v>43490</v>
      </c>
      <c r="C1519">
        <v>919</v>
      </c>
      <c r="D1519" s="9"/>
    </row>
    <row r="1520" spans="1:4" x14ac:dyDescent="0.25">
      <c r="A1520" s="9" t="str">
        <f t="shared" si="31"/>
        <v>22019</v>
      </c>
      <c r="B1520" s="14">
        <v>43497</v>
      </c>
      <c r="C1520">
        <v>1263</v>
      </c>
      <c r="D1520" s="9"/>
    </row>
    <row r="1521" spans="1:4" x14ac:dyDescent="0.25">
      <c r="A1521" s="9" t="str">
        <f t="shared" si="31"/>
        <v>22019</v>
      </c>
      <c r="B1521" s="14">
        <v>43504</v>
      </c>
      <c r="C1521">
        <v>3633</v>
      </c>
      <c r="D1521" s="9"/>
    </row>
    <row r="1522" spans="1:4" x14ac:dyDescent="0.25">
      <c r="A1522" s="9" t="str">
        <f t="shared" si="31"/>
        <v>22019</v>
      </c>
      <c r="B1522" s="14">
        <v>43511</v>
      </c>
      <c r="C1522">
        <v>3672</v>
      </c>
      <c r="D1522" s="9"/>
    </row>
    <row r="1523" spans="1:4" x14ac:dyDescent="0.25">
      <c r="A1523" s="9" t="str">
        <f t="shared" si="31"/>
        <v>22019</v>
      </c>
      <c r="B1523" s="14">
        <v>43518</v>
      </c>
      <c r="C1523">
        <v>-8647</v>
      </c>
      <c r="D1523" s="9"/>
    </row>
    <row r="1524" spans="1:4" x14ac:dyDescent="0.25">
      <c r="A1524" s="9" t="str">
        <f t="shared" si="31"/>
        <v>32019</v>
      </c>
      <c r="B1524" s="14">
        <v>43525</v>
      </c>
      <c r="C1524">
        <v>7069</v>
      </c>
      <c r="D1524" s="9"/>
    </row>
    <row r="1525" spans="1:4" x14ac:dyDescent="0.25">
      <c r="A1525" s="9" t="str">
        <f t="shared" si="31"/>
        <v>32019</v>
      </c>
      <c r="B1525" s="14">
        <v>43532</v>
      </c>
      <c r="C1525">
        <v>-3862</v>
      </c>
      <c r="D1525" s="9"/>
    </row>
    <row r="1526" spans="1:4" x14ac:dyDescent="0.25">
      <c r="A1526" s="9" t="str">
        <f t="shared" si="31"/>
        <v>32019</v>
      </c>
      <c r="B1526" s="14">
        <v>43539</v>
      </c>
      <c r="C1526">
        <v>-9589</v>
      </c>
      <c r="D1526" s="9"/>
    </row>
    <row r="1527" spans="1:4" x14ac:dyDescent="0.25">
      <c r="A1527" s="9" t="str">
        <f t="shared" si="31"/>
        <v>32019</v>
      </c>
      <c r="B1527" s="14">
        <v>43546</v>
      </c>
      <c r="C1527">
        <v>2800</v>
      </c>
      <c r="D1527" s="9"/>
    </row>
    <row r="1528" spans="1:4" x14ac:dyDescent="0.25">
      <c r="A1528" s="9" t="str">
        <f t="shared" si="31"/>
        <v>32019</v>
      </c>
      <c r="B1528" s="14">
        <v>43553</v>
      </c>
      <c r="C1528">
        <v>7238</v>
      </c>
      <c r="D1528" s="9"/>
    </row>
    <row r="1529" spans="1:4" x14ac:dyDescent="0.25">
      <c r="A1529" s="9" t="str">
        <f t="shared" si="31"/>
        <v>42019</v>
      </c>
      <c r="B1529" s="14">
        <v>43560</v>
      </c>
      <c r="C1529">
        <v>7029</v>
      </c>
      <c r="D1529" s="9"/>
    </row>
    <row r="1530" spans="1:4" x14ac:dyDescent="0.25">
      <c r="A1530" s="9" t="str">
        <f t="shared" si="31"/>
        <v>42019</v>
      </c>
      <c r="B1530" s="14">
        <v>43567</v>
      </c>
      <c r="C1530">
        <v>-1396</v>
      </c>
      <c r="D1530" s="9"/>
    </row>
    <row r="1531" spans="1:4" x14ac:dyDescent="0.25">
      <c r="A1531" s="9" t="str">
        <f t="shared" si="31"/>
        <v>42019</v>
      </c>
      <c r="B1531" s="14">
        <v>43574</v>
      </c>
      <c r="C1531">
        <v>5479</v>
      </c>
      <c r="D1531" s="9"/>
    </row>
    <row r="1532" spans="1:4" x14ac:dyDescent="0.25">
      <c r="A1532" s="9" t="str">
        <f t="shared" si="31"/>
        <v>42019</v>
      </c>
      <c r="B1532" s="14">
        <v>43581</v>
      </c>
      <c r="C1532">
        <v>9934</v>
      </c>
      <c r="D1532" s="9"/>
    </row>
    <row r="1533" spans="1:4" x14ac:dyDescent="0.25">
      <c r="A1533" s="9" t="str">
        <f t="shared" si="31"/>
        <v>52019</v>
      </c>
      <c r="B1533" s="14">
        <v>43588</v>
      </c>
      <c r="C1533">
        <v>-3963</v>
      </c>
      <c r="D1533" s="9"/>
    </row>
    <row r="1534" spans="1:4" x14ac:dyDescent="0.25">
      <c r="A1534" s="9" t="str">
        <f t="shared" si="31"/>
        <v>52019</v>
      </c>
      <c r="B1534" s="14">
        <v>43595</v>
      </c>
      <c r="C1534">
        <v>5431</v>
      </c>
      <c r="D1534" s="9"/>
    </row>
    <row r="1535" spans="1:4" x14ac:dyDescent="0.25">
      <c r="A1535" s="9" t="str">
        <f t="shared" si="31"/>
        <v>52019</v>
      </c>
      <c r="B1535" s="14">
        <v>43602</v>
      </c>
      <c r="C1535">
        <v>4740</v>
      </c>
      <c r="D1535" s="9"/>
    </row>
    <row r="1536" spans="1:4" x14ac:dyDescent="0.25">
      <c r="A1536" s="9" t="str">
        <f t="shared" si="31"/>
        <v>52019</v>
      </c>
      <c r="B1536" s="14">
        <v>43609</v>
      </c>
      <c r="C1536">
        <v>-282</v>
      </c>
      <c r="D1536" s="9"/>
    </row>
    <row r="1537" spans="1:4" x14ac:dyDescent="0.25">
      <c r="A1537" s="9" t="str">
        <f t="shared" si="31"/>
        <v>52019</v>
      </c>
      <c r="B1537" s="14">
        <v>43616</v>
      </c>
      <c r="C1537">
        <v>6771</v>
      </c>
      <c r="D1537" s="9"/>
    </row>
    <row r="1538" spans="1:4" x14ac:dyDescent="0.25">
      <c r="A1538" s="9" t="str">
        <f t="shared" si="31"/>
        <v>62019</v>
      </c>
      <c r="B1538" s="14">
        <v>43623</v>
      </c>
      <c r="C1538">
        <v>2206</v>
      </c>
      <c r="D1538" s="9"/>
    </row>
    <row r="1539" spans="1:4" x14ac:dyDescent="0.25">
      <c r="A1539" s="9" t="str">
        <f t="shared" si="31"/>
        <v>62019</v>
      </c>
      <c r="B1539" s="14">
        <v>43630</v>
      </c>
      <c r="C1539">
        <v>-3106</v>
      </c>
      <c r="D1539" s="9"/>
    </row>
    <row r="1540" spans="1:4" x14ac:dyDescent="0.25">
      <c r="A1540" s="9" t="str">
        <f t="shared" ref="A1540:A1603" si="32">MONTH(B1540)&amp;YEAR(B1540)</f>
        <v>62019</v>
      </c>
      <c r="B1540" s="14">
        <v>43637</v>
      </c>
      <c r="C1540">
        <v>-12788</v>
      </c>
      <c r="D1540" s="9"/>
    </row>
    <row r="1541" spans="1:4" x14ac:dyDescent="0.25">
      <c r="A1541" s="9" t="str">
        <f t="shared" si="32"/>
        <v>62019</v>
      </c>
      <c r="B1541" s="14">
        <v>43644</v>
      </c>
      <c r="C1541">
        <v>-1085</v>
      </c>
      <c r="D1541" s="9"/>
    </row>
    <row r="1542" spans="1:4" x14ac:dyDescent="0.25">
      <c r="A1542" s="9" t="str">
        <f t="shared" si="32"/>
        <v>72019</v>
      </c>
      <c r="B1542" s="14">
        <v>43651</v>
      </c>
      <c r="C1542">
        <v>-9499</v>
      </c>
      <c r="D1542" s="9"/>
    </row>
    <row r="1543" spans="1:4" x14ac:dyDescent="0.25">
      <c r="A1543" s="9" t="str">
        <f t="shared" si="32"/>
        <v>72019</v>
      </c>
      <c r="B1543" s="14">
        <v>43658</v>
      </c>
      <c r="C1543">
        <v>-3116</v>
      </c>
      <c r="D1543" s="9"/>
    </row>
    <row r="1544" spans="1:4" x14ac:dyDescent="0.25">
      <c r="A1544" s="9" t="str">
        <f t="shared" si="32"/>
        <v>72019</v>
      </c>
      <c r="B1544" s="14">
        <v>43665</v>
      </c>
      <c r="C1544">
        <v>-10835</v>
      </c>
      <c r="D1544" s="9"/>
    </row>
    <row r="1545" spans="1:4" x14ac:dyDescent="0.25">
      <c r="A1545" s="9" t="str">
        <f t="shared" si="32"/>
        <v>72019</v>
      </c>
      <c r="B1545" s="14">
        <v>43672</v>
      </c>
      <c r="C1545">
        <v>-8496</v>
      </c>
      <c r="D1545" s="9"/>
    </row>
    <row r="1546" spans="1:4" x14ac:dyDescent="0.25">
      <c r="A1546" s="9" t="str">
        <f t="shared" si="32"/>
        <v>82019</v>
      </c>
      <c r="B1546" s="14">
        <v>43679</v>
      </c>
      <c r="C1546">
        <v>2385</v>
      </c>
      <c r="D1546" s="9"/>
    </row>
    <row r="1547" spans="1:4" x14ac:dyDescent="0.25">
      <c r="A1547" s="9" t="str">
        <f t="shared" si="32"/>
        <v>82019</v>
      </c>
      <c r="B1547" s="14">
        <v>43686</v>
      </c>
      <c r="C1547">
        <v>1580</v>
      </c>
      <c r="D1547" s="9"/>
    </row>
    <row r="1548" spans="1:4" x14ac:dyDescent="0.25">
      <c r="A1548" s="9" t="str">
        <f t="shared" si="32"/>
        <v>82019</v>
      </c>
      <c r="B1548" s="14">
        <v>43693</v>
      </c>
      <c r="C1548">
        <v>-2732</v>
      </c>
      <c r="D1548" s="9"/>
    </row>
    <row r="1549" spans="1:4" x14ac:dyDescent="0.25">
      <c r="A1549" s="9" t="str">
        <f t="shared" si="32"/>
        <v>82019</v>
      </c>
      <c r="B1549" s="14">
        <v>43700</v>
      </c>
      <c r="C1549">
        <v>-10027</v>
      </c>
      <c r="D1549" s="9"/>
    </row>
    <row r="1550" spans="1:4" x14ac:dyDescent="0.25">
      <c r="A1550" s="9" t="str">
        <f t="shared" si="32"/>
        <v>82019</v>
      </c>
      <c r="B1550" s="14">
        <v>43707</v>
      </c>
      <c r="C1550">
        <v>-4771</v>
      </c>
      <c r="D1550" s="9"/>
    </row>
    <row r="1551" spans="1:4" x14ac:dyDescent="0.25">
      <c r="A1551" s="9" t="str">
        <f t="shared" si="32"/>
        <v>92019</v>
      </c>
      <c r="B1551" s="14">
        <v>43714</v>
      </c>
      <c r="C1551">
        <v>-6912</v>
      </c>
      <c r="D1551" s="9"/>
    </row>
    <row r="1552" spans="1:4" x14ac:dyDescent="0.25">
      <c r="A1552" s="9" t="str">
        <f t="shared" si="32"/>
        <v>92019</v>
      </c>
      <c r="B1552" s="14">
        <v>43721</v>
      </c>
      <c r="C1552">
        <v>1058</v>
      </c>
      <c r="D1552" s="9"/>
    </row>
    <row r="1553" spans="1:4" x14ac:dyDescent="0.25">
      <c r="A1553" s="9" t="str">
        <f t="shared" si="32"/>
        <v>92019</v>
      </c>
      <c r="B1553" s="14">
        <v>43728</v>
      </c>
      <c r="C1553">
        <v>2412</v>
      </c>
      <c r="D1553" s="9"/>
    </row>
    <row r="1554" spans="1:4" x14ac:dyDescent="0.25">
      <c r="A1554" s="9" t="str">
        <f t="shared" si="32"/>
        <v>92019</v>
      </c>
      <c r="B1554" s="14">
        <v>43735</v>
      </c>
      <c r="C1554">
        <v>3104</v>
      </c>
      <c r="D1554" s="9"/>
    </row>
    <row r="1555" spans="1:4" x14ac:dyDescent="0.25">
      <c r="A1555" s="9" t="str">
        <f t="shared" si="32"/>
        <v>102019</v>
      </c>
      <c r="B1555" s="14">
        <v>43742</v>
      </c>
      <c r="C1555">
        <v>2927</v>
      </c>
      <c r="D1555" s="9"/>
    </row>
    <row r="1556" spans="1:4" x14ac:dyDescent="0.25">
      <c r="A1556" s="9" t="str">
        <f t="shared" si="32"/>
        <v>102019</v>
      </c>
      <c r="B1556" s="14">
        <v>43749</v>
      </c>
      <c r="C1556">
        <v>9281</v>
      </c>
      <c r="D1556" s="9"/>
    </row>
    <row r="1557" spans="1:4" x14ac:dyDescent="0.25">
      <c r="A1557" s="9" t="str">
        <f t="shared" si="32"/>
        <v>102019</v>
      </c>
      <c r="B1557" s="14">
        <v>43756</v>
      </c>
      <c r="C1557">
        <v>-1699</v>
      </c>
      <c r="D1557" s="9"/>
    </row>
    <row r="1558" spans="1:4" x14ac:dyDescent="0.25">
      <c r="A1558" s="9" t="str">
        <f t="shared" si="32"/>
        <v>102019</v>
      </c>
      <c r="B1558" s="14">
        <v>43763</v>
      </c>
      <c r="C1558">
        <v>5702</v>
      </c>
      <c r="D1558" s="9"/>
    </row>
    <row r="1559" spans="1:4" x14ac:dyDescent="0.25">
      <c r="A1559" s="9" t="str">
        <f t="shared" si="32"/>
        <v>112019</v>
      </c>
      <c r="B1559" s="14">
        <v>43770</v>
      </c>
      <c r="C1559">
        <v>7929</v>
      </c>
      <c r="D1559" s="9"/>
    </row>
    <row r="1560" spans="1:4" x14ac:dyDescent="0.25">
      <c r="A1560" s="9" t="str">
        <f t="shared" si="32"/>
        <v>112019</v>
      </c>
      <c r="B1560" s="14">
        <v>43777</v>
      </c>
      <c r="C1560">
        <v>2219</v>
      </c>
      <c r="D1560" s="9"/>
    </row>
    <row r="1561" spans="1:4" x14ac:dyDescent="0.25">
      <c r="A1561" s="9" t="str">
        <f t="shared" si="32"/>
        <v>112019</v>
      </c>
      <c r="B1561" s="14">
        <v>43784</v>
      </c>
      <c r="C1561">
        <v>1379</v>
      </c>
      <c r="D1561" s="9"/>
    </row>
    <row r="1562" spans="1:4" x14ac:dyDescent="0.25">
      <c r="A1562" s="9" t="str">
        <f t="shared" si="32"/>
        <v>112019</v>
      </c>
      <c r="B1562" s="14">
        <v>43791</v>
      </c>
      <c r="C1562">
        <v>1572</v>
      </c>
      <c r="D1562" s="9"/>
    </row>
    <row r="1563" spans="1:4" x14ac:dyDescent="0.25">
      <c r="A1563" s="9" t="str">
        <f t="shared" si="32"/>
        <v>112019</v>
      </c>
      <c r="B1563" s="14">
        <v>43798</v>
      </c>
      <c r="C1563">
        <v>-4856</v>
      </c>
      <c r="D1563" s="9"/>
    </row>
    <row r="1564" spans="1:4" x14ac:dyDescent="0.25">
      <c r="A1564" s="9" t="str">
        <f t="shared" si="32"/>
        <v>122019</v>
      </c>
      <c r="B1564" s="14">
        <v>43805</v>
      </c>
      <c r="C1564">
        <v>822</v>
      </c>
      <c r="D1564" s="9"/>
    </row>
    <row r="1565" spans="1:4" x14ac:dyDescent="0.25">
      <c r="A1565" s="9" t="str">
        <f t="shared" si="32"/>
        <v>122019</v>
      </c>
      <c r="B1565" s="14">
        <v>43812</v>
      </c>
      <c r="C1565">
        <v>-1085</v>
      </c>
      <c r="D1565" s="9"/>
    </row>
    <row r="1566" spans="1:4" x14ac:dyDescent="0.25">
      <c r="A1566" s="9" t="str">
        <f t="shared" si="32"/>
        <v>122019</v>
      </c>
      <c r="B1566" s="14">
        <v>43819</v>
      </c>
      <c r="C1566">
        <v>-5474</v>
      </c>
      <c r="D1566" s="9"/>
    </row>
    <row r="1567" spans="1:4" x14ac:dyDescent="0.25">
      <c r="A1567" s="9" t="str">
        <f t="shared" si="32"/>
        <v>122019</v>
      </c>
      <c r="B1567" s="14">
        <v>43826</v>
      </c>
      <c r="C1567">
        <v>-11463</v>
      </c>
      <c r="D1567" s="9"/>
    </row>
    <row r="1568" spans="1:4" x14ac:dyDescent="0.25">
      <c r="A1568" s="9" t="str">
        <f t="shared" si="32"/>
        <v>12020</v>
      </c>
      <c r="B1568" s="14">
        <v>43833</v>
      </c>
      <c r="C1568">
        <v>1164</v>
      </c>
      <c r="D1568" s="9"/>
    </row>
    <row r="1569" spans="1:4" x14ac:dyDescent="0.25">
      <c r="A1569" s="9" t="str">
        <f t="shared" si="32"/>
        <v>12020</v>
      </c>
      <c r="B1569" s="14">
        <v>43840</v>
      </c>
      <c r="C1569">
        <v>-2549</v>
      </c>
      <c r="D1569" s="9"/>
    </row>
    <row r="1570" spans="1:4" x14ac:dyDescent="0.25">
      <c r="A1570" s="9" t="str">
        <f t="shared" si="32"/>
        <v>12020</v>
      </c>
      <c r="B1570" s="14">
        <v>43847</v>
      </c>
      <c r="C1570">
        <v>-405</v>
      </c>
      <c r="D1570" s="9"/>
    </row>
    <row r="1571" spans="1:4" x14ac:dyDescent="0.25">
      <c r="A1571" s="9" t="str">
        <f t="shared" si="32"/>
        <v>12020</v>
      </c>
      <c r="B1571" s="14">
        <v>43854</v>
      </c>
      <c r="C1571">
        <v>3548</v>
      </c>
      <c r="D1571" s="9"/>
    </row>
    <row r="1572" spans="1:4" x14ac:dyDescent="0.25">
      <c r="A1572" s="9" t="str">
        <f t="shared" si="32"/>
        <v>12020</v>
      </c>
      <c r="B1572" s="14">
        <v>43861</v>
      </c>
      <c r="C1572">
        <v>3355</v>
      </c>
      <c r="D1572" s="9"/>
    </row>
    <row r="1573" spans="1:4" x14ac:dyDescent="0.25">
      <c r="A1573" s="9" t="str">
        <f t="shared" si="32"/>
        <v>22020</v>
      </c>
      <c r="B1573" s="14">
        <v>43868</v>
      </c>
      <c r="C1573">
        <v>7459</v>
      </c>
      <c r="D1573" s="9"/>
    </row>
    <row r="1574" spans="1:4" x14ac:dyDescent="0.25">
      <c r="A1574" s="9" t="str">
        <f t="shared" si="32"/>
        <v>22020</v>
      </c>
      <c r="B1574" s="14">
        <v>43875</v>
      </c>
      <c r="C1574">
        <v>415</v>
      </c>
      <c r="D1574" s="9"/>
    </row>
    <row r="1575" spans="1:4" x14ac:dyDescent="0.25">
      <c r="A1575" s="9" t="str">
        <f t="shared" si="32"/>
        <v>22020</v>
      </c>
      <c r="B1575" s="14">
        <v>43882</v>
      </c>
      <c r="C1575">
        <v>452</v>
      </c>
      <c r="D1575" s="9"/>
    </row>
    <row r="1576" spans="1:4" x14ac:dyDescent="0.25">
      <c r="A1576" s="9" t="str">
        <f t="shared" si="32"/>
        <v>22020</v>
      </c>
      <c r="B1576" s="14">
        <v>43889</v>
      </c>
      <c r="C1576">
        <v>784</v>
      </c>
      <c r="D1576" s="9"/>
    </row>
    <row r="1577" spans="1:4" x14ac:dyDescent="0.25">
      <c r="A1577" s="9" t="str">
        <f t="shared" si="32"/>
        <v>32020</v>
      </c>
      <c r="B1577" s="14">
        <v>43896</v>
      </c>
      <c r="C1577">
        <v>7664</v>
      </c>
      <c r="D1577" s="9"/>
    </row>
    <row r="1578" spans="1:4" x14ac:dyDescent="0.25">
      <c r="A1578" s="9" t="str">
        <f t="shared" si="32"/>
        <v>32020</v>
      </c>
      <c r="B1578" s="14">
        <v>43903</v>
      </c>
      <c r="C1578">
        <v>1954</v>
      </c>
      <c r="D1578" s="9"/>
    </row>
    <row r="1579" spans="1:4" x14ac:dyDescent="0.25">
      <c r="A1579" s="9" t="str">
        <f t="shared" si="32"/>
        <v>32020</v>
      </c>
      <c r="B1579" s="14">
        <v>43910</v>
      </c>
      <c r="C1579">
        <v>1623</v>
      </c>
      <c r="D1579" s="9"/>
    </row>
    <row r="1580" spans="1:4" x14ac:dyDescent="0.25">
      <c r="A1580" s="9" t="str">
        <f t="shared" si="32"/>
        <v>32020</v>
      </c>
      <c r="B1580" s="14">
        <v>43917</v>
      </c>
      <c r="C1580">
        <v>13833</v>
      </c>
      <c r="D1580" s="9"/>
    </row>
    <row r="1581" spans="1:4" x14ac:dyDescent="0.25">
      <c r="A1581" s="9" t="str">
        <f t="shared" si="32"/>
        <v>42020</v>
      </c>
      <c r="B1581" s="14">
        <v>43924</v>
      </c>
      <c r="C1581">
        <v>15177</v>
      </c>
      <c r="D1581" s="9"/>
    </row>
    <row r="1582" spans="1:4" x14ac:dyDescent="0.25">
      <c r="A1582" s="9" t="str">
        <f t="shared" si="32"/>
        <v>42020</v>
      </c>
      <c r="B1582" s="14">
        <v>43931</v>
      </c>
      <c r="C1582">
        <v>19248</v>
      </c>
      <c r="D1582" s="9"/>
    </row>
    <row r="1583" spans="1:4" x14ac:dyDescent="0.25">
      <c r="A1583" s="9" t="str">
        <f t="shared" si="32"/>
        <v>42020</v>
      </c>
      <c r="B1583" s="14">
        <v>43938</v>
      </c>
      <c r="C1583">
        <v>15022</v>
      </c>
      <c r="D1583" s="9"/>
    </row>
    <row r="1584" spans="1:4" x14ac:dyDescent="0.25">
      <c r="A1584" s="9" t="str">
        <f t="shared" si="32"/>
        <v>42020</v>
      </c>
      <c r="B1584" s="14">
        <v>43945</v>
      </c>
      <c r="C1584">
        <v>8991</v>
      </c>
      <c r="D1584" s="9"/>
    </row>
    <row r="1585" spans="1:4" x14ac:dyDescent="0.25">
      <c r="A1585" s="9" t="str">
        <f t="shared" si="32"/>
        <v>52020</v>
      </c>
      <c r="B1585" s="14">
        <v>43952</v>
      </c>
      <c r="C1585">
        <v>4590</v>
      </c>
      <c r="D1585" s="9"/>
    </row>
    <row r="1586" spans="1:4" x14ac:dyDescent="0.25">
      <c r="A1586" s="9" t="str">
        <f t="shared" si="32"/>
        <v>52020</v>
      </c>
      <c r="B1586" s="14">
        <v>43959</v>
      </c>
      <c r="C1586">
        <v>-745</v>
      </c>
      <c r="D1586" s="9"/>
    </row>
    <row r="1587" spans="1:4" x14ac:dyDescent="0.25">
      <c r="A1587" s="9" t="str">
        <f t="shared" si="32"/>
        <v>52020</v>
      </c>
      <c r="B1587" s="14">
        <v>43966</v>
      </c>
      <c r="C1587">
        <v>-4982</v>
      </c>
      <c r="D1587" s="9"/>
    </row>
    <row r="1588" spans="1:4" x14ac:dyDescent="0.25">
      <c r="A1588" s="9" t="str">
        <f t="shared" si="32"/>
        <v>52020</v>
      </c>
      <c r="B1588" s="14">
        <v>43973</v>
      </c>
      <c r="C1588">
        <v>7928</v>
      </c>
      <c r="D1588" s="9"/>
    </row>
    <row r="1589" spans="1:4" x14ac:dyDescent="0.25">
      <c r="A1589" s="9" t="str">
        <f t="shared" si="32"/>
        <v>52020</v>
      </c>
      <c r="B1589" s="14">
        <v>43980</v>
      </c>
      <c r="C1589">
        <v>-2077</v>
      </c>
      <c r="D1589" s="9"/>
    </row>
    <row r="1590" spans="1:4" x14ac:dyDescent="0.25">
      <c r="A1590" s="9" t="str">
        <f t="shared" si="32"/>
        <v>62020</v>
      </c>
      <c r="B1590" s="14">
        <v>43987</v>
      </c>
      <c r="C1590">
        <v>5720</v>
      </c>
      <c r="D1590" s="9"/>
    </row>
    <row r="1591" spans="1:4" x14ac:dyDescent="0.25">
      <c r="A1591" s="9" t="str">
        <f t="shared" si="32"/>
        <v>62020</v>
      </c>
      <c r="B1591" s="14">
        <v>43994</v>
      </c>
      <c r="C1591">
        <v>1215</v>
      </c>
      <c r="D1591" s="9"/>
    </row>
    <row r="1592" spans="1:4" x14ac:dyDescent="0.25">
      <c r="A1592" s="9" t="str">
        <f t="shared" si="32"/>
        <v>62020</v>
      </c>
      <c r="B1592" s="14">
        <v>44001</v>
      </c>
      <c r="C1592">
        <v>1442</v>
      </c>
      <c r="D1592" s="9"/>
    </row>
    <row r="1593" spans="1:4" x14ac:dyDescent="0.25">
      <c r="A1593" s="9" t="str">
        <f t="shared" si="32"/>
        <v>62020</v>
      </c>
      <c r="B1593" s="14">
        <v>44008</v>
      </c>
      <c r="C1593">
        <v>-7195</v>
      </c>
      <c r="D1593" s="9"/>
    </row>
    <row r="1594" spans="1:4" x14ac:dyDescent="0.25">
      <c r="A1594" s="9" t="str">
        <f t="shared" si="32"/>
        <v>72020</v>
      </c>
      <c r="B1594" s="14">
        <v>44015</v>
      </c>
      <c r="C1594">
        <v>5654</v>
      </c>
      <c r="D1594" s="9"/>
    </row>
    <row r="1595" spans="1:4" x14ac:dyDescent="0.25">
      <c r="A1595" s="9" t="str">
        <f t="shared" si="32"/>
        <v>72020</v>
      </c>
      <c r="B1595" s="14">
        <v>44022</v>
      </c>
      <c r="C1595">
        <v>-7493</v>
      </c>
      <c r="D1595" s="9"/>
    </row>
    <row r="1596" spans="1:4" x14ac:dyDescent="0.25">
      <c r="A1596" s="9" t="str">
        <f t="shared" si="32"/>
        <v>72020</v>
      </c>
      <c r="B1596" s="14">
        <v>44029</v>
      </c>
      <c r="C1596">
        <v>4892</v>
      </c>
      <c r="D1596" s="9"/>
    </row>
    <row r="1597" spans="1:4" x14ac:dyDescent="0.25">
      <c r="A1597" s="9" t="str">
        <f t="shared" si="32"/>
        <v>72020</v>
      </c>
      <c r="B1597" s="14">
        <v>44036</v>
      </c>
      <c r="C1597">
        <v>-10611</v>
      </c>
      <c r="D1597" s="9"/>
    </row>
    <row r="1598" spans="1:4" x14ac:dyDescent="0.25">
      <c r="A1598" s="9" t="str">
        <f t="shared" si="32"/>
        <v>72020</v>
      </c>
      <c r="B1598" s="14">
        <v>44043</v>
      </c>
      <c r="C1598">
        <v>-7373</v>
      </c>
      <c r="D1598" s="9"/>
    </row>
    <row r="1599" spans="1:4" x14ac:dyDescent="0.25">
      <c r="A1599" s="9" t="str">
        <f t="shared" si="32"/>
        <v>82020</v>
      </c>
      <c r="B1599" s="14">
        <v>44050</v>
      </c>
      <c r="C1599">
        <v>-4512</v>
      </c>
      <c r="D1599" s="9"/>
    </row>
    <row r="1600" spans="1:4" x14ac:dyDescent="0.25">
      <c r="A1600" s="9" t="str">
        <f t="shared" si="32"/>
        <v>82020</v>
      </c>
      <c r="B1600" s="14">
        <v>44057</v>
      </c>
      <c r="C1600">
        <v>-1632</v>
      </c>
      <c r="D1600" s="9"/>
    </row>
    <row r="1601" spans="1:4" x14ac:dyDescent="0.25">
      <c r="A1601" s="9" t="str">
        <f t="shared" si="32"/>
        <v>82020</v>
      </c>
      <c r="B1601" s="14">
        <v>44064</v>
      </c>
      <c r="C1601">
        <v>-4689</v>
      </c>
      <c r="D1601" s="9"/>
    </row>
    <row r="1602" spans="1:4" x14ac:dyDescent="0.25">
      <c r="A1602" s="9" t="str">
        <f t="shared" si="32"/>
        <v>82020</v>
      </c>
      <c r="B1602" s="14">
        <v>44071</v>
      </c>
      <c r="C1602">
        <v>-9362</v>
      </c>
      <c r="D1602" s="9"/>
    </row>
    <row r="1603" spans="1:4" x14ac:dyDescent="0.25">
      <c r="A1603" s="9" t="str">
        <f t="shared" si="32"/>
        <v>92020</v>
      </c>
      <c r="B1603" s="14">
        <v>44078</v>
      </c>
      <c r="C1603">
        <v>2033</v>
      </c>
      <c r="D1603" s="9"/>
    </row>
    <row r="1604" spans="1:4" x14ac:dyDescent="0.25">
      <c r="A1604" s="9" t="str">
        <f t="shared" ref="A1604:A1667" si="33">MONTH(B1604)&amp;YEAR(B1604)</f>
        <v>92020</v>
      </c>
      <c r="B1604" s="14">
        <v>44085</v>
      </c>
      <c r="C1604">
        <v>-4389</v>
      </c>
      <c r="D1604" s="9"/>
    </row>
    <row r="1605" spans="1:4" x14ac:dyDescent="0.25">
      <c r="A1605" s="9" t="str">
        <f t="shared" si="33"/>
        <v>92020</v>
      </c>
      <c r="B1605" s="14">
        <v>44092</v>
      </c>
      <c r="C1605">
        <v>-1639</v>
      </c>
      <c r="D1605" s="9"/>
    </row>
    <row r="1606" spans="1:4" x14ac:dyDescent="0.25">
      <c r="A1606" s="9" t="str">
        <f t="shared" si="33"/>
        <v>92020</v>
      </c>
      <c r="B1606" s="14">
        <v>44099</v>
      </c>
      <c r="C1606">
        <v>-1980</v>
      </c>
      <c r="D1606" s="9"/>
    </row>
    <row r="1607" spans="1:4" x14ac:dyDescent="0.25">
      <c r="A1607" s="9" t="str">
        <f t="shared" si="33"/>
        <v>102020</v>
      </c>
      <c r="B1607" s="14">
        <v>44106</v>
      </c>
      <c r="C1607">
        <v>501</v>
      </c>
      <c r="D1607" s="9"/>
    </row>
    <row r="1608" spans="1:4" x14ac:dyDescent="0.25">
      <c r="A1608" s="9" t="str">
        <f t="shared" si="33"/>
        <v>102020</v>
      </c>
      <c r="B1608" s="14">
        <v>44113</v>
      </c>
      <c r="C1608">
        <v>-3818</v>
      </c>
      <c r="D1608" s="9"/>
    </row>
    <row r="1609" spans="1:4" x14ac:dyDescent="0.25">
      <c r="A1609" s="9" t="str">
        <f t="shared" si="33"/>
        <v>102020</v>
      </c>
      <c r="B1609" s="14">
        <v>44120</v>
      </c>
      <c r="C1609">
        <v>-1002</v>
      </c>
      <c r="D1609" s="9"/>
    </row>
    <row r="1610" spans="1:4" x14ac:dyDescent="0.25">
      <c r="A1610" s="9" t="str">
        <f t="shared" si="33"/>
        <v>102020</v>
      </c>
      <c r="B1610" s="14">
        <v>44127</v>
      </c>
      <c r="C1610">
        <v>4320</v>
      </c>
      <c r="D1610" s="9"/>
    </row>
    <row r="1611" spans="1:4" x14ac:dyDescent="0.25">
      <c r="A1611" s="9" t="str">
        <f t="shared" si="33"/>
        <v>102020</v>
      </c>
      <c r="B1611" s="14">
        <v>44134</v>
      </c>
      <c r="C1611">
        <v>-7998</v>
      </c>
      <c r="D1611" s="9"/>
    </row>
    <row r="1612" spans="1:4" x14ac:dyDescent="0.25">
      <c r="A1612" s="9" t="str">
        <f t="shared" si="33"/>
        <v>112020</v>
      </c>
      <c r="B1612" s="14">
        <v>44141</v>
      </c>
      <c r="C1612">
        <v>4277</v>
      </c>
      <c r="D1612" s="9"/>
    </row>
    <row r="1613" spans="1:4" x14ac:dyDescent="0.25">
      <c r="A1613" s="9" t="str">
        <f t="shared" si="33"/>
        <v>112020</v>
      </c>
      <c r="B1613" s="14">
        <v>44148</v>
      </c>
      <c r="C1613">
        <v>769</v>
      </c>
      <c r="D1613" s="9"/>
    </row>
    <row r="1614" spans="1:4" x14ac:dyDescent="0.25">
      <c r="A1614" s="9" t="str">
        <f t="shared" si="33"/>
        <v>112020</v>
      </c>
      <c r="B1614" s="14">
        <v>44155</v>
      </c>
      <c r="C1614">
        <v>-754</v>
      </c>
      <c r="D1614" s="9"/>
    </row>
    <row r="1615" spans="1:4" x14ac:dyDescent="0.25">
      <c r="A1615" s="9" t="str">
        <f t="shared" si="33"/>
        <v>112020</v>
      </c>
      <c r="B1615" s="14">
        <v>44162</v>
      </c>
      <c r="C1615">
        <v>-679</v>
      </c>
      <c r="D1615" s="9"/>
    </row>
    <row r="1616" spans="1:4" x14ac:dyDescent="0.25">
      <c r="A1616" s="9" t="str">
        <f t="shared" si="33"/>
        <v>122020</v>
      </c>
      <c r="B1616" s="14">
        <v>44169</v>
      </c>
      <c r="C1616">
        <v>15189</v>
      </c>
      <c r="D1616" s="9"/>
    </row>
    <row r="1617" spans="1:4" x14ac:dyDescent="0.25">
      <c r="A1617" s="9" t="str">
        <f t="shared" si="33"/>
        <v>122020</v>
      </c>
      <c r="B1617" s="14">
        <v>44176</v>
      </c>
      <c r="C1617">
        <v>-3135</v>
      </c>
      <c r="D1617" s="9"/>
    </row>
    <row r="1618" spans="1:4" x14ac:dyDescent="0.25">
      <c r="A1618" s="9" t="str">
        <f t="shared" si="33"/>
        <v>122020</v>
      </c>
      <c r="B1618" s="14">
        <v>44183</v>
      </c>
      <c r="C1618">
        <v>-562</v>
      </c>
      <c r="D1618" s="9"/>
    </row>
    <row r="1619" spans="1:4" x14ac:dyDescent="0.25">
      <c r="A1619" s="9" t="str">
        <f t="shared" si="33"/>
        <v>122020</v>
      </c>
      <c r="B1619" s="14">
        <v>44190</v>
      </c>
      <c r="C1619">
        <v>-6065</v>
      </c>
      <c r="D1619" s="9"/>
    </row>
    <row r="1620" spans="1:4" x14ac:dyDescent="0.25">
      <c r="A1620" s="9" t="str">
        <f t="shared" si="33"/>
        <v>12021</v>
      </c>
      <c r="B1620" s="14">
        <v>44197</v>
      </c>
      <c r="C1620">
        <v>-8010</v>
      </c>
      <c r="D1620" s="9"/>
    </row>
    <row r="1621" spans="1:4" x14ac:dyDescent="0.25">
      <c r="A1621" s="9" t="str">
        <f t="shared" si="33"/>
        <v>12021</v>
      </c>
      <c r="B1621" s="14">
        <v>44204</v>
      </c>
      <c r="C1621">
        <v>-3248</v>
      </c>
      <c r="D1621" s="9"/>
    </row>
    <row r="1622" spans="1:4" x14ac:dyDescent="0.25">
      <c r="A1622" s="9" t="str">
        <f t="shared" si="33"/>
        <v>12021</v>
      </c>
      <c r="B1622" s="14">
        <v>44211</v>
      </c>
      <c r="C1622">
        <v>4352</v>
      </c>
      <c r="D1622" s="9"/>
    </row>
    <row r="1623" spans="1:4" x14ac:dyDescent="0.25">
      <c r="A1623" s="9" t="str">
        <f t="shared" si="33"/>
        <v>12021</v>
      </c>
      <c r="B1623" s="14">
        <v>44218</v>
      </c>
      <c r="C1623">
        <v>-9910</v>
      </c>
      <c r="D1623" s="9"/>
    </row>
    <row r="1624" spans="1:4" x14ac:dyDescent="0.25">
      <c r="A1624" s="9" t="str">
        <f t="shared" si="33"/>
        <v>12021</v>
      </c>
      <c r="B1624" s="14">
        <v>44225</v>
      </c>
      <c r="C1624">
        <v>-994</v>
      </c>
      <c r="D1624" s="9"/>
    </row>
    <row r="1625" spans="1:4" x14ac:dyDescent="0.25">
      <c r="A1625" s="9" t="str">
        <f t="shared" si="33"/>
        <v>22021</v>
      </c>
      <c r="B1625" s="14">
        <v>44232</v>
      </c>
      <c r="C1625">
        <v>-6645</v>
      </c>
      <c r="D1625" s="9"/>
    </row>
    <row r="1626" spans="1:4" x14ac:dyDescent="0.25">
      <c r="A1626" s="9" t="str">
        <f t="shared" si="33"/>
        <v>22021</v>
      </c>
      <c r="B1626" s="14">
        <v>44239</v>
      </c>
      <c r="C1626">
        <v>-7257</v>
      </c>
      <c r="D1626" s="9"/>
    </row>
    <row r="1627" spans="1:4" x14ac:dyDescent="0.25">
      <c r="A1627" s="9" t="str">
        <f t="shared" si="33"/>
        <v>22021</v>
      </c>
      <c r="B1627" s="14">
        <v>44246</v>
      </c>
      <c r="C1627">
        <v>1285</v>
      </c>
      <c r="D1627" s="9"/>
    </row>
    <row r="1628" spans="1:4" x14ac:dyDescent="0.25">
      <c r="A1628" s="9" t="str">
        <f t="shared" si="33"/>
        <v>22021</v>
      </c>
      <c r="B1628" s="14">
        <v>44253</v>
      </c>
      <c r="C1628">
        <v>21563</v>
      </c>
      <c r="D1628" s="9"/>
    </row>
    <row r="1629" spans="1:4" x14ac:dyDescent="0.25">
      <c r="A1629" s="9" t="str">
        <f t="shared" si="33"/>
        <v>32021</v>
      </c>
      <c r="B1629" s="14">
        <v>44260</v>
      </c>
      <c r="C1629">
        <v>13798</v>
      </c>
      <c r="D1629" s="9"/>
    </row>
    <row r="1630" spans="1:4" x14ac:dyDescent="0.25">
      <c r="A1630" s="9" t="str">
        <f t="shared" si="33"/>
        <v>32021</v>
      </c>
      <c r="B1630" s="14">
        <v>44267</v>
      </c>
      <c r="C1630">
        <v>2396</v>
      </c>
      <c r="D1630" s="9"/>
    </row>
    <row r="1631" spans="1:4" x14ac:dyDescent="0.25">
      <c r="A1631" s="9" t="str">
        <f t="shared" si="33"/>
        <v>32021</v>
      </c>
      <c r="B1631" s="14">
        <v>44274</v>
      </c>
      <c r="C1631">
        <v>1912</v>
      </c>
      <c r="D1631" s="9"/>
    </row>
    <row r="1632" spans="1:4" x14ac:dyDescent="0.25">
      <c r="A1632" s="9" t="str">
        <f t="shared" si="33"/>
        <v>32021</v>
      </c>
      <c r="B1632" s="14">
        <v>44281</v>
      </c>
      <c r="C1632">
        <v>-876</v>
      </c>
      <c r="D1632" s="9"/>
    </row>
    <row r="1633" spans="1:4" x14ac:dyDescent="0.25">
      <c r="A1633" s="9" t="str">
        <f t="shared" si="33"/>
        <v>42021</v>
      </c>
      <c r="B1633" s="14">
        <v>44288</v>
      </c>
      <c r="C1633">
        <v>-3522</v>
      </c>
      <c r="D1633" s="9"/>
    </row>
    <row r="1634" spans="1:4" x14ac:dyDescent="0.25">
      <c r="A1634" s="9" t="str">
        <f t="shared" si="33"/>
        <v>42021</v>
      </c>
      <c r="B1634" s="14">
        <v>44295</v>
      </c>
      <c r="C1634">
        <v>-5890</v>
      </c>
      <c r="D1634" s="9"/>
    </row>
    <row r="1635" spans="1:4" x14ac:dyDescent="0.25">
      <c r="A1635" s="9" t="str">
        <f t="shared" si="33"/>
        <v>42021</v>
      </c>
      <c r="B1635" s="14">
        <v>44302</v>
      </c>
      <c r="C1635">
        <v>594</v>
      </c>
      <c r="D1635" s="9"/>
    </row>
    <row r="1636" spans="1:4" x14ac:dyDescent="0.25">
      <c r="A1636" s="9" t="str">
        <f t="shared" si="33"/>
        <v>42021</v>
      </c>
      <c r="B1636" s="14">
        <v>44309</v>
      </c>
      <c r="C1636">
        <v>90</v>
      </c>
      <c r="D1636" s="9"/>
    </row>
    <row r="1637" spans="1:4" x14ac:dyDescent="0.25">
      <c r="A1637" s="9" t="str">
        <f t="shared" si="33"/>
        <v>42021</v>
      </c>
      <c r="B1637" s="14">
        <v>44316</v>
      </c>
      <c r="C1637">
        <v>-7990</v>
      </c>
      <c r="D1637" s="9"/>
    </row>
    <row r="1638" spans="1:4" x14ac:dyDescent="0.25">
      <c r="A1638" s="9" t="str">
        <f t="shared" si="33"/>
        <v>52021</v>
      </c>
      <c r="B1638" s="14">
        <v>44323</v>
      </c>
      <c r="C1638">
        <v>-426</v>
      </c>
      <c r="D1638" s="9"/>
    </row>
    <row r="1639" spans="1:4" x14ac:dyDescent="0.25">
      <c r="A1639" s="9" t="str">
        <f t="shared" si="33"/>
        <v>52021</v>
      </c>
      <c r="B1639" s="14">
        <v>44330</v>
      </c>
      <c r="C1639">
        <v>1320</v>
      </c>
      <c r="D1639" s="9"/>
    </row>
    <row r="1640" spans="1:4" x14ac:dyDescent="0.25">
      <c r="A1640" s="9" t="str">
        <f t="shared" si="33"/>
        <v>52021</v>
      </c>
      <c r="B1640" s="14">
        <v>44337</v>
      </c>
      <c r="C1640">
        <v>-1662</v>
      </c>
      <c r="D1640" s="9"/>
    </row>
    <row r="1641" spans="1:4" x14ac:dyDescent="0.25">
      <c r="A1641" s="9" t="str">
        <f t="shared" si="33"/>
        <v>52021</v>
      </c>
      <c r="B1641" s="14">
        <v>44344</v>
      </c>
      <c r="C1641">
        <v>-5079</v>
      </c>
      <c r="D1641" s="9"/>
    </row>
    <row r="1642" spans="1:4" x14ac:dyDescent="0.25">
      <c r="A1642" s="9" t="str">
        <f t="shared" si="33"/>
        <v>62021</v>
      </c>
      <c r="B1642" s="14">
        <v>44351</v>
      </c>
      <c r="C1642">
        <v>-5241</v>
      </c>
      <c r="D1642" s="9"/>
    </row>
    <row r="1643" spans="1:4" x14ac:dyDescent="0.25">
      <c r="A1643" s="9" t="str">
        <f t="shared" si="33"/>
        <v>62021</v>
      </c>
      <c r="B1643" s="14">
        <v>44358</v>
      </c>
      <c r="C1643">
        <v>-7355</v>
      </c>
      <c r="D1643" s="9"/>
    </row>
    <row r="1644" spans="1:4" x14ac:dyDescent="0.25">
      <c r="A1644" s="9" t="str">
        <f t="shared" si="33"/>
        <v>62021</v>
      </c>
      <c r="B1644" s="14">
        <v>44365</v>
      </c>
      <c r="C1644">
        <v>-7614</v>
      </c>
      <c r="D1644" s="9"/>
    </row>
    <row r="1645" spans="1:4" x14ac:dyDescent="0.25">
      <c r="A1645" s="9" t="str">
        <f t="shared" si="33"/>
        <v>62021</v>
      </c>
      <c r="B1645" s="14">
        <v>44372</v>
      </c>
      <c r="C1645">
        <v>-6718</v>
      </c>
      <c r="D1645" s="9"/>
    </row>
    <row r="1646" spans="1:4" x14ac:dyDescent="0.25">
      <c r="A1646" s="9" t="str">
        <f t="shared" si="33"/>
        <v>72021</v>
      </c>
      <c r="B1646" s="14">
        <v>44379</v>
      </c>
      <c r="C1646">
        <v>-6866</v>
      </c>
      <c r="D1646" s="9"/>
    </row>
    <row r="1647" spans="1:4" x14ac:dyDescent="0.25">
      <c r="A1647" s="9" t="str">
        <f t="shared" si="33"/>
        <v>72021</v>
      </c>
      <c r="B1647" s="14">
        <v>44386</v>
      </c>
      <c r="C1647">
        <v>-7896</v>
      </c>
      <c r="D1647" s="9"/>
    </row>
    <row r="1648" spans="1:4" x14ac:dyDescent="0.25">
      <c r="A1648" s="9" t="str">
        <f t="shared" si="33"/>
        <v>72021</v>
      </c>
      <c r="B1648" s="14">
        <v>44393</v>
      </c>
      <c r="C1648">
        <v>2107</v>
      </c>
      <c r="D1648" s="9"/>
    </row>
    <row r="1649" spans="1:4" x14ac:dyDescent="0.25">
      <c r="A1649" s="9" t="str">
        <f t="shared" si="33"/>
        <v>72021</v>
      </c>
      <c r="B1649" s="14">
        <v>44400</v>
      </c>
      <c r="C1649">
        <v>-4089</v>
      </c>
      <c r="D1649" s="9"/>
    </row>
    <row r="1650" spans="1:4" x14ac:dyDescent="0.25">
      <c r="A1650" s="9" t="str">
        <f t="shared" si="33"/>
        <v>72021</v>
      </c>
      <c r="B1650" s="14">
        <v>44407</v>
      </c>
      <c r="C1650">
        <v>3627</v>
      </c>
      <c r="D1650" s="9"/>
    </row>
    <row r="1651" spans="1:4" x14ac:dyDescent="0.25">
      <c r="A1651" s="9" t="str">
        <f t="shared" si="33"/>
        <v>82021</v>
      </c>
      <c r="B1651" s="14">
        <v>44414</v>
      </c>
      <c r="C1651">
        <v>-448</v>
      </c>
      <c r="D1651" s="9"/>
    </row>
    <row r="1652" spans="1:4" x14ac:dyDescent="0.25">
      <c r="A1652" s="9" t="str">
        <f t="shared" si="33"/>
        <v>82021</v>
      </c>
      <c r="B1652" s="14">
        <v>44421</v>
      </c>
      <c r="C1652">
        <v>-3233</v>
      </c>
      <c r="D1652" s="9"/>
    </row>
    <row r="1653" spans="1:4" x14ac:dyDescent="0.25">
      <c r="A1653" s="9" t="str">
        <f t="shared" si="33"/>
        <v>82021</v>
      </c>
      <c r="B1653" s="14">
        <v>44428</v>
      </c>
      <c r="C1653">
        <v>-2980</v>
      </c>
      <c r="D1653" s="9"/>
    </row>
    <row r="1654" spans="1:4" x14ac:dyDescent="0.25">
      <c r="A1654" s="9" t="str">
        <f t="shared" si="33"/>
        <v>82021</v>
      </c>
      <c r="B1654" s="14">
        <v>44435</v>
      </c>
      <c r="C1654">
        <v>-7169</v>
      </c>
      <c r="D1654" s="9"/>
    </row>
    <row r="1655" spans="1:4" x14ac:dyDescent="0.25">
      <c r="A1655" s="9" t="str">
        <f t="shared" si="33"/>
        <v>92021</v>
      </c>
      <c r="B1655" s="14">
        <v>44442</v>
      </c>
      <c r="C1655">
        <v>-1528</v>
      </c>
      <c r="D1655" s="9"/>
    </row>
    <row r="1656" spans="1:4" x14ac:dyDescent="0.25">
      <c r="A1656" s="9" t="str">
        <f t="shared" si="33"/>
        <v>92021</v>
      </c>
      <c r="B1656" s="14">
        <v>44449</v>
      </c>
      <c r="C1656">
        <v>-6422</v>
      </c>
      <c r="D1656" s="9"/>
    </row>
    <row r="1657" spans="1:4" x14ac:dyDescent="0.25">
      <c r="A1657" s="9" t="str">
        <f t="shared" si="33"/>
        <v>92021</v>
      </c>
      <c r="B1657" s="14">
        <v>44456</v>
      </c>
      <c r="C1657">
        <v>-3481</v>
      </c>
      <c r="D1657" s="9"/>
    </row>
    <row r="1658" spans="1:4" x14ac:dyDescent="0.25">
      <c r="A1658" s="9" t="str">
        <f t="shared" si="33"/>
        <v>92021</v>
      </c>
      <c r="B1658" s="14">
        <v>44463</v>
      </c>
      <c r="C1658">
        <v>4578</v>
      </c>
      <c r="D1658" s="9"/>
    </row>
    <row r="1659" spans="1:4" x14ac:dyDescent="0.25">
      <c r="A1659" s="9" t="str">
        <f t="shared" si="33"/>
        <v>102021</v>
      </c>
      <c r="B1659" s="14">
        <v>44470</v>
      </c>
      <c r="C1659">
        <v>2345</v>
      </c>
      <c r="D1659" s="9"/>
    </row>
    <row r="1660" spans="1:4" x14ac:dyDescent="0.25">
      <c r="A1660" s="9" t="str">
        <f t="shared" si="33"/>
        <v>102021</v>
      </c>
      <c r="B1660" s="14">
        <v>44477</v>
      </c>
      <c r="C1660">
        <v>6088</v>
      </c>
      <c r="D1660" s="9"/>
    </row>
    <row r="1661" spans="1:4" x14ac:dyDescent="0.25">
      <c r="A1661" s="9" t="str">
        <f t="shared" si="33"/>
        <v>102021</v>
      </c>
      <c r="B1661" s="14">
        <v>44484</v>
      </c>
      <c r="C1661">
        <v>-431</v>
      </c>
      <c r="D1661" s="9"/>
    </row>
    <row r="1662" spans="1:4" x14ac:dyDescent="0.25">
      <c r="A1662" s="9" t="str">
        <f t="shared" si="33"/>
        <v>102021</v>
      </c>
      <c r="B1662" s="14">
        <v>44491</v>
      </c>
      <c r="C1662">
        <v>4268</v>
      </c>
      <c r="D1662" s="9"/>
    </row>
    <row r="1663" spans="1:4" x14ac:dyDescent="0.25">
      <c r="A1663" s="9" t="str">
        <f t="shared" si="33"/>
        <v>102021</v>
      </c>
      <c r="B1663" s="14">
        <v>44498</v>
      </c>
      <c r="C1663">
        <v>3290</v>
      </c>
      <c r="D1663" s="9"/>
    </row>
    <row r="1664" spans="1:4" x14ac:dyDescent="0.25">
      <c r="A1664" s="9" t="str">
        <f t="shared" si="33"/>
        <v>112021</v>
      </c>
      <c r="B1664" s="14">
        <v>44505</v>
      </c>
      <c r="C1664">
        <v>1002</v>
      </c>
      <c r="D1664" s="9"/>
    </row>
    <row r="1665" spans="1:4" x14ac:dyDescent="0.25">
      <c r="A1665" s="9" t="str">
        <f t="shared" si="33"/>
        <v>112021</v>
      </c>
      <c r="B1665" s="14">
        <v>44512</v>
      </c>
      <c r="C1665">
        <v>-2101</v>
      </c>
      <c r="D1665" s="9"/>
    </row>
    <row r="1666" spans="1:4" x14ac:dyDescent="0.25">
      <c r="A1666" s="9" t="str">
        <f t="shared" si="33"/>
        <v>112021</v>
      </c>
      <c r="B1666" s="14">
        <v>44519</v>
      </c>
      <c r="C1666">
        <v>1017</v>
      </c>
      <c r="D1666" s="9"/>
    </row>
    <row r="1667" spans="1:4" x14ac:dyDescent="0.25">
      <c r="A1667" s="9" t="str">
        <f t="shared" si="33"/>
        <v>112021</v>
      </c>
      <c r="B1667" s="14">
        <v>44526</v>
      </c>
      <c r="C1667">
        <v>-909</v>
      </c>
      <c r="D1667" s="9"/>
    </row>
    <row r="1668" spans="1:4" x14ac:dyDescent="0.25">
      <c r="A1668" s="9" t="str">
        <f t="shared" ref="A1668:A1731" si="34">MONTH(B1668)&amp;YEAR(B1668)</f>
        <v>122021</v>
      </c>
      <c r="B1668" s="14">
        <v>44533</v>
      </c>
      <c r="C1668">
        <v>-241</v>
      </c>
      <c r="D1668" s="9"/>
    </row>
    <row r="1669" spans="1:4" x14ac:dyDescent="0.25">
      <c r="A1669" s="9" t="str">
        <f t="shared" si="34"/>
        <v>122021</v>
      </c>
      <c r="B1669" s="14">
        <v>44540</v>
      </c>
      <c r="C1669">
        <v>-4584</v>
      </c>
      <c r="D1669" s="9"/>
    </row>
    <row r="1670" spans="1:4" x14ac:dyDescent="0.25">
      <c r="A1670" s="9" t="str">
        <f t="shared" si="34"/>
        <v>122021</v>
      </c>
      <c r="B1670" s="14">
        <v>44547</v>
      </c>
      <c r="C1670">
        <v>-4715</v>
      </c>
      <c r="D1670" s="9"/>
    </row>
    <row r="1671" spans="1:4" x14ac:dyDescent="0.25">
      <c r="A1671" s="9" t="str">
        <f t="shared" si="34"/>
        <v>122021</v>
      </c>
      <c r="B1671" s="14">
        <v>44554</v>
      </c>
      <c r="C1671">
        <v>-3576</v>
      </c>
      <c r="D1671" s="9"/>
    </row>
    <row r="1672" spans="1:4" x14ac:dyDescent="0.25">
      <c r="A1672" s="9" t="str">
        <f t="shared" si="34"/>
        <v>122021</v>
      </c>
      <c r="B1672" s="14">
        <v>44561</v>
      </c>
      <c r="C1672">
        <v>-2144</v>
      </c>
      <c r="D1672" s="9"/>
    </row>
    <row r="1673" spans="1:4" x14ac:dyDescent="0.25">
      <c r="A1673" s="9" t="str">
        <f t="shared" si="34"/>
        <v>12022</v>
      </c>
      <c r="B1673" s="14">
        <v>44568</v>
      </c>
      <c r="C1673">
        <v>-4553</v>
      </c>
      <c r="D1673" s="9"/>
    </row>
    <row r="1674" spans="1:4" x14ac:dyDescent="0.25">
      <c r="A1674" s="9" t="str">
        <f t="shared" si="34"/>
        <v>12022</v>
      </c>
      <c r="B1674" s="14">
        <v>44575</v>
      </c>
      <c r="C1674">
        <v>515</v>
      </c>
      <c r="D1674" s="9"/>
    </row>
    <row r="1675" spans="1:4" x14ac:dyDescent="0.25">
      <c r="A1675" s="9" t="str">
        <f t="shared" si="34"/>
        <v>12022</v>
      </c>
      <c r="B1675" s="14">
        <v>44582</v>
      </c>
      <c r="C1675">
        <v>2377</v>
      </c>
      <c r="D1675" s="9"/>
    </row>
    <row r="1676" spans="1:4" x14ac:dyDescent="0.25">
      <c r="A1676" s="9" t="str">
        <f t="shared" si="34"/>
        <v>12022</v>
      </c>
      <c r="B1676" s="14">
        <v>44589</v>
      </c>
      <c r="C1676">
        <v>-1047</v>
      </c>
      <c r="D1676" s="9"/>
    </row>
    <row r="1677" spans="1:4" x14ac:dyDescent="0.25">
      <c r="A1677" s="9" t="str">
        <f t="shared" si="34"/>
        <v>22022</v>
      </c>
      <c r="B1677" s="14">
        <v>44596</v>
      </c>
      <c r="C1677">
        <v>-4756</v>
      </c>
      <c r="D1677" s="9"/>
    </row>
    <row r="1678" spans="1:4" x14ac:dyDescent="0.25">
      <c r="A1678" s="9" t="str">
        <f t="shared" si="34"/>
        <v>22022</v>
      </c>
      <c r="B1678" s="14">
        <v>44603</v>
      </c>
      <c r="C1678">
        <v>1121</v>
      </c>
      <c r="D1678" s="9"/>
    </row>
    <row r="1679" spans="1:4" x14ac:dyDescent="0.25">
      <c r="A1679" s="9" t="str">
        <f t="shared" si="34"/>
        <v>22022</v>
      </c>
      <c r="B1679" s="14">
        <v>44610</v>
      </c>
      <c r="C1679">
        <v>4514</v>
      </c>
      <c r="D1679" s="9"/>
    </row>
    <row r="1680" spans="1:4" x14ac:dyDescent="0.25">
      <c r="A1680" s="9" t="str">
        <f t="shared" si="34"/>
        <v>22022</v>
      </c>
      <c r="B1680" s="14">
        <v>44617</v>
      </c>
      <c r="C1680">
        <v>-2597</v>
      </c>
      <c r="D1680" s="9"/>
    </row>
    <row r="1681" spans="1:4" x14ac:dyDescent="0.25">
      <c r="A1681" s="9" t="str">
        <f t="shared" si="34"/>
        <v>32022</v>
      </c>
      <c r="B1681" s="14">
        <v>44624</v>
      </c>
      <c r="C1681">
        <v>-1863</v>
      </c>
      <c r="D1681" s="9"/>
    </row>
    <row r="1682" spans="1:4" x14ac:dyDescent="0.25">
      <c r="A1682" s="9" t="str">
        <f t="shared" si="34"/>
        <v>32022</v>
      </c>
      <c r="B1682" s="14">
        <v>44631</v>
      </c>
      <c r="C1682">
        <v>4345</v>
      </c>
      <c r="D1682" s="9"/>
    </row>
    <row r="1683" spans="1:4" x14ac:dyDescent="0.25">
      <c r="A1683" s="9" t="str">
        <f t="shared" si="34"/>
        <v>32022</v>
      </c>
      <c r="B1683" s="14">
        <v>44638</v>
      </c>
      <c r="C1683">
        <v>-2508</v>
      </c>
      <c r="D1683" s="9"/>
    </row>
    <row r="1684" spans="1:4" x14ac:dyDescent="0.25">
      <c r="A1684" s="9" t="str">
        <f t="shared" si="34"/>
        <v>32022</v>
      </c>
      <c r="B1684" s="14">
        <v>44645</v>
      </c>
      <c r="C1684">
        <v>-3449</v>
      </c>
      <c r="D1684" s="9"/>
    </row>
    <row r="1685" spans="1:4" x14ac:dyDescent="0.25">
      <c r="A1685" s="9" t="str">
        <f t="shared" si="34"/>
        <v>42022</v>
      </c>
      <c r="B1685" s="14">
        <v>44652</v>
      </c>
      <c r="C1685">
        <v>2421</v>
      </c>
      <c r="D1685" s="9"/>
    </row>
    <row r="1686" spans="1:4" x14ac:dyDescent="0.25">
      <c r="A1686" s="9" t="str">
        <f t="shared" si="34"/>
        <v>42022</v>
      </c>
      <c r="B1686" s="14">
        <v>44659</v>
      </c>
      <c r="C1686">
        <v>9382</v>
      </c>
      <c r="D1686" s="9"/>
    </row>
    <row r="1687" spans="1:4" x14ac:dyDescent="0.25">
      <c r="A1687" s="9" t="str">
        <f t="shared" si="34"/>
        <v>42022</v>
      </c>
      <c r="B1687" s="14">
        <v>44666</v>
      </c>
      <c r="C1687">
        <v>-8020</v>
      </c>
      <c r="D1687" s="9"/>
    </row>
    <row r="1688" spans="1:4" x14ac:dyDescent="0.25">
      <c r="A1688" s="9" t="str">
        <f t="shared" si="34"/>
        <v>42022</v>
      </c>
      <c r="B1688" s="14">
        <v>44673</v>
      </c>
      <c r="C1688">
        <v>691</v>
      </c>
      <c r="D1688" s="9"/>
    </row>
    <row r="1689" spans="1:4" x14ac:dyDescent="0.25">
      <c r="A1689" s="9" t="str">
        <f t="shared" si="34"/>
        <v>42022</v>
      </c>
      <c r="B1689" s="14">
        <v>44680</v>
      </c>
      <c r="C1689">
        <v>1303</v>
      </c>
      <c r="D1689" s="9"/>
    </row>
    <row r="1690" spans="1:4" x14ac:dyDescent="0.25">
      <c r="A1690" s="9" t="str">
        <f t="shared" si="34"/>
        <v>52022</v>
      </c>
      <c r="B1690" s="14">
        <v>44687</v>
      </c>
      <c r="C1690">
        <v>8487</v>
      </c>
      <c r="D1690" s="9"/>
    </row>
    <row r="1691" spans="1:4" x14ac:dyDescent="0.25">
      <c r="A1691" s="9" t="str">
        <f t="shared" si="34"/>
        <v>52022</v>
      </c>
      <c r="B1691" s="14">
        <v>44694</v>
      </c>
      <c r="C1691">
        <v>-3394</v>
      </c>
      <c r="D1691" s="9"/>
    </row>
    <row r="1692" spans="1:4" x14ac:dyDescent="0.25">
      <c r="A1692" s="9" t="str">
        <f t="shared" si="34"/>
        <v>52022</v>
      </c>
      <c r="B1692" s="14">
        <v>44701</v>
      </c>
      <c r="C1692">
        <v>-1019</v>
      </c>
      <c r="D1692" s="9"/>
    </row>
    <row r="1693" spans="1:4" x14ac:dyDescent="0.25">
      <c r="A1693" s="9" t="str">
        <f t="shared" si="34"/>
        <v>52022</v>
      </c>
      <c r="B1693" s="14">
        <v>44708</v>
      </c>
      <c r="C1693">
        <v>-5068</v>
      </c>
      <c r="D1693" s="9"/>
    </row>
    <row r="1694" spans="1:4" x14ac:dyDescent="0.25">
      <c r="A1694" s="9" t="str">
        <f t="shared" si="34"/>
        <v>62022</v>
      </c>
      <c r="B1694" s="14">
        <v>44715</v>
      </c>
      <c r="C1694">
        <v>2025</v>
      </c>
      <c r="D1694" s="9"/>
    </row>
    <row r="1695" spans="1:4" x14ac:dyDescent="0.25">
      <c r="A1695" s="9" t="str">
        <f t="shared" si="34"/>
        <v>62022</v>
      </c>
      <c r="B1695" s="14">
        <v>44722</v>
      </c>
      <c r="C1695">
        <v>1956</v>
      </c>
      <c r="D1695" s="9"/>
    </row>
    <row r="1696" spans="1:4" x14ac:dyDescent="0.25">
      <c r="A1696" s="9" t="str">
        <f t="shared" si="34"/>
        <v>62022</v>
      </c>
      <c r="B1696" s="14">
        <v>44729</v>
      </c>
      <c r="C1696">
        <v>-386</v>
      </c>
      <c r="D1696" s="9"/>
    </row>
    <row r="1697" spans="1:4" x14ac:dyDescent="0.25">
      <c r="A1697" s="9" t="str">
        <f t="shared" si="34"/>
        <v>62022</v>
      </c>
      <c r="B1697" s="14">
        <v>44736</v>
      </c>
      <c r="C1697">
        <v>-2762</v>
      </c>
      <c r="D1697" s="9"/>
    </row>
    <row r="1698" spans="1:4" x14ac:dyDescent="0.25">
      <c r="A1698" s="9" t="str">
        <f t="shared" si="34"/>
        <v>72022</v>
      </c>
      <c r="B1698" s="14">
        <v>44743</v>
      </c>
      <c r="C1698">
        <v>8234</v>
      </c>
      <c r="D1698" s="9"/>
    </row>
    <row r="1699" spans="1:4" x14ac:dyDescent="0.25">
      <c r="A1699" s="9" t="str">
        <f t="shared" si="34"/>
        <v>72022</v>
      </c>
      <c r="B1699" s="14">
        <v>44750</v>
      </c>
      <c r="C1699">
        <v>3254</v>
      </c>
      <c r="D1699" s="9"/>
    </row>
    <row r="1700" spans="1:4" x14ac:dyDescent="0.25">
      <c r="A1700" s="9" t="str">
        <f t="shared" si="34"/>
        <v>72022</v>
      </c>
      <c r="B1700" s="14">
        <v>44757</v>
      </c>
      <c r="C1700">
        <v>-445</v>
      </c>
      <c r="D1700" s="9"/>
    </row>
    <row r="1701" spans="1:4" x14ac:dyDescent="0.25">
      <c r="A1701" s="9" t="str">
        <f t="shared" si="34"/>
        <v>72022</v>
      </c>
      <c r="B1701" s="14">
        <v>44764</v>
      </c>
      <c r="C1701">
        <v>-4523</v>
      </c>
      <c r="D1701" s="9"/>
    </row>
    <row r="1702" spans="1:4" x14ac:dyDescent="0.25">
      <c r="A1702" s="9" t="str">
        <f t="shared" si="34"/>
        <v>72022</v>
      </c>
      <c r="B1702" s="14">
        <v>44771</v>
      </c>
      <c r="C1702">
        <v>4467</v>
      </c>
      <c r="D1702" s="9"/>
    </row>
    <row r="1703" spans="1:4" x14ac:dyDescent="0.25">
      <c r="A1703" s="9" t="str">
        <f t="shared" si="34"/>
        <v>82022</v>
      </c>
      <c r="B1703" s="14">
        <v>44778</v>
      </c>
      <c r="C1703">
        <v>5457</v>
      </c>
      <c r="D1703" s="9"/>
    </row>
    <row r="1704" spans="1:4" x14ac:dyDescent="0.25">
      <c r="A1704" s="9" t="str">
        <f t="shared" si="34"/>
        <v>82022</v>
      </c>
      <c r="B1704" s="14">
        <v>44785</v>
      </c>
      <c r="C1704">
        <v>-7056</v>
      </c>
      <c r="D1704" s="9"/>
    </row>
    <row r="1705" spans="1:4" x14ac:dyDescent="0.25">
      <c r="A1705" s="9" t="str">
        <f t="shared" si="34"/>
        <v>82022</v>
      </c>
      <c r="B1705" s="14">
        <v>44792</v>
      </c>
      <c r="C1705">
        <v>-3282</v>
      </c>
      <c r="D1705" s="9"/>
    </row>
    <row r="1706" spans="1:4" x14ac:dyDescent="0.25">
      <c r="A1706" s="9" t="str">
        <f t="shared" si="34"/>
        <v>82022</v>
      </c>
      <c r="B1706" s="14">
        <v>44799</v>
      </c>
      <c r="C1706">
        <v>-3326</v>
      </c>
      <c r="D1706" s="9"/>
    </row>
    <row r="1707" spans="1:4" x14ac:dyDescent="0.25">
      <c r="A1707" s="9" t="str">
        <f t="shared" si="34"/>
        <v>92022</v>
      </c>
      <c r="B1707" s="14">
        <v>44806</v>
      </c>
      <c r="C1707">
        <v>8845</v>
      </c>
      <c r="D1707" s="9"/>
    </row>
    <row r="1708" spans="1:4" x14ac:dyDescent="0.25">
      <c r="A1708" s="9" t="str">
        <f t="shared" si="34"/>
        <v>92022</v>
      </c>
      <c r="B1708" s="14">
        <v>44813</v>
      </c>
      <c r="C1708">
        <v>2442</v>
      </c>
      <c r="D1708" s="9"/>
    </row>
    <row r="1709" spans="1:4" x14ac:dyDescent="0.25">
      <c r="A1709" s="9" t="str">
        <f t="shared" si="34"/>
        <v>92022</v>
      </c>
      <c r="B1709" s="14">
        <v>44820</v>
      </c>
      <c r="C1709">
        <v>1141</v>
      </c>
      <c r="D1709" s="9"/>
    </row>
    <row r="1710" spans="1:4" x14ac:dyDescent="0.25">
      <c r="A1710" s="9" t="str">
        <f t="shared" si="34"/>
        <v>92022</v>
      </c>
      <c r="B1710" s="14">
        <v>44827</v>
      </c>
      <c r="C1710">
        <v>-215</v>
      </c>
      <c r="D1710" s="9"/>
    </row>
    <row r="1711" spans="1:4" x14ac:dyDescent="0.25">
      <c r="A1711" s="9" t="str">
        <f t="shared" si="34"/>
        <v>92022</v>
      </c>
      <c r="B1711" s="14">
        <v>44834</v>
      </c>
      <c r="C1711">
        <v>-1356</v>
      </c>
      <c r="D1711" s="9"/>
    </row>
    <row r="1712" spans="1:4" x14ac:dyDescent="0.25">
      <c r="A1712" s="9" t="str">
        <f t="shared" si="34"/>
        <v>102022</v>
      </c>
      <c r="B1712" s="14">
        <v>44841</v>
      </c>
      <c r="C1712">
        <v>9879</v>
      </c>
      <c r="D1712" s="9"/>
    </row>
    <row r="1713" spans="1:4" x14ac:dyDescent="0.25">
      <c r="A1713" s="9" t="str">
        <f t="shared" si="34"/>
        <v>102022</v>
      </c>
      <c r="B1713" s="14">
        <v>44848</v>
      </c>
      <c r="C1713">
        <v>-1725</v>
      </c>
      <c r="D1713" s="9"/>
    </row>
    <row r="1714" spans="1:4" x14ac:dyDescent="0.25">
      <c r="A1714" s="9" t="str">
        <f t="shared" si="34"/>
        <v>102022</v>
      </c>
      <c r="B1714" s="14">
        <v>44855</v>
      </c>
      <c r="C1714">
        <v>2588</v>
      </c>
      <c r="D1714" s="9"/>
    </row>
    <row r="1715" spans="1:4" x14ac:dyDescent="0.25">
      <c r="A1715" s="9" t="str">
        <f t="shared" si="34"/>
        <v>102022</v>
      </c>
      <c r="B1715" s="14">
        <v>44862</v>
      </c>
      <c r="C1715">
        <v>-3115</v>
      </c>
      <c r="D1715" s="9"/>
    </row>
    <row r="1716" spans="1:4" x14ac:dyDescent="0.25">
      <c r="A1716" s="9" t="str">
        <f t="shared" si="34"/>
        <v>112022</v>
      </c>
      <c r="B1716" s="14">
        <v>44869</v>
      </c>
      <c r="C1716">
        <v>3925</v>
      </c>
      <c r="D1716" s="9"/>
    </row>
    <row r="1717" spans="1:4" x14ac:dyDescent="0.25">
      <c r="A1717" s="9" t="str">
        <f t="shared" si="34"/>
        <v>112022</v>
      </c>
      <c r="B1717" s="14">
        <v>44876</v>
      </c>
      <c r="C1717">
        <v>-5400</v>
      </c>
      <c r="D1717" s="9"/>
    </row>
    <row r="1718" spans="1:4" x14ac:dyDescent="0.25">
      <c r="A1718" s="9" t="str">
        <f t="shared" si="34"/>
        <v>112022</v>
      </c>
      <c r="B1718" s="14">
        <v>44883</v>
      </c>
      <c r="C1718">
        <v>-3690</v>
      </c>
      <c r="D1718" s="9"/>
    </row>
    <row r="1719" spans="1:4" x14ac:dyDescent="0.25">
      <c r="A1719" s="9" t="str">
        <f t="shared" si="34"/>
        <v>112022</v>
      </c>
      <c r="B1719" s="14">
        <v>44890</v>
      </c>
      <c r="C1719">
        <v>-12581</v>
      </c>
      <c r="D1719" s="9"/>
    </row>
    <row r="1720" spans="1:4" x14ac:dyDescent="0.25">
      <c r="A1720" s="9" t="str">
        <f t="shared" si="34"/>
        <v>122022</v>
      </c>
      <c r="B1720" s="14">
        <v>44897</v>
      </c>
      <c r="C1720">
        <v>-5186</v>
      </c>
      <c r="D1720" s="9"/>
    </row>
    <row r="1721" spans="1:4" x14ac:dyDescent="0.25">
      <c r="A1721" s="9" t="str">
        <f t="shared" si="34"/>
        <v>122022</v>
      </c>
      <c r="B1721" s="14">
        <v>44904</v>
      </c>
      <c r="C1721">
        <v>10231</v>
      </c>
      <c r="D1721" s="9"/>
    </row>
    <row r="1722" spans="1:4" x14ac:dyDescent="0.25">
      <c r="A1722" s="9" t="str">
        <f t="shared" si="34"/>
        <v>122022</v>
      </c>
      <c r="B1722" s="14">
        <v>44911</v>
      </c>
      <c r="C1722">
        <v>-5895</v>
      </c>
      <c r="D1722" s="9"/>
    </row>
    <row r="1723" spans="1:4" x14ac:dyDescent="0.25">
      <c r="A1723" s="9" t="str">
        <f t="shared" si="34"/>
        <v>122022</v>
      </c>
      <c r="B1723" s="14">
        <v>44918</v>
      </c>
      <c r="C1723">
        <v>718</v>
      </c>
      <c r="D1723" s="9"/>
    </row>
    <row r="1724" spans="1:4" x14ac:dyDescent="0.25">
      <c r="A1724" s="9" t="str">
        <f t="shared" si="34"/>
        <v>122022</v>
      </c>
      <c r="B1724" s="14">
        <v>44925</v>
      </c>
      <c r="C1724">
        <v>1694</v>
      </c>
      <c r="D1724" s="9"/>
    </row>
    <row r="1725" spans="1:4" x14ac:dyDescent="0.25">
      <c r="A1725" s="9" t="str">
        <f t="shared" si="34"/>
        <v>12023</v>
      </c>
      <c r="B1725" s="14">
        <v>44932</v>
      </c>
      <c r="C1725">
        <v>18961</v>
      </c>
      <c r="D1725" s="9"/>
    </row>
    <row r="1726" spans="1:4" x14ac:dyDescent="0.25">
      <c r="A1726" s="9" t="str">
        <f t="shared" si="34"/>
        <v>12023</v>
      </c>
      <c r="B1726" s="14">
        <v>44939</v>
      </c>
      <c r="C1726">
        <v>8408</v>
      </c>
      <c r="D1726" s="9"/>
    </row>
    <row r="1727" spans="1:4" x14ac:dyDescent="0.25">
      <c r="A1727" s="9" t="str">
        <f t="shared" si="34"/>
        <v>12023</v>
      </c>
      <c r="B1727" s="14">
        <v>44946</v>
      </c>
      <c r="C1727">
        <v>533</v>
      </c>
      <c r="D1727" s="9"/>
    </row>
    <row r="1728" spans="1:4" x14ac:dyDescent="0.25">
      <c r="A1728" s="9" t="str">
        <f t="shared" si="34"/>
        <v>12023</v>
      </c>
      <c r="B1728" s="14">
        <v>44953</v>
      </c>
      <c r="C1728">
        <v>4140</v>
      </c>
      <c r="D1728" s="9"/>
    </row>
    <row r="1729" spans="1:4" x14ac:dyDescent="0.25">
      <c r="A1729" s="9" t="str">
        <f t="shared" si="34"/>
        <v>22023</v>
      </c>
      <c r="B1729" s="14">
        <v>44960</v>
      </c>
      <c r="C1729">
        <v>2423</v>
      </c>
      <c r="D1729" s="9"/>
    </row>
    <row r="1730" spans="1:4" x14ac:dyDescent="0.25">
      <c r="A1730" s="9" t="str">
        <f t="shared" si="34"/>
        <v>22023</v>
      </c>
      <c r="B1730" s="14">
        <v>44967</v>
      </c>
      <c r="C1730">
        <v>16283</v>
      </c>
      <c r="D1730" s="9"/>
    </row>
    <row r="1731" spans="1:4" x14ac:dyDescent="0.25">
      <c r="A1731" s="9" t="str">
        <f t="shared" si="34"/>
        <v>22023</v>
      </c>
      <c r="B1731" s="14">
        <v>44974</v>
      </c>
      <c r="C1731">
        <v>7647</v>
      </c>
      <c r="D1731" s="9"/>
    </row>
    <row r="1732" spans="1:4" x14ac:dyDescent="0.25">
      <c r="A1732" s="9" t="str">
        <f t="shared" ref="A1732:A1795" si="35">MONTH(B1732)&amp;YEAR(B1732)</f>
        <v>22023</v>
      </c>
      <c r="B1732" s="14">
        <v>44981</v>
      </c>
      <c r="C1732">
        <v>1166</v>
      </c>
      <c r="D1732" s="9"/>
    </row>
    <row r="1733" spans="1:4" x14ac:dyDescent="0.25">
      <c r="A1733" s="9" t="str">
        <f t="shared" si="35"/>
        <v>32023</v>
      </c>
      <c r="B1733" s="14">
        <v>44988</v>
      </c>
      <c r="C1733">
        <v>-1694</v>
      </c>
      <c r="D1733" s="9"/>
    </row>
    <row r="1734" spans="1:4" x14ac:dyDescent="0.25">
      <c r="A1734" s="9" t="str">
        <f t="shared" si="35"/>
        <v>32023</v>
      </c>
      <c r="B1734" s="14">
        <v>44995</v>
      </c>
      <c r="C1734">
        <v>1550</v>
      </c>
      <c r="D1734" s="9"/>
    </row>
    <row r="1735" spans="1:4" x14ac:dyDescent="0.25">
      <c r="A1735" s="9" t="str">
        <f t="shared" si="35"/>
        <v>32023</v>
      </c>
      <c r="B1735" s="14">
        <v>45002</v>
      </c>
      <c r="C1735">
        <v>1117</v>
      </c>
      <c r="D1735" s="9"/>
    </row>
    <row r="1736" spans="1:4" x14ac:dyDescent="0.25">
      <c r="A1736" s="9" t="str">
        <f t="shared" si="35"/>
        <v>32023</v>
      </c>
      <c r="B1736" s="14">
        <v>45009</v>
      </c>
      <c r="C1736">
        <v>-7489</v>
      </c>
      <c r="D1736" s="9"/>
    </row>
    <row r="1737" spans="1:4" x14ac:dyDescent="0.25">
      <c r="A1737" s="9" t="str">
        <f t="shared" si="35"/>
        <v>32023</v>
      </c>
      <c r="B1737" s="14">
        <v>45016</v>
      </c>
      <c r="C1737">
        <v>-3739</v>
      </c>
      <c r="D1737" s="9"/>
    </row>
    <row r="1738" spans="1:4" x14ac:dyDescent="0.25">
      <c r="A1738" s="9" t="str">
        <f t="shared" si="35"/>
        <v>42023</v>
      </c>
      <c r="B1738" s="14">
        <v>45023</v>
      </c>
      <c r="C1738">
        <v>597</v>
      </c>
      <c r="D1738" s="9"/>
    </row>
    <row r="1739" spans="1:4" x14ac:dyDescent="0.25">
      <c r="A1739" s="9" t="str">
        <f t="shared" si="35"/>
        <v>42023</v>
      </c>
      <c r="B1739" s="14">
        <v>45030</v>
      </c>
      <c r="C1739">
        <v>-4581</v>
      </c>
      <c r="D1739" s="9"/>
    </row>
    <row r="1740" spans="1:4" x14ac:dyDescent="0.25">
      <c r="A1740" s="9" t="str">
        <f t="shared" si="35"/>
        <v>42023</v>
      </c>
      <c r="B1740" s="14">
        <v>45037</v>
      </c>
      <c r="C1740">
        <v>-5054</v>
      </c>
      <c r="D1740" s="9"/>
    </row>
    <row r="1741" spans="1:4" x14ac:dyDescent="0.25">
      <c r="A1741" s="9" t="str">
        <f t="shared" si="35"/>
        <v>42023</v>
      </c>
      <c r="B1741" s="14">
        <v>45044</v>
      </c>
      <c r="C1741">
        <v>-1281</v>
      </c>
      <c r="D1741" s="9"/>
    </row>
    <row r="1742" spans="1:4" x14ac:dyDescent="0.25">
      <c r="A1742" s="9" t="str">
        <f t="shared" si="35"/>
        <v>52023</v>
      </c>
      <c r="B1742" s="14">
        <v>45051</v>
      </c>
      <c r="C1742">
        <v>2951</v>
      </c>
      <c r="D1742" s="9"/>
    </row>
    <row r="1743" spans="1:4" x14ac:dyDescent="0.25">
      <c r="A1743" s="9" t="str">
        <f t="shared" si="35"/>
        <v>52023</v>
      </c>
      <c r="B1743" s="14">
        <v>45058</v>
      </c>
      <c r="C1743">
        <v>5040</v>
      </c>
      <c r="D1743" s="9"/>
    </row>
    <row r="1744" spans="1:4" x14ac:dyDescent="0.25">
      <c r="A1744" s="9" t="str">
        <f t="shared" si="35"/>
        <v>52023</v>
      </c>
      <c r="B1744" s="14">
        <v>45065</v>
      </c>
      <c r="C1744">
        <v>-12456</v>
      </c>
      <c r="D1744" s="9"/>
    </row>
    <row r="1745" spans="1:4" x14ac:dyDescent="0.25">
      <c r="A1745" s="9" t="str">
        <f t="shared" si="35"/>
        <v>52023</v>
      </c>
      <c r="B1745" s="14">
        <v>45072</v>
      </c>
      <c r="C1745">
        <v>4489</v>
      </c>
      <c r="D1745" s="9"/>
    </row>
    <row r="1746" spans="1:4" x14ac:dyDescent="0.25">
      <c r="A1746" s="9" t="str">
        <f t="shared" si="35"/>
        <v>62023</v>
      </c>
      <c r="B1746" s="14">
        <v>45079</v>
      </c>
      <c r="C1746">
        <v>-452</v>
      </c>
      <c r="D1746" s="9"/>
    </row>
    <row r="1747" spans="1:4" x14ac:dyDescent="0.25">
      <c r="A1747" s="9" t="str">
        <f t="shared" si="35"/>
        <v>62023</v>
      </c>
      <c r="B1747" s="14">
        <v>45086</v>
      </c>
      <c r="C1747">
        <v>7919</v>
      </c>
      <c r="D1747" s="9"/>
    </row>
    <row r="1748" spans="1:4" x14ac:dyDescent="0.25">
      <c r="A1748" s="9" t="str">
        <f t="shared" si="35"/>
        <v>62023</v>
      </c>
      <c r="B1748" s="14">
        <v>45093</v>
      </c>
      <c r="C1748">
        <v>-3831</v>
      </c>
      <c r="D1748" s="9"/>
    </row>
    <row r="1749" spans="1:4" x14ac:dyDescent="0.25">
      <c r="A1749" s="9" t="str">
        <f t="shared" si="35"/>
        <v>62023</v>
      </c>
      <c r="B1749" s="14">
        <v>45100</v>
      </c>
      <c r="C1749">
        <v>-9603</v>
      </c>
      <c r="D1749" s="9"/>
    </row>
    <row r="1750" spans="1:4" x14ac:dyDescent="0.25">
      <c r="A1750" s="9" t="str">
        <f t="shared" si="35"/>
        <v>62023</v>
      </c>
      <c r="B1750" s="14">
        <v>45107</v>
      </c>
      <c r="C1750">
        <v>-1508</v>
      </c>
      <c r="D1750" s="9"/>
    </row>
    <row r="1751" spans="1:4" x14ac:dyDescent="0.25">
      <c r="A1751" s="9" t="str">
        <f t="shared" si="35"/>
        <v>72023</v>
      </c>
      <c r="B1751" s="14">
        <v>45114</v>
      </c>
      <c r="C1751">
        <v>5946</v>
      </c>
      <c r="D1751" s="9"/>
    </row>
    <row r="1752" spans="1:4" x14ac:dyDescent="0.25">
      <c r="A1752" s="9" t="str">
        <f t="shared" si="35"/>
        <v>72023</v>
      </c>
      <c r="B1752" s="14">
        <v>45121</v>
      </c>
      <c r="C1752">
        <v>-708</v>
      </c>
      <c r="D1752" s="9"/>
    </row>
    <row r="1753" spans="1:4" x14ac:dyDescent="0.25">
      <c r="A1753" s="9" t="str">
        <f t="shared" si="35"/>
        <v>72023</v>
      </c>
      <c r="B1753" s="14">
        <v>45128</v>
      </c>
      <c r="C1753">
        <v>-600</v>
      </c>
      <c r="D1753" s="9"/>
    </row>
    <row r="1754" spans="1:4" x14ac:dyDescent="0.25">
      <c r="A1754" s="9" t="str">
        <f t="shared" si="35"/>
        <v>72023</v>
      </c>
      <c r="B1754" s="14">
        <v>45135</v>
      </c>
      <c r="C1754">
        <v>-17049</v>
      </c>
      <c r="D1754" s="9"/>
    </row>
    <row r="1755" spans="1:4" x14ac:dyDescent="0.25">
      <c r="A1755" s="9" t="str">
        <f t="shared" si="35"/>
        <v>82023</v>
      </c>
      <c r="B1755" s="14">
        <v>45142</v>
      </c>
      <c r="C1755">
        <v>5851</v>
      </c>
      <c r="D1755" s="9"/>
    </row>
    <row r="1756" spans="1:4" x14ac:dyDescent="0.25">
      <c r="A1756" s="9" t="str">
        <f t="shared" si="35"/>
        <v>82023</v>
      </c>
      <c r="B1756" s="14">
        <v>45149</v>
      </c>
      <c r="C1756">
        <v>-5960</v>
      </c>
      <c r="D1756" s="9"/>
    </row>
    <row r="1757" spans="1:4" x14ac:dyDescent="0.25">
      <c r="A1757" s="9" t="str">
        <f t="shared" si="35"/>
        <v>82023</v>
      </c>
      <c r="B1757" s="14">
        <v>45156</v>
      </c>
      <c r="C1757">
        <v>-6134</v>
      </c>
      <c r="D1757" s="9"/>
    </row>
    <row r="1758" spans="1:4" x14ac:dyDescent="0.25">
      <c r="A1758" s="9" t="str">
        <f t="shared" si="35"/>
        <v>82023</v>
      </c>
      <c r="B1758" s="14">
        <v>45163</v>
      </c>
      <c r="C1758">
        <v>-10584</v>
      </c>
      <c r="D1758" s="9"/>
    </row>
    <row r="1759" spans="1:4" x14ac:dyDescent="0.25">
      <c r="A1759" s="9" t="str">
        <f t="shared" si="35"/>
        <v>92023</v>
      </c>
      <c r="B1759" s="14">
        <v>45170</v>
      </c>
      <c r="C1759">
        <v>-6307</v>
      </c>
      <c r="D1759" s="9"/>
    </row>
    <row r="1760" spans="1:4" x14ac:dyDescent="0.25">
      <c r="A1760" s="9" t="str">
        <f t="shared" si="35"/>
        <v>92023</v>
      </c>
      <c r="B1760" s="14">
        <v>45177</v>
      </c>
      <c r="C1760">
        <v>3955</v>
      </c>
      <c r="D1760" s="9"/>
    </row>
    <row r="1761" spans="1:4" x14ac:dyDescent="0.25">
      <c r="A1761" s="9" t="str">
        <f t="shared" si="35"/>
        <v>92023</v>
      </c>
      <c r="B1761" s="14">
        <v>45184</v>
      </c>
      <c r="C1761">
        <v>-2136</v>
      </c>
      <c r="D1761" s="9"/>
    </row>
    <row r="1762" spans="1:4" x14ac:dyDescent="0.25">
      <c r="A1762" s="9" t="str">
        <f t="shared" si="35"/>
        <v>92023</v>
      </c>
      <c r="B1762" s="14">
        <v>45191</v>
      </c>
      <c r="C1762">
        <v>-2169</v>
      </c>
      <c r="D1762" s="9"/>
    </row>
    <row r="1763" spans="1:4" x14ac:dyDescent="0.25">
      <c r="A1763" s="9" t="str">
        <f t="shared" si="35"/>
        <v>92023</v>
      </c>
      <c r="B1763" s="14">
        <v>45198</v>
      </c>
      <c r="C1763">
        <v>-2224</v>
      </c>
      <c r="D1763" s="9"/>
    </row>
    <row r="1764" spans="1:4" x14ac:dyDescent="0.25">
      <c r="A1764" s="9" t="str">
        <f t="shared" si="35"/>
        <v>102023</v>
      </c>
      <c r="B1764" s="14">
        <v>45205</v>
      </c>
      <c r="C1764">
        <v>10176</v>
      </c>
    </row>
    <row r="1765" spans="1:4" x14ac:dyDescent="0.25">
      <c r="A1765" s="9" t="str">
        <f t="shared" si="35"/>
        <v>102023</v>
      </c>
      <c r="B1765" s="14">
        <v>45212</v>
      </c>
      <c r="C1765">
        <v>-4491</v>
      </c>
    </row>
    <row r="1766" spans="1:4" x14ac:dyDescent="0.25">
      <c r="A1766" s="9" t="str">
        <f t="shared" si="35"/>
        <v>102023</v>
      </c>
      <c r="B1766" s="14">
        <v>45219</v>
      </c>
      <c r="C1766">
        <v>1372</v>
      </c>
    </row>
    <row r="1767" spans="1:4" x14ac:dyDescent="0.25">
      <c r="A1767" s="9" t="str">
        <f t="shared" si="35"/>
        <v>102023</v>
      </c>
      <c r="B1767" s="14">
        <v>45226</v>
      </c>
      <c r="C1767">
        <v>773</v>
      </c>
    </row>
    <row r="1768" spans="1:4" x14ac:dyDescent="0.25">
      <c r="A1768" s="9" t="str">
        <f t="shared" si="35"/>
        <v>112023</v>
      </c>
      <c r="B1768" s="14">
        <v>45233</v>
      </c>
      <c r="C1768">
        <v>13869</v>
      </c>
    </row>
    <row r="1769" spans="1:4" x14ac:dyDescent="0.25">
      <c r="A1769" s="9" t="str">
        <f t="shared" si="35"/>
        <v>112023</v>
      </c>
      <c r="B1769" s="14">
        <v>45240</v>
      </c>
      <c r="C1769">
        <v>3592</v>
      </c>
    </row>
    <row r="1770" spans="1:4" x14ac:dyDescent="0.25">
      <c r="A1770" s="9" t="str">
        <f t="shared" si="35"/>
        <v>112023</v>
      </c>
      <c r="B1770" s="14">
        <v>45247</v>
      </c>
      <c r="C1770">
        <v>8700</v>
      </c>
    </row>
    <row r="1771" spans="1:4" x14ac:dyDescent="0.25">
      <c r="A1771" s="9" t="str">
        <f t="shared" si="35"/>
        <v>112023</v>
      </c>
      <c r="B1771" s="14">
        <v>45254</v>
      </c>
      <c r="C1771">
        <v>1610</v>
      </c>
    </row>
    <row r="1772" spans="1:4" x14ac:dyDescent="0.25">
      <c r="A1772" s="9" t="str">
        <f t="shared" si="35"/>
        <v>122023</v>
      </c>
      <c r="B1772" s="14">
        <v>45261</v>
      </c>
      <c r="C1772">
        <v>-4633</v>
      </c>
    </row>
    <row r="1773" spans="1:4" x14ac:dyDescent="0.25">
      <c r="A1773" s="9" t="str">
        <f t="shared" si="35"/>
        <v>122023</v>
      </c>
      <c r="B1773" s="14">
        <v>45268</v>
      </c>
      <c r="C1773">
        <v>-4258</v>
      </c>
    </row>
    <row r="1774" spans="1:4" x14ac:dyDescent="0.25">
      <c r="A1774" s="9" t="str">
        <f t="shared" si="35"/>
        <v>122023</v>
      </c>
      <c r="B1774" s="14">
        <v>45275</v>
      </c>
      <c r="C1774">
        <v>2909</v>
      </c>
    </row>
    <row r="1775" spans="1:4" x14ac:dyDescent="0.25">
      <c r="A1775" s="9" t="str">
        <f t="shared" si="35"/>
        <v>122023</v>
      </c>
      <c r="B1775" s="14">
        <v>45282</v>
      </c>
      <c r="C1775">
        <v>-7114</v>
      </c>
    </row>
    <row r="1776" spans="1:4" x14ac:dyDescent="0.25">
      <c r="A1776" s="9" t="str">
        <f t="shared" si="35"/>
        <v>122023</v>
      </c>
      <c r="B1776" s="14">
        <v>45289</v>
      </c>
      <c r="C1776">
        <v>-5503</v>
      </c>
    </row>
    <row r="1777" spans="1:3" x14ac:dyDescent="0.25">
      <c r="A1777" s="9" t="str">
        <f t="shared" si="35"/>
        <v>12024</v>
      </c>
      <c r="B1777" s="14">
        <v>45296</v>
      </c>
      <c r="C1777">
        <v>1338</v>
      </c>
    </row>
    <row r="1778" spans="1:3" x14ac:dyDescent="0.25">
      <c r="A1778" s="9" t="str">
        <f t="shared" si="35"/>
        <v>12024</v>
      </c>
      <c r="B1778" s="14">
        <v>45303</v>
      </c>
      <c r="C1778">
        <v>-2492</v>
      </c>
    </row>
    <row r="1779" spans="1:3" x14ac:dyDescent="0.25">
      <c r="A1779" s="9" t="str">
        <f t="shared" si="35"/>
        <v>12024</v>
      </c>
      <c r="B1779" s="14">
        <v>45310</v>
      </c>
      <c r="C1779">
        <v>-9233</v>
      </c>
    </row>
    <row r="1780" spans="1:3" x14ac:dyDescent="0.25">
      <c r="A1780" s="9" t="str">
        <f t="shared" si="35"/>
        <v>12024</v>
      </c>
      <c r="B1780" s="14">
        <v>45317</v>
      </c>
      <c r="C1780">
        <v>1234</v>
      </c>
    </row>
    <row r="1781" spans="1:3" x14ac:dyDescent="0.25">
      <c r="A1781" s="9" t="str">
        <f t="shared" si="35"/>
        <v>22024</v>
      </c>
      <c r="B1781" s="14">
        <v>45324</v>
      </c>
      <c r="C1781">
        <v>5520</v>
      </c>
    </row>
    <row r="1782" spans="1:3" x14ac:dyDescent="0.25">
      <c r="A1782" s="9" t="str">
        <f t="shared" si="35"/>
        <v>22024</v>
      </c>
      <c r="B1782" s="14">
        <v>45331</v>
      </c>
      <c r="C1782">
        <v>12018</v>
      </c>
    </row>
    <row r="1783" spans="1:3" x14ac:dyDescent="0.25">
      <c r="A1783" s="9" t="str">
        <f t="shared" si="35"/>
        <v>22024</v>
      </c>
      <c r="B1783" s="14">
        <v>45338</v>
      </c>
      <c r="C1783">
        <v>3514</v>
      </c>
    </row>
    <row r="1784" spans="1:3" x14ac:dyDescent="0.25">
      <c r="A1784" s="9" t="str">
        <f t="shared" si="35"/>
        <v>22024</v>
      </c>
      <c r="B1784" s="14">
        <v>45345</v>
      </c>
      <c r="C1784">
        <v>4199</v>
      </c>
    </row>
    <row r="1785" spans="1:3" x14ac:dyDescent="0.25">
      <c r="A1785" s="9" t="str">
        <f t="shared" si="35"/>
        <v>32024</v>
      </c>
      <c r="B1785" s="14">
        <v>45352</v>
      </c>
      <c r="C1785">
        <v>1367</v>
      </c>
    </row>
    <row r="1786" spans="1:3" x14ac:dyDescent="0.25">
      <c r="A1786" s="9" t="str">
        <f t="shared" si="35"/>
        <v>32024</v>
      </c>
      <c r="B1786" s="14">
        <v>45359</v>
      </c>
      <c r="C1786">
        <v>-1536</v>
      </c>
    </row>
    <row r="1787" spans="1:3" x14ac:dyDescent="0.25">
      <c r="A1787" s="9" t="str">
        <f t="shared" si="35"/>
        <v>32024</v>
      </c>
      <c r="B1787" s="14">
        <v>45366</v>
      </c>
      <c r="C1787">
        <v>-1952</v>
      </c>
    </row>
    <row r="1788" spans="1:3" x14ac:dyDescent="0.25">
      <c r="A1788" s="9" t="str">
        <f t="shared" si="35"/>
        <v>32024</v>
      </c>
      <c r="B1788" s="14">
        <v>45373</v>
      </c>
      <c r="C1788">
        <v>3165</v>
      </c>
    </row>
    <row r="1789" spans="1:3" x14ac:dyDescent="0.25">
      <c r="A1789" s="9" t="str">
        <f t="shared" si="35"/>
        <v>32024</v>
      </c>
      <c r="B1789" s="14">
        <v>45380</v>
      </c>
      <c r="C1789">
        <v>3210</v>
      </c>
    </row>
    <row r="1790" spans="1:3" x14ac:dyDescent="0.25">
      <c r="A1790" s="9" t="str">
        <f t="shared" si="35"/>
        <v>42024</v>
      </c>
      <c r="B1790" s="14">
        <v>45387</v>
      </c>
      <c r="C1790">
        <v>5841</v>
      </c>
    </row>
    <row r="1791" spans="1:3" x14ac:dyDescent="0.25">
      <c r="A1791" s="9" t="str">
        <f t="shared" si="35"/>
        <v>42024</v>
      </c>
      <c r="B1791" s="14">
        <v>45394</v>
      </c>
      <c r="C1791">
        <v>2735</v>
      </c>
    </row>
    <row r="1792" spans="1:3" x14ac:dyDescent="0.25">
      <c r="A1792" s="9" t="str">
        <f t="shared" si="35"/>
        <v>42024</v>
      </c>
      <c r="B1792" s="14">
        <v>45401</v>
      </c>
      <c r="C1792">
        <v>-6368</v>
      </c>
    </row>
    <row r="1793" spans="1:3" x14ac:dyDescent="0.25">
      <c r="A1793" s="9" t="str">
        <f t="shared" si="35"/>
        <v>42024</v>
      </c>
      <c r="B1793" s="14">
        <v>45408</v>
      </c>
      <c r="C1793">
        <v>7265</v>
      </c>
    </row>
    <row r="1794" spans="1:3" x14ac:dyDescent="0.25">
      <c r="A1794" s="9" t="str">
        <f t="shared" si="35"/>
        <v>52024</v>
      </c>
      <c r="B1794" s="14">
        <v>45415</v>
      </c>
      <c r="C1794">
        <v>-1362</v>
      </c>
    </row>
    <row r="1795" spans="1:3" x14ac:dyDescent="0.25">
      <c r="A1795" s="9" t="str">
        <f t="shared" si="35"/>
        <v>52024</v>
      </c>
      <c r="B1795" s="14">
        <v>45422</v>
      </c>
      <c r="C1795">
        <v>-2508</v>
      </c>
    </row>
    <row r="1796" spans="1:3" x14ac:dyDescent="0.25">
      <c r="A1796" s="9" t="str">
        <f t="shared" ref="A1796:A1855" si="36">MONTH(B1796)&amp;YEAR(B1796)</f>
        <v>52024</v>
      </c>
      <c r="B1796" s="14">
        <v>45429</v>
      </c>
      <c r="C1796">
        <v>1825</v>
      </c>
    </row>
    <row r="1797" spans="1:3" x14ac:dyDescent="0.25">
      <c r="A1797" s="9" t="str">
        <f t="shared" si="36"/>
        <v>52024</v>
      </c>
      <c r="B1797" s="14">
        <v>45436</v>
      </c>
      <c r="C1797">
        <v>-4156</v>
      </c>
    </row>
    <row r="1798" spans="1:3" x14ac:dyDescent="0.25">
      <c r="A1798" s="9" t="str">
        <f t="shared" si="36"/>
        <v>52024</v>
      </c>
      <c r="B1798" s="14">
        <v>45443</v>
      </c>
      <c r="C1798">
        <v>1233</v>
      </c>
    </row>
    <row r="1799" spans="1:3" x14ac:dyDescent="0.25">
      <c r="A1799" s="9" t="str">
        <f t="shared" si="36"/>
        <v>62024</v>
      </c>
      <c r="B1799" s="14">
        <v>45450</v>
      </c>
      <c r="C1799">
        <v>3730</v>
      </c>
    </row>
    <row r="1800" spans="1:3" x14ac:dyDescent="0.25">
      <c r="A1800" s="9" t="str">
        <f t="shared" si="36"/>
        <v>62024</v>
      </c>
      <c r="B1800" s="14">
        <v>45457</v>
      </c>
      <c r="C1800">
        <v>-2547</v>
      </c>
    </row>
    <row r="1801" spans="1:3" x14ac:dyDescent="0.25">
      <c r="A1801" s="9" t="str">
        <f t="shared" si="36"/>
        <v>62024</v>
      </c>
      <c r="B1801" s="14">
        <v>45464</v>
      </c>
      <c r="C1801">
        <v>3591</v>
      </c>
    </row>
    <row r="1802" spans="1:3" x14ac:dyDescent="0.25">
      <c r="A1802" s="9" t="str">
        <f t="shared" si="36"/>
        <v>62024</v>
      </c>
      <c r="B1802" s="14">
        <v>45471</v>
      </c>
      <c r="C1802">
        <v>-12157</v>
      </c>
    </row>
    <row r="1803" spans="1:3" x14ac:dyDescent="0.25">
      <c r="A1803" s="9" t="str">
        <f t="shared" si="36"/>
        <v>72024</v>
      </c>
      <c r="B1803" s="14">
        <v>45478</v>
      </c>
      <c r="C1803">
        <v>-3443</v>
      </c>
    </row>
    <row r="1804" spans="1:3" x14ac:dyDescent="0.25">
      <c r="A1804" s="9" t="str">
        <f t="shared" si="36"/>
        <v>72024</v>
      </c>
      <c r="B1804" s="14">
        <v>45485</v>
      </c>
      <c r="C1804">
        <v>-4870</v>
      </c>
    </row>
    <row r="1805" spans="1:3" x14ac:dyDescent="0.25">
      <c r="A1805" s="9" t="str">
        <f t="shared" si="36"/>
        <v>72024</v>
      </c>
      <c r="B1805" s="14">
        <v>45492</v>
      </c>
      <c r="C1805">
        <v>-3741</v>
      </c>
    </row>
    <row r="1806" spans="1:3" x14ac:dyDescent="0.25">
      <c r="A1806" s="9" t="str">
        <f t="shared" si="36"/>
        <v>72024</v>
      </c>
      <c r="B1806" s="14">
        <v>45499</v>
      </c>
      <c r="C1806">
        <v>-3436</v>
      </c>
    </row>
    <row r="1807" spans="1:3" x14ac:dyDescent="0.25">
      <c r="A1807" s="9" t="str">
        <f t="shared" si="36"/>
        <v>82024</v>
      </c>
      <c r="B1807" s="14">
        <v>45506</v>
      </c>
      <c r="C1807">
        <v>-3728</v>
      </c>
    </row>
    <row r="1808" spans="1:3" x14ac:dyDescent="0.25">
      <c r="A1808" s="9" t="str">
        <f t="shared" si="36"/>
        <v>82024</v>
      </c>
      <c r="B1808" s="14">
        <v>45513</v>
      </c>
      <c r="C1808">
        <v>1357</v>
      </c>
    </row>
    <row r="1809" spans="1:3" x14ac:dyDescent="0.25">
      <c r="A1809" s="9" t="str">
        <f t="shared" si="36"/>
        <v>82024</v>
      </c>
      <c r="B1809" s="14">
        <v>45520</v>
      </c>
      <c r="C1809">
        <v>-4649</v>
      </c>
    </row>
    <row r="1810" spans="1:3" x14ac:dyDescent="0.25">
      <c r="A1810" s="9" t="str">
        <f t="shared" si="36"/>
        <v>82024</v>
      </c>
      <c r="B1810" s="14">
        <v>45527</v>
      </c>
      <c r="C1810">
        <v>-846</v>
      </c>
    </row>
    <row r="1811" spans="1:3" x14ac:dyDescent="0.25">
      <c r="A1811" s="9" t="str">
        <f t="shared" si="36"/>
        <v>82024</v>
      </c>
      <c r="B1811" s="14">
        <v>45534</v>
      </c>
      <c r="C1811">
        <v>-6873</v>
      </c>
    </row>
    <row r="1812" spans="1:3" x14ac:dyDescent="0.25">
      <c r="A1812" s="9" t="str">
        <f t="shared" si="36"/>
        <v>92024</v>
      </c>
      <c r="B1812" s="14">
        <v>45541</v>
      </c>
      <c r="C1812">
        <v>833</v>
      </c>
    </row>
    <row r="1813" spans="1:3" x14ac:dyDescent="0.25">
      <c r="A1813" s="9" t="str">
        <f t="shared" si="36"/>
        <v>92024</v>
      </c>
      <c r="B1813" s="14">
        <v>45548</v>
      </c>
      <c r="C1813">
        <v>-1630</v>
      </c>
    </row>
    <row r="1814" spans="1:3" x14ac:dyDescent="0.25">
      <c r="A1814" s="9" t="str">
        <f t="shared" si="36"/>
        <v>92024</v>
      </c>
      <c r="B1814" s="14">
        <v>45555</v>
      </c>
      <c r="C1814">
        <v>-4471</v>
      </c>
    </row>
    <row r="1815" spans="1:3" x14ac:dyDescent="0.25">
      <c r="A1815" s="9" t="str">
        <f t="shared" si="36"/>
        <v>92024</v>
      </c>
      <c r="B1815" s="14">
        <v>45562</v>
      </c>
      <c r="C1815">
        <v>3889</v>
      </c>
    </row>
    <row r="1816" spans="1:3" x14ac:dyDescent="0.25">
      <c r="A1816" s="9" t="str">
        <f t="shared" si="36"/>
        <v>102024</v>
      </c>
      <c r="B1816" s="14">
        <v>45569</v>
      </c>
      <c r="C1816">
        <v>5810</v>
      </c>
    </row>
    <row r="1817" spans="1:3" x14ac:dyDescent="0.25">
      <c r="A1817" s="9" t="str">
        <f t="shared" si="36"/>
        <v>102024</v>
      </c>
      <c r="B1817" s="14">
        <v>45576</v>
      </c>
      <c r="C1817">
        <v>-2191</v>
      </c>
    </row>
    <row r="1818" spans="1:3" x14ac:dyDescent="0.25">
      <c r="A1818" s="9" t="str">
        <f t="shared" si="36"/>
        <v>102024</v>
      </c>
      <c r="B1818" s="14">
        <v>45583</v>
      </c>
      <c r="C1818">
        <v>5474</v>
      </c>
    </row>
    <row r="1819" spans="1:3" x14ac:dyDescent="0.25">
      <c r="A1819" s="9" t="str">
        <f t="shared" si="36"/>
        <v>102024</v>
      </c>
      <c r="B1819" s="14">
        <v>45590</v>
      </c>
      <c r="C1819">
        <v>-515</v>
      </c>
    </row>
    <row r="1820" spans="1:3" x14ac:dyDescent="0.25">
      <c r="A1820" s="9" t="str">
        <f t="shared" si="36"/>
        <v>112024</v>
      </c>
      <c r="B1820" s="14">
        <v>45597</v>
      </c>
      <c r="C1820">
        <v>2149</v>
      </c>
    </row>
    <row r="1821" spans="1:3" x14ac:dyDescent="0.25">
      <c r="A1821" s="9" t="str">
        <f t="shared" si="36"/>
        <v>112024</v>
      </c>
      <c r="B1821" s="14">
        <v>45604</v>
      </c>
      <c r="C1821">
        <v>2089</v>
      </c>
    </row>
    <row r="1822" spans="1:3" x14ac:dyDescent="0.25">
      <c r="A1822" s="9" t="str">
        <f t="shared" si="36"/>
        <v>112024</v>
      </c>
      <c r="B1822" s="14">
        <v>45611</v>
      </c>
      <c r="C1822">
        <v>545</v>
      </c>
    </row>
    <row r="1823" spans="1:3" x14ac:dyDescent="0.25">
      <c r="A1823" s="9" t="str">
        <f t="shared" si="36"/>
        <v>112024</v>
      </c>
      <c r="B1823" s="14">
        <v>45618</v>
      </c>
      <c r="C1823">
        <v>-1844</v>
      </c>
    </row>
    <row r="1824" spans="1:3" x14ac:dyDescent="0.25">
      <c r="A1824" s="9" t="str">
        <f t="shared" si="36"/>
        <v>112024</v>
      </c>
      <c r="B1824" s="14">
        <v>45625</v>
      </c>
      <c r="C1824">
        <v>-5073</v>
      </c>
    </row>
    <row r="1825" spans="1:3" x14ac:dyDescent="0.25">
      <c r="A1825" s="9" t="str">
        <f t="shared" si="36"/>
        <v>122024</v>
      </c>
      <c r="B1825" s="14">
        <v>45632</v>
      </c>
      <c r="C1825">
        <v>-1425</v>
      </c>
    </row>
    <row r="1826" spans="1:3" x14ac:dyDescent="0.25">
      <c r="A1826" s="9" t="str">
        <f t="shared" si="36"/>
        <v>122024</v>
      </c>
      <c r="B1826" s="14">
        <v>45639</v>
      </c>
      <c r="C1826">
        <v>-934</v>
      </c>
    </row>
    <row r="1827" spans="1:3" x14ac:dyDescent="0.25">
      <c r="A1827" s="9" t="str">
        <f t="shared" si="36"/>
        <v>122024</v>
      </c>
      <c r="B1827" s="14">
        <v>45646</v>
      </c>
      <c r="C1827">
        <v>-4237</v>
      </c>
    </row>
    <row r="1828" spans="1:3" x14ac:dyDescent="0.25">
      <c r="A1828" s="9" t="str">
        <f t="shared" si="36"/>
        <v>122024</v>
      </c>
      <c r="B1828" s="14">
        <v>45653</v>
      </c>
      <c r="C1828">
        <v>-1178</v>
      </c>
    </row>
    <row r="1829" spans="1:3" x14ac:dyDescent="0.25">
      <c r="A1829" s="9" t="str">
        <f t="shared" si="36"/>
        <v>12025</v>
      </c>
      <c r="B1829" s="14">
        <v>45660</v>
      </c>
      <c r="C1829">
        <v>-959</v>
      </c>
    </row>
    <row r="1830" spans="1:3" x14ac:dyDescent="0.25">
      <c r="A1830" s="9" t="str">
        <f t="shared" si="36"/>
        <v>12025</v>
      </c>
      <c r="B1830" s="14">
        <v>45667</v>
      </c>
      <c r="C1830">
        <v>-1962</v>
      </c>
    </row>
    <row r="1831" spans="1:3" x14ac:dyDescent="0.25">
      <c r="A1831" s="9" t="str">
        <f t="shared" si="36"/>
        <v>12025</v>
      </c>
      <c r="B1831" s="14">
        <v>45674</v>
      </c>
      <c r="C1831">
        <v>-1017</v>
      </c>
    </row>
    <row r="1832" spans="1:3" x14ac:dyDescent="0.25">
      <c r="A1832" s="9" t="str">
        <f t="shared" si="36"/>
        <v>12025</v>
      </c>
      <c r="B1832" s="14">
        <v>45681</v>
      </c>
      <c r="C1832">
        <v>3463</v>
      </c>
    </row>
    <row r="1833" spans="1:3" x14ac:dyDescent="0.25">
      <c r="A1833" s="9" t="str">
        <f t="shared" si="36"/>
        <v>12025</v>
      </c>
      <c r="B1833" s="14">
        <v>45688</v>
      </c>
      <c r="C1833">
        <v>8664</v>
      </c>
    </row>
    <row r="1834" spans="1:3" x14ac:dyDescent="0.25">
      <c r="A1834" s="9" t="str">
        <f t="shared" si="36"/>
        <v>22025</v>
      </c>
      <c r="B1834" s="14">
        <v>45695</v>
      </c>
      <c r="C1834">
        <v>4070</v>
      </c>
    </row>
    <row r="1835" spans="1:3" x14ac:dyDescent="0.25">
      <c r="A1835" s="9" t="str">
        <f t="shared" si="36"/>
        <v>22025</v>
      </c>
      <c r="B1835" s="14">
        <v>45702</v>
      </c>
      <c r="C1835">
        <v>4633</v>
      </c>
    </row>
    <row r="1836" spans="1:3" x14ac:dyDescent="0.25">
      <c r="A1836" s="9" t="str">
        <f t="shared" si="36"/>
        <v>22025</v>
      </c>
      <c r="B1836" s="14">
        <v>45709</v>
      </c>
      <c r="C1836">
        <v>-2332</v>
      </c>
    </row>
    <row r="1837" spans="1:3" x14ac:dyDescent="0.25">
      <c r="A1837" s="9" t="str">
        <f t="shared" si="36"/>
        <v>22025</v>
      </c>
      <c r="B1837" s="14">
        <v>45716</v>
      </c>
      <c r="C1837">
        <v>3614</v>
      </c>
    </row>
    <row r="1838" spans="1:3" x14ac:dyDescent="0.25">
      <c r="A1838" s="9" t="str">
        <f t="shared" si="36"/>
        <v>32025</v>
      </c>
      <c r="B1838" s="14">
        <v>45723</v>
      </c>
      <c r="C1838">
        <v>1448</v>
      </c>
    </row>
    <row r="1839" spans="1:3" x14ac:dyDescent="0.25">
      <c r="A1839" s="9" t="str">
        <f t="shared" si="36"/>
        <v>32025</v>
      </c>
      <c r="B1839" s="14">
        <v>45730</v>
      </c>
      <c r="C1839">
        <v>1745</v>
      </c>
    </row>
    <row r="1840" spans="1:3" x14ac:dyDescent="0.25">
      <c r="A1840" s="9" t="str">
        <f t="shared" si="36"/>
        <v>32025</v>
      </c>
      <c r="B1840" s="14">
        <v>45737</v>
      </c>
      <c r="C1840">
        <v>-3341</v>
      </c>
    </row>
    <row r="1841" spans="1:3" x14ac:dyDescent="0.25">
      <c r="A1841" s="9" t="str">
        <f t="shared" si="36"/>
        <v>32025</v>
      </c>
      <c r="B1841" s="14">
        <v>45744</v>
      </c>
      <c r="C1841">
        <v>6165</v>
      </c>
    </row>
    <row r="1842" spans="1:3" x14ac:dyDescent="0.25">
      <c r="A1842" s="9" t="str">
        <f t="shared" si="36"/>
        <v>42025</v>
      </c>
      <c r="B1842" s="14">
        <v>45751</v>
      </c>
      <c r="C1842">
        <v>2553</v>
      </c>
    </row>
    <row r="1843" spans="1:3" x14ac:dyDescent="0.25">
      <c r="A1843" s="9" t="str">
        <f t="shared" si="36"/>
        <v>42025</v>
      </c>
      <c r="B1843" s="14">
        <v>45758</v>
      </c>
      <c r="C1843">
        <v>515</v>
      </c>
    </row>
    <row r="1844" spans="1:3" x14ac:dyDescent="0.25">
      <c r="A1844" s="9" t="str">
        <f t="shared" si="36"/>
        <v>42025</v>
      </c>
      <c r="B1844" s="14">
        <v>45765</v>
      </c>
      <c r="C1844">
        <v>244</v>
      </c>
    </row>
    <row r="1845" spans="1:3" x14ac:dyDescent="0.25">
      <c r="A1845" s="9" t="str">
        <f t="shared" si="36"/>
        <v>42025</v>
      </c>
      <c r="B1845" s="14">
        <v>45772</v>
      </c>
      <c r="C1845">
        <v>-2696</v>
      </c>
    </row>
    <row r="1846" spans="1:3" x14ac:dyDescent="0.25">
      <c r="A1846" s="9" t="str">
        <f t="shared" si="36"/>
        <v>52025</v>
      </c>
      <c r="B1846" s="14">
        <v>45779</v>
      </c>
      <c r="C1846">
        <v>-2032</v>
      </c>
    </row>
    <row r="1847" spans="1:3" x14ac:dyDescent="0.25">
      <c r="A1847" s="9" t="str">
        <f t="shared" si="36"/>
        <v>52025</v>
      </c>
      <c r="B1847" s="14">
        <v>45786</v>
      </c>
      <c r="C1847">
        <v>3454</v>
      </c>
    </row>
    <row r="1848" spans="1:3" x14ac:dyDescent="0.25">
      <c r="A1848" s="9" t="str">
        <f t="shared" si="36"/>
        <v>52025</v>
      </c>
      <c r="B1848" s="14">
        <v>45793</v>
      </c>
      <c r="C1848">
        <v>1328</v>
      </c>
    </row>
    <row r="1849" spans="1:3" x14ac:dyDescent="0.25">
      <c r="A1849" s="9" t="str">
        <f t="shared" si="36"/>
        <v>52025</v>
      </c>
      <c r="B1849" s="14">
        <v>45800</v>
      </c>
      <c r="C1849">
        <v>-2795</v>
      </c>
    </row>
    <row r="1850" spans="1:3" x14ac:dyDescent="0.25">
      <c r="A1850" s="9" t="str">
        <f t="shared" si="36"/>
        <v>52025</v>
      </c>
      <c r="B1850" s="14">
        <v>45807</v>
      </c>
      <c r="C1850">
        <v>-4304</v>
      </c>
    </row>
    <row r="1851" spans="1:3" x14ac:dyDescent="0.25">
      <c r="A1851" s="9" t="str">
        <f t="shared" si="36"/>
        <v>62025</v>
      </c>
      <c r="B1851" s="14">
        <v>45814</v>
      </c>
      <c r="C1851">
        <v>-3644</v>
      </c>
    </row>
    <row r="1852" spans="1:3" x14ac:dyDescent="0.25">
      <c r="A1852" s="9" t="str">
        <f t="shared" si="36"/>
        <v>62025</v>
      </c>
      <c r="B1852" s="14">
        <v>45821</v>
      </c>
      <c r="C1852">
        <v>-11473</v>
      </c>
    </row>
    <row r="1853" spans="1:3" x14ac:dyDescent="0.25">
      <c r="A1853" s="9" t="str">
        <f t="shared" si="36"/>
        <v>62025</v>
      </c>
      <c r="B1853" s="14">
        <v>45828</v>
      </c>
      <c r="C1853">
        <v>-5836</v>
      </c>
    </row>
    <row r="1854" spans="1:3" x14ac:dyDescent="0.25">
      <c r="A1854" s="9" t="str">
        <f t="shared" si="36"/>
        <v>62025</v>
      </c>
      <c r="B1854" s="14">
        <v>45835</v>
      </c>
      <c r="C1854">
        <v>3845</v>
      </c>
    </row>
    <row r="1855" spans="1:3" x14ac:dyDescent="0.25">
      <c r="A1855" s="9" t="str">
        <f t="shared" si="36"/>
        <v>72025</v>
      </c>
      <c r="B1855" s="14">
        <v>45842</v>
      </c>
      <c r="C1855">
        <v>7070</v>
      </c>
    </row>
    <row r="1856" spans="1:3" x14ac:dyDescent="0.25">
      <c r="B1856" s="14">
        <v>45849</v>
      </c>
      <c r="C1856">
        <v>-3859</v>
      </c>
    </row>
    <row r="1857" spans="2:3" x14ac:dyDescent="0.25">
      <c r="B1857" s="14">
        <v>45856</v>
      </c>
      <c r="C1857">
        <v>-3169</v>
      </c>
    </row>
    <row r="1858" spans="2:3" x14ac:dyDescent="0.25">
      <c r="B1858" s="14">
        <v>45863</v>
      </c>
      <c r="C1858">
        <v>7698</v>
      </c>
    </row>
    <row r="1859" spans="2:3" x14ac:dyDescent="0.25">
      <c r="B1859" s="14">
        <v>45870</v>
      </c>
      <c r="C1859">
        <v>-3029</v>
      </c>
    </row>
    <row r="1860" spans="2:3" x14ac:dyDescent="0.25">
      <c r="B1860" s="14">
        <v>45877</v>
      </c>
      <c r="C1860">
        <v>3036</v>
      </c>
    </row>
    <row r="1861" spans="2:3" x14ac:dyDescent="0.25">
      <c r="B1861" s="14">
        <v>45884</v>
      </c>
      <c r="C1861">
        <v>-6014</v>
      </c>
    </row>
    <row r="1862" spans="2:3" x14ac:dyDescent="0.25">
      <c r="B1862" s="14">
        <v>45891</v>
      </c>
      <c r="C1862">
        <v>-2392</v>
      </c>
    </row>
    <row r="1863" spans="2:3" x14ac:dyDescent="0.25">
      <c r="B1863" s="14">
        <v>45898</v>
      </c>
      <c r="C1863">
        <v>2415</v>
      </c>
    </row>
    <row r="1864" spans="2:3" x14ac:dyDescent="0.25">
      <c r="B1864" s="14">
        <v>45905</v>
      </c>
      <c r="C1864">
        <v>3939</v>
      </c>
    </row>
    <row r="1865" spans="2:3" x14ac:dyDescent="0.25">
      <c r="B1865" s="14">
        <v>45912</v>
      </c>
      <c r="C1865">
        <v>-9285</v>
      </c>
    </row>
    <row r="1866" spans="2:3" x14ac:dyDescent="0.25">
      <c r="B1866" s="14">
        <v>45919</v>
      </c>
      <c r="C1866">
        <v>-607</v>
      </c>
    </row>
    <row r="1867" spans="2:3" x14ac:dyDescent="0.25">
      <c r="B1867" s="14">
        <v>45926</v>
      </c>
      <c r="C1867">
        <v>1792</v>
      </c>
    </row>
    <row r="1868" spans="2:3" x14ac:dyDescent="0.25">
      <c r="B1868" s="14">
        <v>45933</v>
      </c>
      <c r="C1868">
        <v>3715</v>
      </c>
    </row>
    <row r="1869" spans="2:3" x14ac:dyDescent="0.25">
      <c r="B1869" s="14">
        <v>45940</v>
      </c>
      <c r="C1869">
        <v>3524</v>
      </c>
    </row>
    <row r="1870" spans="2:3" x14ac:dyDescent="0.25">
      <c r="B1870" s="14">
        <v>45947</v>
      </c>
      <c r="C1870">
        <v>-961</v>
      </c>
    </row>
    <row r="1871" spans="2:3" x14ac:dyDescent="0.25">
      <c r="B1871" s="14">
        <v>45954</v>
      </c>
      <c r="C1871">
        <v>-6858</v>
      </c>
    </row>
    <row r="1872" spans="2:3" x14ac:dyDescent="0.25">
      <c r="B1872" s="14">
        <v>45961</v>
      </c>
      <c r="C1872">
        <v>5202</v>
      </c>
    </row>
    <row r="1873" spans="2:3" x14ac:dyDescent="0.25">
      <c r="B1873" s="14">
        <v>45968</v>
      </c>
      <c r="C1873">
        <v>6413</v>
      </c>
    </row>
    <row r="1874" spans="2:3" x14ac:dyDescent="0.25">
      <c r="B1874" s="14">
        <v>45975</v>
      </c>
      <c r="C1874">
        <v>-3426</v>
      </c>
    </row>
    <row r="1875" spans="2:3" x14ac:dyDescent="0.25">
      <c r="B1875" s="14">
        <v>45982</v>
      </c>
      <c r="C1875">
        <v>2774</v>
      </c>
    </row>
    <row r="1876" spans="2:3" x14ac:dyDescent="0.25">
      <c r="B1876" s="14">
        <v>45989</v>
      </c>
      <c r="C1876">
        <v>574</v>
      </c>
    </row>
    <row r="1877" spans="2:3" x14ac:dyDescent="0.25">
      <c r="B1877" s="14">
        <v>45996</v>
      </c>
      <c r="C1877">
        <v>-1812</v>
      </c>
    </row>
    <row r="1878" spans="2:3" x14ac:dyDescent="0.25">
      <c r="B1878" s="14">
        <v>46003</v>
      </c>
      <c r="C1878">
        <v>-1274</v>
      </c>
    </row>
    <row r="1879" spans="2:3" x14ac:dyDescent="0.25">
      <c r="B1879" s="14">
        <v>46010</v>
      </c>
      <c r="C1879">
        <v>405</v>
      </c>
    </row>
    <row r="1880" spans="2:3" x14ac:dyDescent="0.25">
      <c r="B1880" s="14">
        <v>46017</v>
      </c>
      <c r="C1880">
        <v>-1934</v>
      </c>
    </row>
    <row r="1881" spans="2:3" x14ac:dyDescent="0.25">
      <c r="B1881" s="14">
        <v>46024</v>
      </c>
      <c r="C1881">
        <v>-3832</v>
      </c>
    </row>
    <row r="1882" spans="2:3" x14ac:dyDescent="0.25">
      <c r="B1882" s="14">
        <v>46031</v>
      </c>
      <c r="C1882">
        <v>3391</v>
      </c>
    </row>
    <row r="1883" spans="2:3" x14ac:dyDescent="0.25">
      <c r="B1883" s="14">
        <v>46038</v>
      </c>
      <c r="C1883">
        <v>3602</v>
      </c>
    </row>
    <row r="1884" spans="2:3" x14ac:dyDescent="0.25">
      <c r="B1884" s="14">
        <v>46045</v>
      </c>
      <c r="C1884">
        <v>-2295</v>
      </c>
    </row>
    <row r="1885" spans="2:3" x14ac:dyDescent="0.25">
      <c r="B1885" s="14">
        <v>46052</v>
      </c>
      <c r="C1885">
        <v>-3455</v>
      </c>
    </row>
    <row r="1886" spans="2:3" x14ac:dyDescent="0.25">
      <c r="B1886" s="14">
        <v>46059</v>
      </c>
      <c r="C1886">
        <v>8530</v>
      </c>
    </row>
    <row r="1887" spans="2:3" x14ac:dyDescent="0.25">
      <c r="B1887" s="14">
        <v>46066</v>
      </c>
      <c r="C1887">
        <v>-9014</v>
      </c>
    </row>
    <row r="1888" spans="2:3" x14ac:dyDescent="0.25">
      <c r="B1888" s="14">
        <v>46073</v>
      </c>
      <c r="C1888">
        <v>15989</v>
      </c>
    </row>
    <row r="1889" spans="2:3" x14ac:dyDescent="0.25">
      <c r="B1889" s="14">
        <v>46080</v>
      </c>
      <c r="C1889">
        <v>3475</v>
      </c>
    </row>
    <row r="1890" spans="2:3" x14ac:dyDescent="0.25">
      <c r="B1890" s="14">
        <v>46087</v>
      </c>
      <c r="C1890">
        <v>3824</v>
      </c>
    </row>
    <row r="1891" spans="2:3" x14ac:dyDescent="0.25">
      <c r="B1891" s="14">
        <v>46094</v>
      </c>
      <c r="C1891">
        <v>6156</v>
      </c>
    </row>
    <row r="1892" spans="2:3" x14ac:dyDescent="0.25">
      <c r="B1892" s="14">
        <v>46101</v>
      </c>
      <c r="C1892">
        <v>6926</v>
      </c>
    </row>
    <row r="1893" spans="2:3" x14ac:dyDescent="0.25">
      <c r="B1893" s="14">
        <v>46108</v>
      </c>
      <c r="C1893">
        <v>5451</v>
      </c>
    </row>
    <row r="1894" spans="2:3" x14ac:dyDescent="0.25">
      <c r="B1894" s="14">
        <v>46115</v>
      </c>
      <c r="C1894">
        <v>3081</v>
      </c>
    </row>
    <row r="1895" spans="2:3" x14ac:dyDescent="0.25">
      <c r="B1895" s="14">
        <v>46122</v>
      </c>
      <c r="C1895">
        <v>-913</v>
      </c>
    </row>
    <row r="1896" spans="2:3" x14ac:dyDescent="0.25">
      <c r="B1896" s="14">
        <v>46129</v>
      </c>
      <c r="C1896">
        <v>1925</v>
      </c>
    </row>
    <row r="1897" spans="2:3" x14ac:dyDescent="0.25">
      <c r="B1897" s="14">
        <v>46136</v>
      </c>
      <c r="C1897">
        <v>-6234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13EE-8624-4B92-86EC-092FEB9E93BF}">
  <dimension ref="A1:X421"/>
  <sheetViews>
    <sheetView workbookViewId="0">
      <pane xSplit="2" ySplit="1" topLeftCell="C381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RowHeight="15" x14ac:dyDescent="0.25"/>
  <cols>
    <col min="2" max="2" width="10.7109375" style="9" bestFit="1" customWidth="1"/>
    <col min="3" max="3" width="13.140625" style="1" bestFit="1" customWidth="1"/>
    <col min="4" max="4" width="14.7109375" style="1" bestFit="1" customWidth="1"/>
    <col min="5" max="6" width="13.140625" style="1" bestFit="1" customWidth="1"/>
    <col min="7" max="7" width="13.28515625" style="1" bestFit="1" customWidth="1"/>
    <col min="8" max="8" width="13.140625" style="1" bestFit="1" customWidth="1"/>
    <col min="9" max="9" width="13.5703125" style="1" bestFit="1" customWidth="1"/>
    <col min="10" max="10" width="8.85546875" style="1" bestFit="1" customWidth="1"/>
    <col min="11" max="11" width="14.42578125" style="1" bestFit="1" customWidth="1"/>
    <col min="12" max="12" width="13.42578125" style="1" bestFit="1" customWidth="1"/>
    <col min="13" max="13" width="15.140625" style="8" bestFit="1" customWidth="1"/>
    <col min="14" max="14" width="12.7109375" style="8" bestFit="1" customWidth="1"/>
    <col min="15" max="15" width="13.5703125" style="8" bestFit="1" customWidth="1"/>
    <col min="16" max="16" width="12.7109375" style="8" bestFit="1" customWidth="1"/>
    <col min="17" max="17" width="12.85546875" style="8" bestFit="1" customWidth="1"/>
    <col min="18" max="18" width="12.7109375" style="8" bestFit="1" customWidth="1"/>
    <col min="19" max="19" width="13.28515625" style="8" bestFit="1" customWidth="1"/>
    <col min="20" max="20" width="13.85546875" style="8" bestFit="1" customWidth="1"/>
    <col min="21" max="21" width="14.28515625" style="8" bestFit="1" customWidth="1"/>
    <col min="22" max="22" width="8" style="10" bestFit="1" customWidth="1"/>
  </cols>
  <sheetData>
    <row r="1" spans="1:24" x14ac:dyDescent="0.25">
      <c r="C1" s="1" t="s">
        <v>45</v>
      </c>
      <c r="D1" s="1" t="s">
        <v>41</v>
      </c>
      <c r="E1" s="1" t="s">
        <v>44</v>
      </c>
      <c r="F1" s="1" t="s">
        <v>43</v>
      </c>
      <c r="G1" s="1" t="s">
        <v>46</v>
      </c>
      <c r="H1" s="1" t="s">
        <v>47</v>
      </c>
      <c r="I1" s="1" t="s">
        <v>48</v>
      </c>
      <c r="J1" s="1" t="s">
        <v>62</v>
      </c>
      <c r="K1" s="1" t="s">
        <v>50</v>
      </c>
      <c r="L1" s="1" t="s">
        <v>51</v>
      </c>
      <c r="M1" s="8" t="s">
        <v>52</v>
      </c>
      <c r="N1" s="8" t="s">
        <v>53</v>
      </c>
      <c r="O1" s="8" t="s">
        <v>61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  <c r="V1" s="10" t="s">
        <v>60</v>
      </c>
      <c r="X1" s="1" t="s">
        <v>45</v>
      </c>
    </row>
    <row r="2" spans="1:24" x14ac:dyDescent="0.25">
      <c r="A2" s="9" t="str">
        <f>MONTH(B2)&amp;YEAR(B2)</f>
        <v>11990</v>
      </c>
      <c r="B2" s="9">
        <v>32904</v>
      </c>
      <c r="C2" s="1">
        <f>IFERROR(VLOOKUP(B2,Petróleo!A:B,2,FALSE),"")</f>
        <v>7546</v>
      </c>
      <c r="D2" s="1">
        <f>IFERROR(VLOOKUP(B2,Estoque_US!D:E,2,FALSE),"")</f>
        <v>-79</v>
      </c>
      <c r="E2" s="1" t="str">
        <f>IFERROR(VLOOKUP(B2,Petróleo!F:G,2,FALSE),"")</f>
        <v/>
      </c>
      <c r="F2" s="1" t="str">
        <f>IFERROR(VLOOKUP(B2,Petróleo!H:I,2,FALSE),"")</f>
        <v/>
      </c>
      <c r="G2" s="1" t="str">
        <f>IFERROR(VLOOKUP(B2,Petróleo!J:K,2,FALSE),"")</f>
        <v/>
      </c>
      <c r="H2" s="1" t="str">
        <f>IFERROR(VLOOKUP(B2,Petróleo!L:M,2,FALSE),"")</f>
        <v/>
      </c>
      <c r="I2" s="1" t="str">
        <f>IFERROR(VLOOKUP(B2,Petróleo!N:O,2,FALSE),"")</f>
        <v/>
      </c>
      <c r="J2" s="1" t="str">
        <f>IFERROR(VLOOKUP(B2,Petróleo!P:Q,2,FALSE),"")</f>
        <v/>
      </c>
      <c r="K2" s="1" t="str">
        <f>IFERROR(VLOOKUP(B2,Petróleo!R:S,2,FALSE),"")</f>
        <v/>
      </c>
      <c r="L2" s="1" t="str">
        <f>IFERROR(VLOOKUP(B2,Petróleo!T:U,2,FALSE),"")</f>
        <v/>
      </c>
      <c r="M2" s="8">
        <f>IFERROR(VLOOKUP($B$2,Petróleo!X:Y,2,FALSE),"")</f>
        <v>23320</v>
      </c>
      <c r="N2" s="8">
        <f>IFERROR(VLOOKUP(B2,Petróleo!Z:AA,2,FALSE),"")</f>
        <v>5775</v>
      </c>
      <c r="O2" s="8">
        <f>IFERROR(VLOOKUP(B2,Petróleo!AB:AC,2,FALSE),"")</f>
        <v>2000</v>
      </c>
      <c r="P2" s="8">
        <f>IFERROR(VLOOKUP(B2,Petróleo!AD:AE,2,FALSE),"")</f>
        <v>2500</v>
      </c>
      <c r="Q2" s="8">
        <f>IFERROR(VLOOKUP(B2,Petróleo!AF:AG,2,FALSE),"")</f>
        <v>3150</v>
      </c>
      <c r="R2" s="8">
        <f>IFERROR(VLOOKUP(B2,Petróleo!AH:AI,2,FALSE),"")</f>
        <v>1350</v>
      </c>
      <c r="S2" s="8">
        <f>IFERROR(VLOOKUP(B2,Petróleo!AJ:AK,2,FALSE),"")</f>
        <v>1700</v>
      </c>
      <c r="T2" s="8">
        <f>IFERROR(VLOOKUP(B2,Petróleo!AL:AM,2,FALSE),"")</f>
        <v>1950</v>
      </c>
      <c r="U2" s="8">
        <f>IFERROR(VLOOKUP(B2,Petróleo!AN:AO,2,FALSE),"")</f>
        <v>1975</v>
      </c>
      <c r="V2" s="10" t="str">
        <f>IFERROR(VLOOKUP(A2,Petróleo!AR:AT,3,FALSE),"")</f>
        <v/>
      </c>
      <c r="X2" s="1" t="s">
        <v>41</v>
      </c>
    </row>
    <row r="3" spans="1:24" x14ac:dyDescent="0.25">
      <c r="A3" s="9" t="str">
        <f t="shared" ref="A3:A66" si="0">MONTH(B3)&amp;YEAR(B3)</f>
        <v>21990</v>
      </c>
      <c r="B3" s="9">
        <v>32932</v>
      </c>
      <c r="C3" s="1">
        <f>IFERROR(VLOOKUP(B3,Petróleo!A:B,2,FALSE),"")</f>
        <v>7497</v>
      </c>
      <c r="D3" s="1">
        <f>IFERROR(VLOOKUP(B3,Estoque_US!D:E,2,FALSE),"")</f>
        <v>-2296</v>
      </c>
      <c r="E3" s="1" t="str">
        <f>IFERROR(VLOOKUP(B3,Petróleo!F:G,2,FALSE),"")</f>
        <v/>
      </c>
      <c r="F3" s="1" t="str">
        <f>IFERROR(VLOOKUP(B3,Petróleo!H:I,2,FALSE),"")</f>
        <v/>
      </c>
      <c r="G3" s="1" t="str">
        <f>IFERROR(VLOOKUP(B3,Petróleo!J:K,2,FALSE),"")</f>
        <v/>
      </c>
      <c r="H3" s="1" t="str">
        <f>IFERROR(VLOOKUP(B3,Petróleo!L:M,2,FALSE),"")</f>
        <v/>
      </c>
      <c r="I3" s="1" t="str">
        <f>IFERROR(VLOOKUP(B3,Petróleo!N:O,2,FALSE),"")</f>
        <v/>
      </c>
      <c r="J3" s="1" t="str">
        <f>IFERROR(VLOOKUP(B3,Petróleo!P:Q,2,FALSE),"")</f>
        <v/>
      </c>
      <c r="K3" s="1" t="str">
        <f>IFERROR(VLOOKUP(B3,Petróleo!R:S,2,FALSE),"")</f>
        <v/>
      </c>
      <c r="L3" s="1" t="str">
        <f>IFERROR(VLOOKUP(B3,Petróleo!T:U,2,FALSE),"")</f>
        <v/>
      </c>
      <c r="M3" s="8">
        <f>IFERROR(VLOOKUP(B3,Petróleo!X:Y,2,FALSE),"")</f>
        <v>23120</v>
      </c>
      <c r="N3" s="8">
        <f>IFERROR(VLOOKUP(B3,Petróleo!Z:AA,2,FALSE),"")</f>
        <v>5625</v>
      </c>
      <c r="O3" s="8">
        <f>IFERROR(VLOOKUP(B3,Petróleo!AB:AC,2,FALSE),"")</f>
        <v>2000</v>
      </c>
      <c r="P3" s="8">
        <f>IFERROR(VLOOKUP(B3,Petróleo!AD:AE,2,FALSE),"")</f>
        <v>2300</v>
      </c>
      <c r="Q3" s="8">
        <f>IFERROR(VLOOKUP(B3,Petróleo!AF:AG,2,FALSE),"")</f>
        <v>3100</v>
      </c>
      <c r="R3" s="8">
        <f>IFERROR(VLOOKUP(B3,Petróleo!AH:AI,2,FALSE),"")</f>
        <v>1350</v>
      </c>
      <c r="S3" s="8">
        <f>IFERROR(VLOOKUP(B3,Petróleo!AJ:AK,2,FALSE),"")</f>
        <v>1800</v>
      </c>
      <c r="T3" s="8">
        <f>IFERROR(VLOOKUP(B3,Petróleo!AL:AM,2,FALSE),"")</f>
        <v>2050</v>
      </c>
      <c r="U3" s="8">
        <f>IFERROR(VLOOKUP(B3,Petróleo!AN:AO,2,FALSE),"")</f>
        <v>1975</v>
      </c>
      <c r="V3" s="10" t="str">
        <f>IFERROR(VLOOKUP(A3,Petróleo!AR:AT,3,FALSE),"")</f>
        <v/>
      </c>
      <c r="X3" s="1" t="s">
        <v>44</v>
      </c>
    </row>
    <row r="4" spans="1:24" x14ac:dyDescent="0.25">
      <c r="A4" s="9" t="str">
        <f t="shared" si="0"/>
        <v>31990</v>
      </c>
      <c r="B4" s="9">
        <v>32963</v>
      </c>
      <c r="C4" s="1">
        <f>IFERROR(VLOOKUP(B4,Petróleo!A:B,2,FALSE),"")</f>
        <v>7433</v>
      </c>
      <c r="D4" s="1">
        <f>IFERROR(VLOOKUP(B4,Estoque_US!D:E,2,FALSE),"")</f>
        <v>20780</v>
      </c>
      <c r="E4" s="1" t="str">
        <f>IFERROR(VLOOKUP(B4,Petróleo!F:G,2,FALSE),"")</f>
        <v/>
      </c>
      <c r="F4" s="1" t="str">
        <f>IFERROR(VLOOKUP(B4,Petróleo!H:I,2,FALSE),"")</f>
        <v/>
      </c>
      <c r="G4" s="1" t="str">
        <f>IFERROR(VLOOKUP(B4,Petróleo!J:K,2,FALSE),"")</f>
        <v/>
      </c>
      <c r="H4" s="1" t="str">
        <f>IFERROR(VLOOKUP(B4,Petróleo!L:M,2,FALSE),"")</f>
        <v/>
      </c>
      <c r="I4" s="1" t="str">
        <f>IFERROR(VLOOKUP(B4,Petróleo!N:O,2,FALSE),"")</f>
        <v/>
      </c>
      <c r="J4" s="1" t="str">
        <f>IFERROR(VLOOKUP(B4,Petróleo!P:Q,2,FALSE),"")</f>
        <v/>
      </c>
      <c r="K4" s="1" t="str">
        <f>IFERROR(VLOOKUP(B4,Petróleo!R:S,2,FALSE),"")</f>
        <v/>
      </c>
      <c r="L4" s="1" t="str">
        <f>IFERROR(VLOOKUP(B4,Petróleo!T:U,2,FALSE),"")</f>
        <v/>
      </c>
      <c r="M4" s="8">
        <f>IFERROR(VLOOKUP(B4,Petróleo!X:Y,2,FALSE),"")</f>
        <v>24090</v>
      </c>
      <c r="N4" s="8">
        <f>IFERROR(VLOOKUP(B4,Petróleo!Z:AA,2,FALSE),"")</f>
        <v>5675</v>
      </c>
      <c r="O4" s="8">
        <f>IFERROR(VLOOKUP(B4,Petróleo!AB:AC,2,FALSE),"")</f>
        <v>2000</v>
      </c>
      <c r="P4" s="8">
        <f>IFERROR(VLOOKUP(B4,Petróleo!AD:AE,2,FALSE),"")</f>
        <v>3150</v>
      </c>
      <c r="Q4" s="8">
        <f>IFERROR(VLOOKUP(B4,Petróleo!AF:AG,2,FALSE),"")</f>
        <v>3100</v>
      </c>
      <c r="R4" s="8">
        <f>IFERROR(VLOOKUP(B4,Petróleo!AH:AI,2,FALSE),"")</f>
        <v>1350</v>
      </c>
      <c r="S4" s="8">
        <f>IFERROR(VLOOKUP(B4,Petróleo!AJ:AK,2,FALSE),"")</f>
        <v>1850</v>
      </c>
      <c r="T4" s="8">
        <f>IFERROR(VLOOKUP(B4,Petróleo!AL:AM,2,FALSE),"")</f>
        <v>1950</v>
      </c>
      <c r="U4" s="8">
        <f>IFERROR(VLOOKUP(B4,Petróleo!AN:AO,2,FALSE),"")</f>
        <v>2075</v>
      </c>
      <c r="V4" s="10" t="str">
        <f>IFERROR(VLOOKUP(A4,Petróleo!AR:AT,3,FALSE),"")</f>
        <v/>
      </c>
      <c r="X4" s="1" t="s">
        <v>43</v>
      </c>
    </row>
    <row r="5" spans="1:24" x14ac:dyDescent="0.25">
      <c r="A5" s="9" t="str">
        <f t="shared" si="0"/>
        <v>41990</v>
      </c>
      <c r="B5" s="9">
        <v>32993</v>
      </c>
      <c r="C5" s="1">
        <f>IFERROR(VLOOKUP(B5,Petróleo!A:B,2,FALSE),"")</f>
        <v>7407</v>
      </c>
      <c r="D5" s="1">
        <f>IFERROR(VLOOKUP(B5,Estoque_US!D:E,2,FALSE),"")</f>
        <v>10802</v>
      </c>
      <c r="E5" s="1" t="str">
        <f>IFERROR(VLOOKUP(B5,Petróleo!F:G,2,FALSE),"")</f>
        <v/>
      </c>
      <c r="F5" s="1" t="str">
        <f>IFERROR(VLOOKUP(B5,Petróleo!H:I,2,FALSE),"")</f>
        <v/>
      </c>
      <c r="G5" s="1" t="str">
        <f>IFERROR(VLOOKUP(B5,Petróleo!J:K,2,FALSE),"")</f>
        <v/>
      </c>
      <c r="H5" s="1" t="str">
        <f>IFERROR(VLOOKUP(B5,Petróleo!L:M,2,FALSE),"")</f>
        <v/>
      </c>
      <c r="I5" s="1" t="str">
        <f>IFERROR(VLOOKUP(B5,Petróleo!N:O,2,FALSE),"")</f>
        <v/>
      </c>
      <c r="J5" s="1" t="str">
        <f>IFERROR(VLOOKUP(B5,Petróleo!P:Q,2,FALSE),"")</f>
        <v/>
      </c>
      <c r="K5" s="1" t="str">
        <f>IFERROR(VLOOKUP(B5,Petróleo!R:S,2,FALSE),"")</f>
        <v/>
      </c>
      <c r="L5" s="1" t="str">
        <f>IFERROR(VLOOKUP(B5,Petróleo!T:U,2,FALSE),"")</f>
        <v/>
      </c>
      <c r="M5" s="8">
        <f>IFERROR(VLOOKUP(B5,Petróleo!X:Y,2,FALSE),"")</f>
        <v>23980</v>
      </c>
      <c r="N5" s="8">
        <f>IFERROR(VLOOKUP(B5,Petróleo!Z:AA,2,FALSE),"")</f>
        <v>5850</v>
      </c>
      <c r="O5" s="8">
        <f>IFERROR(VLOOKUP(B5,Petróleo!AB:AC,2,FALSE),"")</f>
        <v>2100</v>
      </c>
      <c r="P5" s="8">
        <f>IFERROR(VLOOKUP(B5,Petróleo!AD:AE,2,FALSE),"")</f>
        <v>3010</v>
      </c>
      <c r="Q5" s="8">
        <f>IFERROR(VLOOKUP(B5,Petróleo!AF:AG,2,FALSE),"")</f>
        <v>3050</v>
      </c>
      <c r="R5" s="8">
        <f>IFERROR(VLOOKUP(B5,Petróleo!AH:AI,2,FALSE),"")</f>
        <v>1300</v>
      </c>
      <c r="S5" s="8">
        <f>IFERROR(VLOOKUP(B5,Petróleo!AJ:AK,2,FALSE),"")</f>
        <v>1800</v>
      </c>
      <c r="T5" s="8">
        <f>IFERROR(VLOOKUP(B5,Petróleo!AL:AM,2,FALSE),"")</f>
        <v>2000</v>
      </c>
      <c r="U5" s="8">
        <f>IFERROR(VLOOKUP(B5,Petróleo!AN:AO,2,FALSE),"")</f>
        <v>1900</v>
      </c>
      <c r="V5" s="10" t="str">
        <f>IFERROR(VLOOKUP(A5,Petróleo!AR:AT,3,FALSE),"")</f>
        <v/>
      </c>
      <c r="X5" s="1" t="s">
        <v>46</v>
      </c>
    </row>
    <row r="6" spans="1:24" x14ac:dyDescent="0.25">
      <c r="A6" s="9" t="str">
        <f t="shared" si="0"/>
        <v>51990</v>
      </c>
      <c r="B6" s="9">
        <v>33024</v>
      </c>
      <c r="C6" s="1">
        <f>IFERROR(VLOOKUP(B6,Petróleo!A:B,2,FALSE),"")</f>
        <v>7328</v>
      </c>
      <c r="D6" s="1">
        <f>IFERROR(VLOOKUP(B6,Estoque_US!D:E,2,FALSE),"")</f>
        <v>8603</v>
      </c>
      <c r="E6" s="1" t="str">
        <f>IFERROR(VLOOKUP(B6,Petróleo!F:G,2,FALSE),"")</f>
        <v/>
      </c>
      <c r="F6" s="1" t="str">
        <f>IFERROR(VLOOKUP(B6,Petróleo!H:I,2,FALSE),"")</f>
        <v/>
      </c>
      <c r="G6" s="1" t="str">
        <f>IFERROR(VLOOKUP(B6,Petróleo!J:K,2,FALSE),"")</f>
        <v/>
      </c>
      <c r="H6" s="1" t="str">
        <f>IFERROR(VLOOKUP(B6,Petróleo!L:M,2,FALSE),"")</f>
        <v/>
      </c>
      <c r="I6" s="1" t="str">
        <f>IFERROR(VLOOKUP(B6,Petróleo!N:O,2,FALSE),"")</f>
        <v/>
      </c>
      <c r="J6" s="1" t="str">
        <f>IFERROR(VLOOKUP(B6,Petróleo!P:Q,2,FALSE),"")</f>
        <v/>
      </c>
      <c r="K6" s="1" t="str">
        <f>IFERROR(VLOOKUP(B6,Petróleo!R:S,2,FALSE),"")</f>
        <v/>
      </c>
      <c r="L6" s="1" t="str">
        <f>IFERROR(VLOOKUP(B6,Petróleo!T:U,2,FALSE),"")</f>
        <v/>
      </c>
      <c r="M6" s="8">
        <f>IFERROR(VLOOKUP(B6,Petróleo!X:Y,2,FALSE),"")</f>
        <v>23680</v>
      </c>
      <c r="N6" s="8">
        <f>IFERROR(VLOOKUP(B6,Petróleo!Z:AA,2,FALSE),"")</f>
        <v>5250</v>
      </c>
      <c r="O6" s="8">
        <f>IFERROR(VLOOKUP(B6,Petróleo!AB:AC,2,FALSE),"")</f>
        <v>2050</v>
      </c>
      <c r="P6" s="8">
        <f>IFERROR(VLOOKUP(B6,Petróleo!AD:AE,2,FALSE),"")</f>
        <v>3430</v>
      </c>
      <c r="Q6" s="8">
        <f>IFERROR(VLOOKUP(B6,Petróleo!AF:AG,2,FALSE),"")</f>
        <v>3150</v>
      </c>
      <c r="R6" s="8">
        <f>IFERROR(VLOOKUP(B6,Petróleo!AH:AI,2,FALSE),"")</f>
        <v>1300</v>
      </c>
      <c r="S6" s="8">
        <f>IFERROR(VLOOKUP(B6,Petróleo!AJ:AK,2,FALSE),"")</f>
        <v>1700</v>
      </c>
      <c r="T6" s="8">
        <f>IFERROR(VLOOKUP(B6,Petróleo!AL:AM,2,FALSE),"")</f>
        <v>2000</v>
      </c>
      <c r="U6" s="8">
        <f>IFERROR(VLOOKUP(B6,Petróleo!AN:AO,2,FALSE),"")</f>
        <v>1900</v>
      </c>
      <c r="V6" s="10" t="str">
        <f>IFERROR(VLOOKUP(A6,Petróleo!AR:AT,3,FALSE),"")</f>
        <v/>
      </c>
      <c r="X6" s="1" t="s">
        <v>47</v>
      </c>
    </row>
    <row r="7" spans="1:24" x14ac:dyDescent="0.25">
      <c r="A7" s="9" t="str">
        <f t="shared" si="0"/>
        <v>61990</v>
      </c>
      <c r="B7" s="9">
        <v>33054</v>
      </c>
      <c r="C7" s="1">
        <f>IFERROR(VLOOKUP(B7,Petróleo!A:B,2,FALSE),"")</f>
        <v>7106</v>
      </c>
      <c r="D7" s="1">
        <f>IFERROR(VLOOKUP(B7,Estoque_US!D:E,2,FALSE),"")</f>
        <v>5572</v>
      </c>
      <c r="E7" s="1" t="str">
        <f>IFERROR(VLOOKUP(B7,Petróleo!F:G,2,FALSE),"")</f>
        <v/>
      </c>
      <c r="F7" s="1" t="str">
        <f>IFERROR(VLOOKUP(B7,Petróleo!H:I,2,FALSE),"")</f>
        <v/>
      </c>
      <c r="G7" s="1" t="str">
        <f>IFERROR(VLOOKUP(B7,Petróleo!J:K,2,FALSE),"")</f>
        <v/>
      </c>
      <c r="H7" s="1" t="str">
        <f>IFERROR(VLOOKUP(B7,Petróleo!L:M,2,FALSE),"")</f>
        <v/>
      </c>
      <c r="I7" s="1" t="str">
        <f>IFERROR(VLOOKUP(B7,Petróleo!N:O,2,FALSE),"")</f>
        <v/>
      </c>
      <c r="J7" s="1" t="str">
        <f>IFERROR(VLOOKUP(B7,Petróleo!P:Q,2,FALSE),"")</f>
        <v/>
      </c>
      <c r="K7" s="1" t="str">
        <f>IFERROR(VLOOKUP(B7,Petróleo!R:S,2,FALSE),"")</f>
        <v/>
      </c>
      <c r="L7" s="1" t="str">
        <f>IFERROR(VLOOKUP(B7,Petróleo!T:U,2,FALSE),"")</f>
        <v/>
      </c>
      <c r="M7" s="8">
        <f>IFERROR(VLOOKUP(B7,Petróleo!X:Y,2,FALSE),"")</f>
        <v>23260</v>
      </c>
      <c r="N7" s="8">
        <f>IFERROR(VLOOKUP(B7,Petróleo!Z:AA,2,FALSE),"")</f>
        <v>5360</v>
      </c>
      <c r="O7" s="8">
        <f>IFERROR(VLOOKUP(B7,Petróleo!AB:AC,2,FALSE),"")</f>
        <v>1950</v>
      </c>
      <c r="P7" s="8">
        <f>IFERROR(VLOOKUP(B7,Petróleo!AD:AE,2,FALSE),"")</f>
        <v>2930</v>
      </c>
      <c r="Q7" s="8">
        <f>IFERROR(VLOOKUP(B7,Petróleo!AF:AG,2,FALSE),"")</f>
        <v>3150</v>
      </c>
      <c r="R7" s="8">
        <f>IFERROR(VLOOKUP(B7,Petróleo!AH:AI,2,FALSE),"")</f>
        <v>1300</v>
      </c>
      <c r="S7" s="8">
        <f>IFERROR(VLOOKUP(B7,Petróleo!AJ:AK,2,FALSE),"")</f>
        <v>1760</v>
      </c>
      <c r="T7" s="8">
        <f>IFERROR(VLOOKUP(B7,Petróleo!AL:AM,2,FALSE),"")</f>
        <v>2000</v>
      </c>
      <c r="U7" s="8">
        <f>IFERROR(VLOOKUP(B7,Petróleo!AN:AO,2,FALSE),"")</f>
        <v>1860</v>
      </c>
      <c r="V7" s="10" t="str">
        <f>IFERROR(VLOOKUP(A7,Petróleo!AR:AT,3,FALSE),"")</f>
        <v/>
      </c>
      <c r="X7" s="1" t="s">
        <v>48</v>
      </c>
    </row>
    <row r="8" spans="1:24" x14ac:dyDescent="0.25">
      <c r="A8" s="9" t="str">
        <f t="shared" si="0"/>
        <v>71990</v>
      </c>
      <c r="B8" s="9">
        <v>33085</v>
      </c>
      <c r="C8" s="1">
        <f>IFERROR(VLOOKUP(B8,Petróleo!A:B,2,FALSE),"")</f>
        <v>7173</v>
      </c>
      <c r="D8" s="1">
        <f>IFERROR(VLOOKUP(B8,Estoque_US!D:E,2,FALSE),"")</f>
        <v>3735</v>
      </c>
      <c r="E8" s="1" t="str">
        <f>IFERROR(VLOOKUP(B8,Petróleo!F:G,2,FALSE),"")</f>
        <v/>
      </c>
      <c r="F8" s="1" t="str">
        <f>IFERROR(VLOOKUP(B8,Petróleo!H:I,2,FALSE),"")</f>
        <v/>
      </c>
      <c r="G8" s="1" t="str">
        <f>IFERROR(VLOOKUP(B8,Petróleo!J:K,2,FALSE),"")</f>
        <v/>
      </c>
      <c r="H8" s="1" t="str">
        <f>IFERROR(VLOOKUP(B8,Petróleo!L:M,2,FALSE),"")</f>
        <v/>
      </c>
      <c r="I8" s="1" t="str">
        <f>IFERROR(VLOOKUP(B8,Petróleo!N:O,2,FALSE),"")</f>
        <v/>
      </c>
      <c r="J8" s="1" t="str">
        <f>IFERROR(VLOOKUP(B8,Petróleo!P:Q,2,FALSE),"")</f>
        <v/>
      </c>
      <c r="K8" s="1" t="str">
        <f>IFERROR(VLOOKUP(B8,Petróleo!R:S,2,FALSE),"")</f>
        <v/>
      </c>
      <c r="L8" s="1" t="str">
        <f>IFERROR(VLOOKUP(B8,Petróleo!T:U,2,FALSE),"")</f>
        <v/>
      </c>
      <c r="M8" s="8">
        <f>IFERROR(VLOOKUP(B8,Petróleo!X:Y,2,FALSE),"")</f>
        <v>23410</v>
      </c>
      <c r="N8" s="8">
        <f>IFERROR(VLOOKUP(B8,Petróleo!Z:AA,2,FALSE),"")</f>
        <v>5375</v>
      </c>
      <c r="O8" s="8">
        <f>IFERROR(VLOOKUP(B8,Petróleo!AB:AC,2,FALSE),"")</f>
        <v>1970</v>
      </c>
      <c r="P8" s="8">
        <f>IFERROR(VLOOKUP(B8,Petróleo!AD:AE,2,FALSE),"")</f>
        <v>2910</v>
      </c>
      <c r="Q8" s="8">
        <f>IFERROR(VLOOKUP(B8,Petróleo!AF:AG,2,FALSE),"")</f>
        <v>3280</v>
      </c>
      <c r="R8" s="8">
        <f>IFERROR(VLOOKUP(B8,Petróleo!AH:AI,2,FALSE),"")</f>
        <v>1300</v>
      </c>
      <c r="S8" s="8">
        <f>IFERROR(VLOOKUP(B8,Petróleo!AJ:AK,2,FALSE),"")</f>
        <v>1750</v>
      </c>
      <c r="T8" s="8">
        <f>IFERROR(VLOOKUP(B8,Petróleo!AL:AM,2,FALSE),"")</f>
        <v>2000</v>
      </c>
      <c r="U8" s="8">
        <f>IFERROR(VLOOKUP(B8,Petróleo!AN:AO,2,FALSE),"")</f>
        <v>1875</v>
      </c>
      <c r="V8" s="10" t="str">
        <f>IFERROR(VLOOKUP(A8,Petróleo!AR:AT,3,FALSE),"")</f>
        <v/>
      </c>
      <c r="X8" s="1" t="s">
        <v>49</v>
      </c>
    </row>
    <row r="9" spans="1:24" x14ac:dyDescent="0.25">
      <c r="A9" s="9" t="str">
        <f t="shared" si="0"/>
        <v>81990</v>
      </c>
      <c r="B9" s="9">
        <v>33116</v>
      </c>
      <c r="C9" s="1">
        <f>IFERROR(VLOOKUP(B9,Petróleo!A:B,2,FALSE),"")</f>
        <v>7287</v>
      </c>
      <c r="D9" s="1">
        <f>IFERROR(VLOOKUP(B9,Estoque_US!D:E,2,FALSE),"")</f>
        <v>-16027</v>
      </c>
      <c r="E9" s="1" t="str">
        <f>IFERROR(VLOOKUP(B9,Petróleo!F:G,2,FALSE),"")</f>
        <v/>
      </c>
      <c r="F9" s="1" t="str">
        <f>IFERROR(VLOOKUP(B9,Petróleo!H:I,2,FALSE),"")</f>
        <v/>
      </c>
      <c r="G9" s="1" t="str">
        <f>IFERROR(VLOOKUP(B9,Petróleo!J:K,2,FALSE),"")</f>
        <v/>
      </c>
      <c r="H9" s="1" t="str">
        <f>IFERROR(VLOOKUP(B9,Petróleo!L:M,2,FALSE),"")</f>
        <v/>
      </c>
      <c r="I9" s="1" t="str">
        <f>IFERROR(VLOOKUP(B9,Petróleo!N:O,2,FALSE),"")</f>
        <v/>
      </c>
      <c r="J9" s="1" t="str">
        <f>IFERROR(VLOOKUP(B9,Petróleo!P:Q,2,FALSE),"")</f>
        <v/>
      </c>
      <c r="K9" s="1" t="str">
        <f>IFERROR(VLOOKUP(B9,Petróleo!R:S,2,FALSE),"")</f>
        <v/>
      </c>
      <c r="L9" s="1" t="str">
        <f>IFERROR(VLOOKUP(B9,Petróleo!T:U,2,FALSE),"")</f>
        <v/>
      </c>
      <c r="M9" s="8">
        <f>IFERROR(VLOOKUP(B9,Petróleo!X:Y,2,FALSE),"")</f>
        <v>19580</v>
      </c>
      <c r="N9" s="8">
        <f>IFERROR(VLOOKUP(B9,Petróleo!Z:AA,2,FALSE),"")</f>
        <v>5630</v>
      </c>
      <c r="O9" s="8">
        <f>IFERROR(VLOOKUP(B9,Petróleo!AB:AC,2,FALSE),"")</f>
        <v>1600</v>
      </c>
      <c r="P9" s="8">
        <f>IFERROR(VLOOKUP(B9,Petróleo!AD:AE,2,FALSE),"")</f>
        <v>3200</v>
      </c>
      <c r="Q9" s="8">
        <f>IFERROR(VLOOKUP(B9,Petróleo!AF:AG,2,FALSE),"")</f>
        <v>700</v>
      </c>
      <c r="R9" s="8">
        <f>IFERROR(VLOOKUP(B9,Petróleo!AH:AI,2,FALSE),"")</f>
        <v>1350</v>
      </c>
      <c r="S9" s="8">
        <f>IFERROR(VLOOKUP(B9,Petróleo!AJ:AK,2,FALSE),"")</f>
        <v>1800</v>
      </c>
      <c r="T9" s="8">
        <f>IFERROR(VLOOKUP(B9,Petróleo!AL:AM,2,FALSE),"")</f>
        <v>2000</v>
      </c>
      <c r="U9" s="8">
        <f>IFERROR(VLOOKUP(B9,Petróleo!AN:AO,2,FALSE),"")</f>
        <v>280</v>
      </c>
      <c r="V9" s="10" t="str">
        <f>IFERROR(VLOOKUP(A9,Petróleo!AR:AT,3,FALSE),"")</f>
        <v/>
      </c>
      <c r="X9" s="1" t="s">
        <v>50</v>
      </c>
    </row>
    <row r="10" spans="1:24" x14ac:dyDescent="0.25">
      <c r="A10" s="9" t="str">
        <f t="shared" si="0"/>
        <v>91990</v>
      </c>
      <c r="B10" s="9">
        <v>33146</v>
      </c>
      <c r="C10" s="1">
        <f>IFERROR(VLOOKUP(B10,Petróleo!A:B,2,FALSE),"")</f>
        <v>7224</v>
      </c>
      <c r="D10" s="1">
        <f>IFERROR(VLOOKUP(B10,Estoque_US!D:E,2,FALSE),"")</f>
        <v>-18310</v>
      </c>
      <c r="E10" s="1" t="str">
        <f>IFERROR(VLOOKUP(B10,Petróleo!F:G,2,FALSE),"")</f>
        <v/>
      </c>
      <c r="F10" s="1" t="str">
        <f>IFERROR(VLOOKUP(B10,Petróleo!H:I,2,FALSE),"")</f>
        <v/>
      </c>
      <c r="G10" s="1" t="str">
        <f>IFERROR(VLOOKUP(B10,Petróleo!J:K,2,FALSE),"")</f>
        <v/>
      </c>
      <c r="H10" s="1" t="str">
        <f>IFERROR(VLOOKUP(B10,Petróleo!L:M,2,FALSE),"")</f>
        <v/>
      </c>
      <c r="I10" s="1" t="str">
        <f>IFERROR(VLOOKUP(B10,Petróleo!N:O,2,FALSE),"")</f>
        <v/>
      </c>
      <c r="J10" s="1" t="str">
        <f>IFERROR(VLOOKUP(B10,Petróleo!P:Q,2,FALSE),"")</f>
        <v/>
      </c>
      <c r="K10" s="1" t="str">
        <f>IFERROR(VLOOKUP(B10,Petróleo!R:S,2,FALSE),"")</f>
        <v/>
      </c>
      <c r="L10" s="1" t="str">
        <f>IFERROR(VLOOKUP(B10,Petróleo!T:U,2,FALSE),"")</f>
        <v/>
      </c>
      <c r="M10" s="8">
        <f>IFERROR(VLOOKUP(B10,Petróleo!X:Y,2,FALSE),"")</f>
        <v>22685</v>
      </c>
      <c r="N10" s="8">
        <f>IFERROR(VLOOKUP(B10,Petróleo!Z:AA,2,FALSE),"")</f>
        <v>7630</v>
      </c>
      <c r="O10" s="8">
        <f>IFERROR(VLOOKUP(B10,Petróleo!AB:AC,2,FALSE),"")</f>
        <v>2215</v>
      </c>
      <c r="P10" s="8">
        <f>IFERROR(VLOOKUP(B10,Petróleo!AD:AE,2,FALSE),"")</f>
        <v>3470</v>
      </c>
      <c r="Q10" s="8">
        <f>IFERROR(VLOOKUP(B10,Petróleo!AF:AG,2,FALSE),"")</f>
        <v>450</v>
      </c>
      <c r="R10" s="8">
        <f>IFERROR(VLOOKUP(B10,Petróleo!AH:AI,2,FALSE),"")</f>
        <v>1430</v>
      </c>
      <c r="S10" s="8">
        <f>IFERROR(VLOOKUP(B10,Petróleo!AJ:AK,2,FALSE),"")</f>
        <v>1870</v>
      </c>
      <c r="T10" s="8">
        <f>IFERROR(VLOOKUP(B10,Petróleo!AL:AM,2,FALSE),"")</f>
        <v>2250</v>
      </c>
      <c r="U10" s="8">
        <f>IFERROR(VLOOKUP(B10,Petróleo!AN:AO,2,FALSE),"")</f>
        <v>230</v>
      </c>
      <c r="V10" s="10" t="str">
        <f>IFERROR(VLOOKUP(A10,Petróleo!AR:AT,3,FALSE),"")</f>
        <v/>
      </c>
      <c r="X10" s="1" t="s">
        <v>51</v>
      </c>
    </row>
    <row r="11" spans="1:24" x14ac:dyDescent="0.25">
      <c r="A11" s="9" t="str">
        <f t="shared" si="0"/>
        <v>101990</v>
      </c>
      <c r="B11" s="9">
        <v>33177</v>
      </c>
      <c r="C11" s="1">
        <f>IFERROR(VLOOKUP(B11,Petróleo!A:B,2,FALSE),"")</f>
        <v>7542</v>
      </c>
      <c r="D11" s="1">
        <f>IFERROR(VLOOKUP(B11,Estoque_US!D:E,2,FALSE),"")</f>
        <v>-11229</v>
      </c>
      <c r="E11" s="1" t="str">
        <f>IFERROR(VLOOKUP(B11,Petróleo!F:G,2,FALSE),"")</f>
        <v/>
      </c>
      <c r="F11" s="1" t="str">
        <f>IFERROR(VLOOKUP(B11,Petróleo!H:I,2,FALSE),"")</f>
        <v/>
      </c>
      <c r="G11" s="1" t="str">
        <f>IFERROR(VLOOKUP(B11,Petróleo!J:K,2,FALSE),"")</f>
        <v/>
      </c>
      <c r="H11" s="1" t="str">
        <f>IFERROR(VLOOKUP(B11,Petróleo!L:M,2,FALSE),"")</f>
        <v/>
      </c>
      <c r="I11" s="1" t="str">
        <f>IFERROR(VLOOKUP(B11,Petróleo!N:O,2,FALSE),"")</f>
        <v/>
      </c>
      <c r="J11" s="1" t="str">
        <f>IFERROR(VLOOKUP(B11,Petróleo!P:Q,2,FALSE),"")</f>
        <v/>
      </c>
      <c r="K11" s="1" t="str">
        <f>IFERROR(VLOOKUP(B11,Petróleo!R:S,2,FALSE),"")</f>
        <v/>
      </c>
      <c r="L11" s="1" t="str">
        <f>IFERROR(VLOOKUP(B11,Petróleo!T:U,2,FALSE),"")</f>
        <v/>
      </c>
      <c r="M11" s="8">
        <f>IFERROR(VLOOKUP(B11,Petróleo!X:Y,2,FALSE),"")</f>
        <v>22660</v>
      </c>
      <c r="N11" s="8">
        <f>IFERROR(VLOOKUP(B11,Petróleo!Z:AA,2,FALSE),"")</f>
        <v>7800</v>
      </c>
      <c r="O11" s="8">
        <f>IFERROR(VLOOKUP(B11,Petróleo!AB:AC,2,FALSE),"")</f>
        <v>2240</v>
      </c>
      <c r="P11" s="8">
        <f>IFERROR(VLOOKUP(B11,Petróleo!AD:AE,2,FALSE),"")</f>
        <v>3000</v>
      </c>
      <c r="Q11" s="8">
        <f>IFERROR(VLOOKUP(B11,Petróleo!AF:AG,2,FALSE),"")</f>
        <v>450</v>
      </c>
      <c r="R11" s="8">
        <f>IFERROR(VLOOKUP(B11,Petróleo!AH:AI,2,FALSE),"")</f>
        <v>1600</v>
      </c>
      <c r="S11" s="8">
        <f>IFERROR(VLOOKUP(B11,Petróleo!AJ:AK,2,FALSE),"")</f>
        <v>1900</v>
      </c>
      <c r="T11" s="8">
        <f>IFERROR(VLOOKUP(B11,Petróleo!AL:AM,2,FALSE),"")</f>
        <v>2300</v>
      </c>
      <c r="U11" s="8">
        <f>IFERROR(VLOOKUP(B11,Petróleo!AN:AO,2,FALSE),"")</f>
        <v>230</v>
      </c>
      <c r="V11" s="10" t="str">
        <f>IFERROR(VLOOKUP(A11,Petróleo!AR:AT,3,FALSE),"")</f>
        <v/>
      </c>
      <c r="X11" s="8" t="s">
        <v>52</v>
      </c>
    </row>
    <row r="12" spans="1:24" x14ac:dyDescent="0.25">
      <c r="A12" s="9" t="str">
        <f t="shared" si="0"/>
        <v>111990</v>
      </c>
      <c r="B12" s="9">
        <v>33207</v>
      </c>
      <c r="C12" s="1">
        <f>IFERROR(VLOOKUP(B12,Petróleo!A:B,2,FALSE),"")</f>
        <v>7387</v>
      </c>
      <c r="D12" s="1">
        <f>IFERROR(VLOOKUP(B12,Estoque_US!D:E,2,FALSE),"")</f>
        <v>-488</v>
      </c>
      <c r="E12" s="1" t="str">
        <f>IFERROR(VLOOKUP(B12,Petróleo!F:G,2,FALSE),"")</f>
        <v/>
      </c>
      <c r="F12" s="1" t="str">
        <f>IFERROR(VLOOKUP(B12,Petróleo!H:I,2,FALSE),"")</f>
        <v/>
      </c>
      <c r="G12" s="1" t="str">
        <f>IFERROR(VLOOKUP(B12,Petróleo!J:K,2,FALSE),"")</f>
        <v/>
      </c>
      <c r="H12" s="1" t="str">
        <f>IFERROR(VLOOKUP(B12,Petróleo!L:M,2,FALSE),"")</f>
        <v/>
      </c>
      <c r="I12" s="1" t="str">
        <f>IFERROR(VLOOKUP(B12,Petróleo!N:O,2,FALSE),"")</f>
        <v/>
      </c>
      <c r="J12" s="1" t="str">
        <f>IFERROR(VLOOKUP(B12,Petróleo!P:Q,2,FALSE),"")</f>
        <v/>
      </c>
      <c r="K12" s="1" t="str">
        <f>IFERROR(VLOOKUP(B12,Petróleo!R:S,2,FALSE),"")</f>
        <v/>
      </c>
      <c r="L12" s="1" t="str">
        <f>IFERROR(VLOOKUP(B12,Petróleo!T:U,2,FALSE),"")</f>
        <v/>
      </c>
      <c r="M12" s="8">
        <f>IFERROR(VLOOKUP(B12,Petróleo!X:Y,2,FALSE),"")</f>
        <v>23630</v>
      </c>
      <c r="N12" s="8">
        <f>IFERROR(VLOOKUP(B12,Petróleo!Z:AA,2,FALSE),"")</f>
        <v>8330</v>
      </c>
      <c r="O12" s="8">
        <f>IFERROR(VLOOKUP(B12,Petróleo!AB:AC,2,FALSE),"")</f>
        <v>2300</v>
      </c>
      <c r="P12" s="8">
        <f>IFERROR(VLOOKUP(B12,Petróleo!AD:AE,2,FALSE),"")</f>
        <v>3460</v>
      </c>
      <c r="Q12" s="8">
        <f>IFERROR(VLOOKUP(B12,Petróleo!AF:AG,2,FALSE),"")</f>
        <v>450</v>
      </c>
      <c r="R12" s="8">
        <f>IFERROR(VLOOKUP(B12,Petróleo!AH:AI,2,FALSE),"")</f>
        <v>1550</v>
      </c>
      <c r="S12" s="8">
        <f>IFERROR(VLOOKUP(B12,Petróleo!AJ:AK,2,FALSE),"")</f>
        <v>1900</v>
      </c>
      <c r="T12" s="8">
        <f>IFERROR(VLOOKUP(B12,Petróleo!AL:AM,2,FALSE),"")</f>
        <v>2300</v>
      </c>
      <c r="U12" s="8">
        <f>IFERROR(VLOOKUP(B12,Petróleo!AN:AO,2,FALSE),"")</f>
        <v>230</v>
      </c>
      <c r="V12" s="10" t="str">
        <f>IFERROR(VLOOKUP(A12,Petróleo!AR:AT,3,FALSE),"")</f>
        <v/>
      </c>
      <c r="X12" s="8" t="s">
        <v>53</v>
      </c>
    </row>
    <row r="13" spans="1:24" x14ac:dyDescent="0.25">
      <c r="A13" s="9" t="str">
        <f t="shared" si="0"/>
        <v>121990</v>
      </c>
      <c r="B13" s="9">
        <v>33238</v>
      </c>
      <c r="C13" s="1">
        <f>IFERROR(VLOOKUP(B13,Petróleo!A:B,2,FALSE),"")</f>
        <v>7338</v>
      </c>
      <c r="D13" s="1">
        <f>IFERROR(VLOOKUP(B13,Estoque_US!D:E,2,FALSE),"")</f>
        <v>-10990</v>
      </c>
      <c r="E13" s="1" t="str">
        <f>IFERROR(VLOOKUP(B13,Petróleo!F:G,2,FALSE),"")</f>
        <v/>
      </c>
      <c r="F13" s="1" t="str">
        <f>IFERROR(VLOOKUP(B13,Petróleo!H:I,2,FALSE),"")</f>
        <v/>
      </c>
      <c r="G13" s="1" t="str">
        <f>IFERROR(VLOOKUP(B13,Petróleo!J:K,2,FALSE),"")</f>
        <v/>
      </c>
      <c r="H13" s="1" t="str">
        <f>IFERROR(VLOOKUP(B13,Petróleo!L:M,2,FALSE),"")</f>
        <v/>
      </c>
      <c r="I13" s="1" t="str">
        <f>IFERROR(VLOOKUP(B13,Petróleo!N:O,2,FALSE),"")</f>
        <v/>
      </c>
      <c r="J13" s="1" t="str">
        <f>IFERROR(VLOOKUP(B13,Petróleo!P:Q,2,FALSE),"")</f>
        <v/>
      </c>
      <c r="K13" s="1" t="str">
        <f>IFERROR(VLOOKUP(B13,Petróleo!R:S,2,FALSE),"")</f>
        <v/>
      </c>
      <c r="L13" s="1" t="str">
        <f>IFERROR(VLOOKUP(B13,Petróleo!T:U,2,FALSE),"")</f>
        <v/>
      </c>
      <c r="M13" s="8">
        <f>IFERROR(VLOOKUP(B13,Petróleo!X:Y,2,FALSE),"")</f>
        <v>23860</v>
      </c>
      <c r="N13" s="8">
        <f>IFERROR(VLOOKUP(B13,Petróleo!Z:AA,2,FALSE),"")</f>
        <v>8430</v>
      </c>
      <c r="O13" s="8">
        <f>IFERROR(VLOOKUP(B13,Petróleo!AB:AC,2,FALSE),"")</f>
        <v>2350</v>
      </c>
      <c r="P13" s="8">
        <f>IFERROR(VLOOKUP(B13,Petróleo!AD:AE,2,FALSE),"")</f>
        <v>3450</v>
      </c>
      <c r="Q13" s="8">
        <f>IFERROR(VLOOKUP(B13,Petróleo!AF:AG,2,FALSE),"")</f>
        <v>450</v>
      </c>
      <c r="R13" s="8">
        <f>IFERROR(VLOOKUP(B13,Petróleo!AH:AI,2,FALSE),"")</f>
        <v>1550</v>
      </c>
      <c r="S13" s="8">
        <f>IFERROR(VLOOKUP(B13,Petróleo!AJ:AK,2,FALSE),"")</f>
        <v>1900</v>
      </c>
      <c r="T13" s="8">
        <f>IFERROR(VLOOKUP(B13,Petróleo!AL:AM,2,FALSE),"")</f>
        <v>2350</v>
      </c>
      <c r="U13" s="8">
        <f>IFERROR(VLOOKUP(B13,Petróleo!AN:AO,2,FALSE),"")</f>
        <v>230</v>
      </c>
      <c r="V13" s="10" t="str">
        <f>IFERROR(VLOOKUP(A13,Petróleo!AR:AT,3,FALSE),"")</f>
        <v/>
      </c>
      <c r="X13" s="8" t="s">
        <v>61</v>
      </c>
    </row>
    <row r="14" spans="1:24" x14ac:dyDescent="0.25">
      <c r="A14" s="9" t="str">
        <f t="shared" si="0"/>
        <v>11991</v>
      </c>
      <c r="B14" s="9">
        <v>33269</v>
      </c>
      <c r="C14" s="1">
        <f>IFERROR(VLOOKUP(B14,Petróleo!A:B,2,FALSE),"")</f>
        <v>7500</v>
      </c>
      <c r="D14" s="1">
        <f>IFERROR(VLOOKUP(B14,Estoque_US!D:E,2,FALSE),"")</f>
        <v>-8112</v>
      </c>
      <c r="E14" s="1" t="str">
        <f>IFERROR(VLOOKUP(B14,Petróleo!F:G,2,FALSE),"")</f>
        <v/>
      </c>
      <c r="F14" s="1" t="str">
        <f>IFERROR(VLOOKUP(B14,Petróleo!H:I,2,FALSE),"")</f>
        <v/>
      </c>
      <c r="G14" s="1" t="str">
        <f>IFERROR(VLOOKUP(B14,Petróleo!J:K,2,FALSE),"")</f>
        <v/>
      </c>
      <c r="H14" s="1" t="str">
        <f>IFERROR(VLOOKUP(B14,Petróleo!L:M,2,FALSE),"")</f>
        <v/>
      </c>
      <c r="I14" s="1" t="str">
        <f>IFERROR(VLOOKUP(B14,Petróleo!N:O,2,FALSE),"")</f>
        <v/>
      </c>
      <c r="J14" s="1" t="str">
        <f>IFERROR(VLOOKUP(B14,Petróleo!P:Q,2,FALSE),"")</f>
        <v/>
      </c>
      <c r="K14" s="1" t="str">
        <f>IFERROR(VLOOKUP(B14,Petróleo!R:S,2,FALSE),"")</f>
        <v/>
      </c>
      <c r="L14" s="1" t="str">
        <f>IFERROR(VLOOKUP(B14,Petróleo!T:U,2,FALSE),"")</f>
        <v/>
      </c>
      <c r="M14" s="8">
        <f>IFERROR(VLOOKUP(B14,Petróleo!X:Y,2,FALSE),"")</f>
        <v>22950</v>
      </c>
      <c r="N14" s="8">
        <f>IFERROR(VLOOKUP(B14,Petróleo!Z:AA,2,FALSE),"")</f>
        <v>8000</v>
      </c>
      <c r="O14" s="8">
        <f>IFERROR(VLOOKUP(B14,Petróleo!AB:AC,2,FALSE),"")</f>
        <v>2350</v>
      </c>
      <c r="P14" s="8">
        <f>IFERROR(VLOOKUP(B14,Petróleo!AD:AE,2,FALSE),"")</f>
        <v>3100</v>
      </c>
      <c r="Q14" s="8">
        <f>IFERROR(VLOOKUP(B14,Petróleo!AF:AG,2,FALSE),"")</f>
        <v>350</v>
      </c>
      <c r="R14" s="8">
        <f>IFERROR(VLOOKUP(B14,Petróleo!AH:AI,2,FALSE),"")</f>
        <v>1500</v>
      </c>
      <c r="S14" s="8">
        <f>IFERROR(VLOOKUP(B14,Petróleo!AJ:AK,2,FALSE),"")</f>
        <v>1900</v>
      </c>
      <c r="T14" s="8">
        <f>IFERROR(VLOOKUP(B14,Petróleo!AL:AM,2,FALSE),"")</f>
        <v>2350</v>
      </c>
      <c r="U14" s="8">
        <f>IFERROR(VLOOKUP(B14,Petróleo!AN:AO,2,FALSE),"")</f>
        <v>150</v>
      </c>
      <c r="V14" s="10" t="str">
        <f>IFERROR(VLOOKUP(A14,Petróleo!AR:AT,3,FALSE),"")</f>
        <v/>
      </c>
      <c r="X14" s="8" t="s">
        <v>54</v>
      </c>
    </row>
    <row r="15" spans="1:24" x14ac:dyDescent="0.25">
      <c r="A15" s="9" t="str">
        <f t="shared" si="0"/>
        <v>21991</v>
      </c>
      <c r="B15" s="9">
        <v>33297</v>
      </c>
      <c r="C15" s="1">
        <f>IFERROR(VLOOKUP(B15,Petróleo!A:B,2,FALSE),"")</f>
        <v>7637</v>
      </c>
      <c r="D15" s="1">
        <f>IFERROR(VLOOKUP(B15,Estoque_US!D:E,2,FALSE),"")</f>
        <v>9245</v>
      </c>
      <c r="E15" s="1" t="str">
        <f>IFERROR(VLOOKUP(B15,Petróleo!F:G,2,FALSE),"")</f>
        <v/>
      </c>
      <c r="F15" s="1" t="str">
        <f>IFERROR(VLOOKUP(B15,Petróleo!H:I,2,FALSE),"")</f>
        <v/>
      </c>
      <c r="G15" s="1" t="str">
        <f>IFERROR(VLOOKUP(B15,Petróleo!J:K,2,FALSE),"")</f>
        <v/>
      </c>
      <c r="H15" s="1" t="str">
        <f>IFERROR(VLOOKUP(B15,Petróleo!L:M,2,FALSE),"")</f>
        <v/>
      </c>
      <c r="I15" s="1" t="str">
        <f>IFERROR(VLOOKUP(B15,Petróleo!N:O,2,FALSE),"")</f>
        <v/>
      </c>
      <c r="J15" s="1" t="str">
        <f>IFERROR(VLOOKUP(B15,Petróleo!P:Q,2,FALSE),"")</f>
        <v/>
      </c>
      <c r="K15" s="1" t="str">
        <f>IFERROR(VLOOKUP(B15,Petróleo!R:S,2,FALSE),"")</f>
        <v/>
      </c>
      <c r="L15" s="1" t="str">
        <f>IFERROR(VLOOKUP(B15,Petróleo!T:U,2,FALSE),"")</f>
        <v/>
      </c>
      <c r="M15" s="8">
        <f>IFERROR(VLOOKUP(B15,Petróleo!X:Y,2,FALSE),"")</f>
        <v>23100</v>
      </c>
      <c r="N15" s="8">
        <f>IFERROR(VLOOKUP(B15,Petróleo!Z:AA,2,FALSE),"")</f>
        <v>8300</v>
      </c>
      <c r="O15" s="8">
        <f>IFERROR(VLOOKUP(B15,Petróleo!AB:AC,2,FALSE),"")</f>
        <v>2400</v>
      </c>
      <c r="P15" s="8">
        <f>IFERROR(VLOOKUP(B15,Petróleo!AD:AE,2,FALSE),"")</f>
        <v>3100</v>
      </c>
      <c r="Q15" s="8">
        <f>IFERROR(VLOOKUP(B15,Petróleo!AF:AG,2,FALSE),"")</f>
        <v>200</v>
      </c>
      <c r="R15" s="8">
        <f>IFERROR(VLOOKUP(B15,Petróleo!AH:AI,2,FALSE),"")</f>
        <v>1500</v>
      </c>
      <c r="S15" s="8">
        <f>IFERROR(VLOOKUP(B15,Petróleo!AJ:AK,2,FALSE),"")</f>
        <v>1900</v>
      </c>
      <c r="T15" s="8">
        <f>IFERROR(VLOOKUP(B15,Petróleo!AL:AM,2,FALSE),"")</f>
        <v>2400</v>
      </c>
      <c r="U15" s="8">
        <f>IFERROR(VLOOKUP(B15,Petróleo!AN:AO,2,FALSE),"")</f>
        <v>50</v>
      </c>
      <c r="V15" s="10" t="str">
        <f>IFERROR(VLOOKUP(A15,Petróleo!AR:AT,3,FALSE),"")</f>
        <v/>
      </c>
      <c r="X15" s="8" t="s">
        <v>55</v>
      </c>
    </row>
    <row r="16" spans="1:24" x14ac:dyDescent="0.25">
      <c r="A16" s="9" t="str">
        <f t="shared" si="0"/>
        <v>31991</v>
      </c>
      <c r="B16" s="9">
        <v>33328</v>
      </c>
      <c r="C16" s="1">
        <f>IFERROR(VLOOKUP(B16,Petróleo!A:B,2,FALSE),"")</f>
        <v>7546</v>
      </c>
      <c r="D16" s="1">
        <f>IFERROR(VLOOKUP(B16,Estoque_US!D:E,2,FALSE),"")</f>
        <v>10525</v>
      </c>
      <c r="E16" s="1" t="str">
        <f>IFERROR(VLOOKUP(B16,Petróleo!F:G,2,FALSE),"")</f>
        <v/>
      </c>
      <c r="F16" s="1" t="str">
        <f>IFERROR(VLOOKUP(B16,Petróleo!H:I,2,FALSE),"")</f>
        <v/>
      </c>
      <c r="G16" s="1" t="str">
        <f>IFERROR(VLOOKUP(B16,Petróleo!J:K,2,FALSE),"")</f>
        <v/>
      </c>
      <c r="H16" s="1" t="str">
        <f>IFERROR(VLOOKUP(B16,Petróleo!L:M,2,FALSE),"")</f>
        <v/>
      </c>
      <c r="I16" s="1" t="str">
        <f>IFERROR(VLOOKUP(B16,Petróleo!N:O,2,FALSE),"")</f>
        <v/>
      </c>
      <c r="J16" s="1" t="str">
        <f>IFERROR(VLOOKUP(B16,Petróleo!P:Q,2,FALSE),"")</f>
        <v/>
      </c>
      <c r="K16" s="1" t="str">
        <f>IFERROR(VLOOKUP(B16,Petróleo!R:S,2,FALSE),"")</f>
        <v/>
      </c>
      <c r="L16" s="1" t="str">
        <f>IFERROR(VLOOKUP(B16,Petróleo!T:U,2,FALSE),"")</f>
        <v/>
      </c>
      <c r="M16" s="8">
        <f>IFERROR(VLOOKUP(B16,Petróleo!X:Y,2,FALSE),"")</f>
        <v>23200</v>
      </c>
      <c r="N16" s="8">
        <f>IFERROR(VLOOKUP(B16,Petróleo!Z:AA,2,FALSE),"")</f>
        <v>8300</v>
      </c>
      <c r="O16" s="8">
        <f>IFERROR(VLOOKUP(B16,Petróleo!AB:AC,2,FALSE),"")</f>
        <v>2400</v>
      </c>
      <c r="P16" s="8">
        <f>IFERROR(VLOOKUP(B16,Petróleo!AD:AE,2,FALSE),"")</f>
        <v>3350</v>
      </c>
      <c r="Q16" s="8">
        <f>IFERROR(VLOOKUP(B16,Petróleo!AF:AG,2,FALSE),"")</f>
        <v>75</v>
      </c>
      <c r="R16" s="8">
        <f>IFERROR(VLOOKUP(B16,Petróleo!AH:AI,2,FALSE),"")</f>
        <v>1500</v>
      </c>
      <c r="S16" s="8">
        <f>IFERROR(VLOOKUP(B16,Petróleo!AJ:AK,2,FALSE),"")</f>
        <v>1900</v>
      </c>
      <c r="T16" s="8">
        <f>IFERROR(VLOOKUP(B16,Petróleo!AL:AM,2,FALSE),"")</f>
        <v>2400</v>
      </c>
      <c r="U16" s="8">
        <f>IFERROR(VLOOKUP(B16,Petróleo!AN:AO,2,FALSE),"")</f>
        <v>25</v>
      </c>
      <c r="V16" s="10" t="str">
        <f>IFERROR(VLOOKUP(A16,Petróleo!AR:AT,3,FALSE),"")</f>
        <v/>
      </c>
      <c r="X16" s="8" t="s">
        <v>56</v>
      </c>
    </row>
    <row r="17" spans="1:24" x14ac:dyDescent="0.25">
      <c r="A17" s="9" t="str">
        <f t="shared" si="0"/>
        <v>41991</v>
      </c>
      <c r="B17" s="9">
        <v>33358</v>
      </c>
      <c r="C17" s="1">
        <f>IFERROR(VLOOKUP(B17,Petróleo!A:B,2,FALSE),"")</f>
        <v>7509</v>
      </c>
      <c r="D17" s="1">
        <f>IFERROR(VLOOKUP(B17,Estoque_US!D:E,2,FALSE),"")</f>
        <v>1055</v>
      </c>
      <c r="E17" s="1" t="str">
        <f>IFERROR(VLOOKUP(B17,Petróleo!F:G,2,FALSE),"")</f>
        <v/>
      </c>
      <c r="F17" s="1" t="str">
        <f>IFERROR(VLOOKUP(B17,Petróleo!H:I,2,FALSE),"")</f>
        <v/>
      </c>
      <c r="G17" s="1" t="str">
        <f>IFERROR(VLOOKUP(B17,Petróleo!J:K,2,FALSE),"")</f>
        <v/>
      </c>
      <c r="H17" s="1" t="str">
        <f>IFERROR(VLOOKUP(B17,Petróleo!L:M,2,FALSE),"")</f>
        <v/>
      </c>
      <c r="I17" s="1" t="str">
        <f>IFERROR(VLOOKUP(B17,Petróleo!N:O,2,FALSE),"")</f>
        <v/>
      </c>
      <c r="J17" s="1" t="str">
        <f>IFERROR(VLOOKUP(B17,Petróleo!P:Q,2,FALSE),"")</f>
        <v/>
      </c>
      <c r="K17" s="1" t="str">
        <f>IFERROR(VLOOKUP(B17,Petróleo!R:S,2,FALSE),"")</f>
        <v/>
      </c>
      <c r="L17" s="1" t="str">
        <f>IFERROR(VLOOKUP(B17,Petróleo!T:U,2,FALSE),"")</f>
        <v/>
      </c>
      <c r="M17" s="8">
        <f>IFERROR(VLOOKUP(B17,Petróleo!X:Y,2,FALSE),"")</f>
        <v>22105</v>
      </c>
      <c r="N17" s="8">
        <f>IFERROR(VLOOKUP(B17,Petróleo!Z:AA,2,FALSE),"")</f>
        <v>7300</v>
      </c>
      <c r="O17" s="8">
        <f>IFERROR(VLOOKUP(B17,Petróleo!AB:AC,2,FALSE),"")</f>
        <v>2300</v>
      </c>
      <c r="P17" s="8">
        <f>IFERROR(VLOOKUP(B17,Petróleo!AD:AE,2,FALSE),"")</f>
        <v>3300</v>
      </c>
      <c r="Q17" s="8">
        <f>IFERROR(VLOOKUP(B17,Petróleo!AF:AG,2,FALSE),"")</f>
        <v>200</v>
      </c>
      <c r="R17" s="8">
        <f>IFERROR(VLOOKUP(B17,Petróleo!AH:AI,2,FALSE),"")</f>
        <v>1450</v>
      </c>
      <c r="S17" s="8">
        <f>IFERROR(VLOOKUP(B17,Petróleo!AJ:AK,2,FALSE),"")</f>
        <v>1900</v>
      </c>
      <c r="T17" s="8">
        <f>IFERROR(VLOOKUP(B17,Petróleo!AL:AM,2,FALSE),"")</f>
        <v>2300</v>
      </c>
      <c r="U17" s="8">
        <f>IFERROR(VLOOKUP(B17,Petróleo!AN:AO,2,FALSE),"")</f>
        <v>50</v>
      </c>
      <c r="V17" s="10" t="str">
        <f>IFERROR(VLOOKUP(A17,Petróleo!AR:AT,3,FALSE),"")</f>
        <v/>
      </c>
      <c r="X17" s="8" t="s">
        <v>57</v>
      </c>
    </row>
    <row r="18" spans="1:24" x14ac:dyDescent="0.25">
      <c r="A18" s="9" t="str">
        <f t="shared" si="0"/>
        <v>51991</v>
      </c>
      <c r="B18" s="9">
        <v>33389</v>
      </c>
      <c r="C18" s="1">
        <f>IFERROR(VLOOKUP(B18,Petróleo!A:B,2,FALSE),"")</f>
        <v>7409</v>
      </c>
      <c r="D18" s="1">
        <f>IFERROR(VLOOKUP(B18,Estoque_US!D:E,2,FALSE),"")</f>
        <v>8341</v>
      </c>
      <c r="E18" s="1" t="str">
        <f>IFERROR(VLOOKUP(B18,Petróleo!F:G,2,FALSE),"")</f>
        <v/>
      </c>
      <c r="F18" s="1" t="str">
        <f>IFERROR(VLOOKUP(B18,Petróleo!H:I,2,FALSE),"")</f>
        <v/>
      </c>
      <c r="G18" s="1" t="str">
        <f>IFERROR(VLOOKUP(B18,Petróleo!J:K,2,FALSE),"")</f>
        <v/>
      </c>
      <c r="H18" s="1" t="str">
        <f>IFERROR(VLOOKUP(B18,Petróleo!L:M,2,FALSE),"")</f>
        <v/>
      </c>
      <c r="I18" s="1" t="str">
        <f>IFERROR(VLOOKUP(B18,Petróleo!N:O,2,FALSE),"")</f>
        <v/>
      </c>
      <c r="J18" s="1" t="str">
        <f>IFERROR(VLOOKUP(B18,Petróleo!P:Q,2,FALSE),"")</f>
        <v/>
      </c>
      <c r="K18" s="1" t="str">
        <f>IFERROR(VLOOKUP(B18,Petróleo!R:S,2,FALSE),"")</f>
        <v/>
      </c>
      <c r="L18" s="1" t="str">
        <f>IFERROR(VLOOKUP(B18,Petróleo!T:U,2,FALSE),"")</f>
        <v/>
      </c>
      <c r="M18" s="8">
        <f>IFERROR(VLOOKUP(B18,Petróleo!X:Y,2,FALSE),"")</f>
        <v>22310</v>
      </c>
      <c r="N18" s="8">
        <f>IFERROR(VLOOKUP(B18,Petróleo!Z:AA,2,FALSE),"")</f>
        <v>7650</v>
      </c>
      <c r="O18" s="8">
        <f>IFERROR(VLOOKUP(B18,Petróleo!AB:AC,2,FALSE),"")</f>
        <v>2300</v>
      </c>
      <c r="P18" s="8">
        <f>IFERROR(VLOOKUP(B18,Petróleo!AD:AE,2,FALSE),"")</f>
        <v>3210</v>
      </c>
      <c r="Q18" s="8">
        <f>IFERROR(VLOOKUP(B18,Petróleo!AF:AG,2,FALSE),"")</f>
        <v>300</v>
      </c>
      <c r="R18" s="8">
        <f>IFERROR(VLOOKUP(B18,Petróleo!AH:AI,2,FALSE),"")</f>
        <v>1500</v>
      </c>
      <c r="S18" s="8">
        <f>IFERROR(VLOOKUP(B18,Petróleo!AJ:AK,2,FALSE),"")</f>
        <v>1850</v>
      </c>
      <c r="T18" s="8">
        <f>IFERROR(VLOOKUP(B18,Petróleo!AL:AM,2,FALSE),"")</f>
        <v>2300</v>
      </c>
      <c r="U18" s="8">
        <f>IFERROR(VLOOKUP(B18,Petróleo!AN:AO,2,FALSE),"")</f>
        <v>50</v>
      </c>
      <c r="V18" s="10" t="str">
        <f>IFERROR(VLOOKUP(A18,Petróleo!AR:AT,3,FALSE),"")</f>
        <v/>
      </c>
      <c r="X18" s="8" t="s">
        <v>58</v>
      </c>
    </row>
    <row r="19" spans="1:24" x14ac:dyDescent="0.25">
      <c r="A19" s="9" t="str">
        <f t="shared" si="0"/>
        <v>61991</v>
      </c>
      <c r="B19" s="9">
        <v>33419</v>
      </c>
      <c r="C19" s="1">
        <f>IFERROR(VLOOKUP(B19,Petróleo!A:B,2,FALSE),"")</f>
        <v>7320</v>
      </c>
      <c r="D19" s="1">
        <f>IFERROR(VLOOKUP(B19,Estoque_US!D:E,2,FALSE),"")</f>
        <v>-3499</v>
      </c>
      <c r="E19" s="1" t="str">
        <f>IFERROR(VLOOKUP(B19,Petróleo!F:G,2,FALSE),"")</f>
        <v/>
      </c>
      <c r="F19" s="1" t="str">
        <f>IFERROR(VLOOKUP(B19,Petróleo!H:I,2,FALSE),"")</f>
        <v/>
      </c>
      <c r="G19" s="1" t="str">
        <f>IFERROR(VLOOKUP(B19,Petróleo!J:K,2,FALSE),"")</f>
        <v/>
      </c>
      <c r="H19" s="1" t="str">
        <f>IFERROR(VLOOKUP(B19,Petróleo!L:M,2,FALSE),"")</f>
        <v/>
      </c>
      <c r="I19" s="1" t="str">
        <f>IFERROR(VLOOKUP(B19,Petróleo!N:O,2,FALSE),"")</f>
        <v/>
      </c>
      <c r="J19" s="1" t="str">
        <f>IFERROR(VLOOKUP(B19,Petróleo!P:Q,2,FALSE),"")</f>
        <v/>
      </c>
      <c r="K19" s="1" t="str">
        <f>IFERROR(VLOOKUP(B19,Petróleo!R:S,2,FALSE),"")</f>
        <v/>
      </c>
      <c r="L19" s="1" t="str">
        <f>IFERROR(VLOOKUP(B19,Petróleo!T:U,2,FALSE),"")</f>
        <v/>
      </c>
      <c r="M19" s="8">
        <f>IFERROR(VLOOKUP(B19,Petróleo!X:Y,2,FALSE),"")</f>
        <v>22696</v>
      </c>
      <c r="N19" s="8">
        <f>IFERROR(VLOOKUP(B19,Petróleo!Z:AA,2,FALSE),"")</f>
        <v>7876</v>
      </c>
      <c r="O19" s="8">
        <f>IFERROR(VLOOKUP(B19,Petróleo!AB:AC,2,FALSE),"")</f>
        <v>2300</v>
      </c>
      <c r="P19" s="8">
        <f>IFERROR(VLOOKUP(B19,Petróleo!AD:AE,2,FALSE),"")</f>
        <v>3300</v>
      </c>
      <c r="Q19" s="8">
        <f>IFERROR(VLOOKUP(B19,Petróleo!AF:AG,2,FALSE),"")</f>
        <v>300</v>
      </c>
      <c r="R19" s="8">
        <f>IFERROR(VLOOKUP(B19,Petróleo!AH:AI,2,FALSE),"")</f>
        <v>1500</v>
      </c>
      <c r="S19" s="8">
        <f>IFERROR(VLOOKUP(B19,Petróleo!AJ:AK,2,FALSE),"")</f>
        <v>1900</v>
      </c>
      <c r="T19" s="8">
        <f>IFERROR(VLOOKUP(B19,Petróleo!AL:AM,2,FALSE),"")</f>
        <v>2300</v>
      </c>
      <c r="U19" s="8">
        <f>IFERROR(VLOOKUP(B19,Petróleo!AN:AO,2,FALSE),"")</f>
        <v>71</v>
      </c>
      <c r="V19" s="10" t="str">
        <f>IFERROR(VLOOKUP(A19,Petróleo!AR:AT,3,FALSE),"")</f>
        <v/>
      </c>
      <c r="X19" s="8" t="s">
        <v>59</v>
      </c>
    </row>
    <row r="20" spans="1:24" x14ac:dyDescent="0.25">
      <c r="A20" s="9" t="str">
        <f t="shared" si="0"/>
        <v>71991</v>
      </c>
      <c r="B20" s="9">
        <v>33450</v>
      </c>
      <c r="C20" s="1">
        <f>IFERROR(VLOOKUP(B20,Petróleo!A:B,2,FALSE),"")</f>
        <v>7347</v>
      </c>
      <c r="D20" s="1">
        <f>IFERROR(VLOOKUP(B20,Estoque_US!D:E,2,FALSE),"")</f>
        <v>-5330</v>
      </c>
      <c r="E20" s="1" t="str">
        <f>IFERROR(VLOOKUP(B20,Petróleo!F:G,2,FALSE),"")</f>
        <v/>
      </c>
      <c r="F20" s="1" t="str">
        <f>IFERROR(VLOOKUP(B20,Petróleo!H:I,2,FALSE),"")</f>
        <v/>
      </c>
      <c r="G20" s="1" t="str">
        <f>IFERROR(VLOOKUP(B20,Petróleo!J:K,2,FALSE),"")</f>
        <v/>
      </c>
      <c r="H20" s="1" t="str">
        <f>IFERROR(VLOOKUP(B20,Petróleo!L:M,2,FALSE),"")</f>
        <v/>
      </c>
      <c r="I20" s="1" t="str">
        <f>IFERROR(VLOOKUP(B20,Petróleo!N:O,2,FALSE),"")</f>
        <v/>
      </c>
      <c r="J20" s="1" t="str">
        <f>IFERROR(VLOOKUP(B20,Petróleo!P:Q,2,FALSE),"")</f>
        <v/>
      </c>
      <c r="K20" s="1" t="str">
        <f>IFERROR(VLOOKUP(B20,Petróleo!R:S,2,FALSE),"")</f>
        <v/>
      </c>
      <c r="L20" s="1" t="str">
        <f>IFERROR(VLOOKUP(B20,Petróleo!T:U,2,FALSE),"")</f>
        <v/>
      </c>
      <c r="M20" s="8">
        <f>IFERROR(VLOOKUP(B20,Petróleo!X:Y,2,FALSE),"")</f>
        <v>23190</v>
      </c>
      <c r="N20" s="8">
        <f>IFERROR(VLOOKUP(B20,Petróleo!Z:AA,2,FALSE),"")</f>
        <v>8225</v>
      </c>
      <c r="O20" s="8">
        <f>IFERROR(VLOOKUP(B20,Petróleo!AB:AC,2,FALSE),"")</f>
        <v>2350</v>
      </c>
      <c r="P20" s="8">
        <f>IFERROR(VLOOKUP(B20,Petróleo!AD:AE,2,FALSE),"")</f>
        <v>3300</v>
      </c>
      <c r="Q20" s="8">
        <f>IFERROR(VLOOKUP(B20,Petróleo!AF:AG,2,FALSE),"")</f>
        <v>350</v>
      </c>
      <c r="R20" s="8">
        <f>IFERROR(VLOOKUP(B20,Petróleo!AH:AI,2,FALSE),"")</f>
        <v>1450</v>
      </c>
      <c r="S20" s="8">
        <f>IFERROR(VLOOKUP(B20,Petróleo!AJ:AK,2,FALSE),"")</f>
        <v>1900</v>
      </c>
      <c r="T20" s="8">
        <f>IFERROR(VLOOKUP(B20,Petróleo!AL:AM,2,FALSE),"")</f>
        <v>2350</v>
      </c>
      <c r="U20" s="8">
        <f>IFERROR(VLOOKUP(B20,Petróleo!AN:AO,2,FALSE),"")</f>
        <v>85</v>
      </c>
      <c r="V20" s="10" t="str">
        <f>IFERROR(VLOOKUP(A20,Petróleo!AR:AT,3,FALSE),"")</f>
        <v/>
      </c>
      <c r="X20" s="10" t="s">
        <v>60</v>
      </c>
    </row>
    <row r="21" spans="1:24" x14ac:dyDescent="0.25">
      <c r="A21" s="9" t="str">
        <f t="shared" si="0"/>
        <v>81991</v>
      </c>
      <c r="B21" s="9">
        <v>33481</v>
      </c>
      <c r="C21" s="1">
        <f>IFERROR(VLOOKUP(B21,Petróleo!A:B,2,FALSE),"")</f>
        <v>7316</v>
      </c>
      <c r="D21" s="1">
        <f>IFERROR(VLOOKUP(B21,Estoque_US!D:E,2,FALSE),"")</f>
        <v>7663</v>
      </c>
      <c r="E21" s="1" t="str">
        <f>IFERROR(VLOOKUP(B21,Petróleo!F:G,2,FALSE),"")</f>
        <v/>
      </c>
      <c r="F21" s="1" t="str">
        <f>IFERROR(VLOOKUP(B21,Petróleo!H:I,2,FALSE),"")</f>
        <v/>
      </c>
      <c r="G21" s="1" t="str">
        <f>IFERROR(VLOOKUP(B21,Petróleo!J:K,2,FALSE),"")</f>
        <v/>
      </c>
      <c r="H21" s="1" t="str">
        <f>IFERROR(VLOOKUP(B21,Petróleo!L:M,2,FALSE),"")</f>
        <v/>
      </c>
      <c r="I21" s="1" t="str">
        <f>IFERROR(VLOOKUP(B21,Petróleo!N:O,2,FALSE),"")</f>
        <v/>
      </c>
      <c r="J21" s="1" t="str">
        <f>IFERROR(VLOOKUP(B21,Petróleo!P:Q,2,FALSE),"")</f>
        <v/>
      </c>
      <c r="K21" s="1" t="str">
        <f>IFERROR(VLOOKUP(B21,Petróleo!R:S,2,FALSE),"")</f>
        <v/>
      </c>
      <c r="L21" s="1" t="str">
        <f>IFERROR(VLOOKUP(B21,Petróleo!T:U,2,FALSE),"")</f>
        <v/>
      </c>
      <c r="M21" s="8">
        <f>IFERROR(VLOOKUP(B21,Petróleo!X:Y,2,FALSE),"")</f>
        <v>23430</v>
      </c>
      <c r="N21" s="8">
        <f>IFERROR(VLOOKUP(B21,Petróleo!Z:AA,2,FALSE),"")</f>
        <v>8375</v>
      </c>
      <c r="O21" s="8">
        <f>IFERROR(VLOOKUP(B21,Petróleo!AB:AC,2,FALSE),"")</f>
        <v>2300</v>
      </c>
      <c r="P21" s="8">
        <f>IFERROR(VLOOKUP(B21,Petróleo!AD:AE,2,FALSE),"")</f>
        <v>3300</v>
      </c>
      <c r="Q21" s="8">
        <f>IFERROR(VLOOKUP(B21,Petróleo!AF:AG,2,FALSE),"")</f>
        <v>350</v>
      </c>
      <c r="R21" s="8">
        <f>IFERROR(VLOOKUP(B21,Petróleo!AH:AI,2,FALSE),"")</f>
        <v>1470</v>
      </c>
      <c r="S21" s="8">
        <f>IFERROR(VLOOKUP(B21,Petróleo!AJ:AK,2,FALSE),"")</f>
        <v>1900</v>
      </c>
      <c r="T21" s="8">
        <f>IFERROR(VLOOKUP(B21,Petróleo!AL:AM,2,FALSE),"")</f>
        <v>2350</v>
      </c>
      <c r="U21" s="8">
        <f>IFERROR(VLOOKUP(B21,Petróleo!AN:AO,2,FALSE),"")</f>
        <v>155</v>
      </c>
      <c r="V21" s="10" t="str">
        <f>IFERROR(VLOOKUP(A21,Petróleo!AR:AT,3,FALSE),"")</f>
        <v/>
      </c>
    </row>
    <row r="22" spans="1:24" x14ac:dyDescent="0.25">
      <c r="A22" s="9" t="str">
        <f t="shared" si="0"/>
        <v>91991</v>
      </c>
      <c r="B22" s="9">
        <v>33511</v>
      </c>
      <c r="C22" s="1">
        <f>IFERROR(VLOOKUP(B22,Petróleo!A:B,2,FALSE),"")</f>
        <v>7368</v>
      </c>
      <c r="D22" s="1">
        <f>IFERROR(VLOOKUP(B22,Estoque_US!D:E,2,FALSE),"")</f>
        <v>-11337</v>
      </c>
      <c r="E22" s="1" t="str">
        <f>IFERROR(VLOOKUP(B22,Petróleo!F:G,2,FALSE),"")</f>
        <v/>
      </c>
      <c r="F22" s="1" t="str">
        <f>IFERROR(VLOOKUP(B22,Petróleo!H:I,2,FALSE),"")</f>
        <v/>
      </c>
      <c r="G22" s="1" t="str">
        <f>IFERROR(VLOOKUP(B22,Petróleo!J:K,2,FALSE),"")</f>
        <v/>
      </c>
      <c r="H22" s="1" t="str">
        <f>IFERROR(VLOOKUP(B22,Petróleo!L:M,2,FALSE),"")</f>
        <v/>
      </c>
      <c r="I22" s="1" t="str">
        <f>IFERROR(VLOOKUP(B22,Petróleo!N:O,2,FALSE),"")</f>
        <v/>
      </c>
      <c r="J22" s="1" t="str">
        <f>IFERROR(VLOOKUP(B22,Petróleo!P:Q,2,FALSE),"")</f>
        <v/>
      </c>
      <c r="K22" s="1" t="str">
        <f>IFERROR(VLOOKUP(B22,Petróleo!R:S,2,FALSE),"")</f>
        <v/>
      </c>
      <c r="L22" s="1" t="str">
        <f>IFERROR(VLOOKUP(B22,Petróleo!T:U,2,FALSE),"")</f>
        <v/>
      </c>
      <c r="M22" s="8">
        <f>IFERROR(VLOOKUP(B22,Petróleo!X:Y,2,FALSE),"")</f>
        <v>23490</v>
      </c>
      <c r="N22" s="8">
        <f>IFERROR(VLOOKUP(B22,Petróleo!Z:AA,2,FALSE),"")</f>
        <v>8300</v>
      </c>
      <c r="O22" s="8">
        <f>IFERROR(VLOOKUP(B22,Petróleo!AB:AC,2,FALSE),"")</f>
        <v>2330</v>
      </c>
      <c r="P22" s="8">
        <f>IFERROR(VLOOKUP(B22,Petróleo!AD:AE,2,FALSE),"")</f>
        <v>3350</v>
      </c>
      <c r="Q22" s="8">
        <f>IFERROR(VLOOKUP(B22,Petróleo!AF:AG,2,FALSE),"")</f>
        <v>400</v>
      </c>
      <c r="R22" s="8">
        <f>IFERROR(VLOOKUP(B22,Petróleo!AH:AI,2,FALSE),"")</f>
        <v>1450</v>
      </c>
      <c r="S22" s="8">
        <f>IFERROR(VLOOKUP(B22,Petróleo!AJ:AK,2,FALSE),"")</f>
        <v>1900</v>
      </c>
      <c r="T22" s="8">
        <f>IFERROR(VLOOKUP(B22,Petróleo!AL:AM,2,FALSE),"")</f>
        <v>2350</v>
      </c>
      <c r="U22" s="8">
        <f>IFERROR(VLOOKUP(B22,Petróleo!AN:AO,2,FALSE),"")</f>
        <v>160</v>
      </c>
      <c r="V22" s="10" t="str">
        <f>IFERROR(VLOOKUP(A22,Petróleo!AR:AT,3,FALSE),"")</f>
        <v/>
      </c>
    </row>
    <row r="23" spans="1:24" x14ac:dyDescent="0.25">
      <c r="A23" s="9" t="str">
        <f t="shared" si="0"/>
        <v>101991</v>
      </c>
      <c r="B23" s="9">
        <v>33542</v>
      </c>
      <c r="C23" s="1">
        <f>IFERROR(VLOOKUP(B23,Petróleo!A:B,2,FALSE),"")</f>
        <v>7437</v>
      </c>
      <c r="D23" s="1">
        <f>IFERROR(VLOOKUP(B23,Estoque_US!D:E,2,FALSE),"")</f>
        <v>8273</v>
      </c>
      <c r="E23" s="1" t="str">
        <f>IFERROR(VLOOKUP(B23,Petróleo!F:G,2,FALSE),"")</f>
        <v/>
      </c>
      <c r="F23" s="1" t="str">
        <f>IFERROR(VLOOKUP(B23,Petróleo!H:I,2,FALSE),"")</f>
        <v/>
      </c>
      <c r="G23" s="1" t="str">
        <f>IFERROR(VLOOKUP(B23,Petróleo!J:K,2,FALSE),"")</f>
        <v/>
      </c>
      <c r="H23" s="1" t="str">
        <f>IFERROR(VLOOKUP(B23,Petróleo!L:M,2,FALSE),"")</f>
        <v/>
      </c>
      <c r="I23" s="1" t="str">
        <f>IFERROR(VLOOKUP(B23,Petróleo!N:O,2,FALSE),"")</f>
        <v/>
      </c>
      <c r="J23" s="1" t="str">
        <f>IFERROR(VLOOKUP(B23,Petróleo!P:Q,2,FALSE),"")</f>
        <v/>
      </c>
      <c r="K23" s="1" t="str">
        <f>IFERROR(VLOOKUP(B23,Petróleo!R:S,2,FALSE),"")</f>
        <v/>
      </c>
      <c r="L23" s="1" t="str">
        <f>IFERROR(VLOOKUP(B23,Petróleo!T:U,2,FALSE),"")</f>
        <v/>
      </c>
      <c r="M23" s="8">
        <f>IFERROR(VLOOKUP(B23,Petróleo!X:Y,2,FALSE),"")</f>
        <v>23490</v>
      </c>
      <c r="N23" s="8">
        <f>IFERROR(VLOOKUP(B23,Petróleo!Z:AA,2,FALSE),"")</f>
        <v>8350</v>
      </c>
      <c r="O23" s="8">
        <f>IFERROR(VLOOKUP(B23,Petróleo!AB:AC,2,FALSE),"")</f>
        <v>2450</v>
      </c>
      <c r="P23" s="8">
        <f>IFERROR(VLOOKUP(B23,Petróleo!AD:AE,2,FALSE),"")</f>
        <v>3200</v>
      </c>
      <c r="Q23" s="8">
        <f>IFERROR(VLOOKUP(B23,Petróleo!AF:AG,2,FALSE),"")</f>
        <v>450</v>
      </c>
      <c r="R23" s="8">
        <f>IFERROR(VLOOKUP(B23,Petróleo!AH:AI,2,FALSE),"")</f>
        <v>1450</v>
      </c>
      <c r="S23" s="8">
        <f>IFERROR(VLOOKUP(B23,Petróleo!AJ:AK,2,FALSE),"")</f>
        <v>1800</v>
      </c>
      <c r="T23" s="8">
        <f>IFERROR(VLOOKUP(B23,Petróleo!AL:AM,2,FALSE),"")</f>
        <v>2350</v>
      </c>
      <c r="U23" s="8">
        <f>IFERROR(VLOOKUP(B23,Petróleo!AN:AO,2,FALSE),"")</f>
        <v>270</v>
      </c>
      <c r="V23" s="10" t="str">
        <f>IFERROR(VLOOKUP(A23,Petróleo!AR:AT,3,FALSE),"")</f>
        <v/>
      </c>
    </row>
    <row r="24" spans="1:24" x14ac:dyDescent="0.25">
      <c r="A24" s="9" t="str">
        <f t="shared" si="0"/>
        <v>111991</v>
      </c>
      <c r="B24" s="9">
        <v>33572</v>
      </c>
      <c r="C24" s="1">
        <f>IFERROR(VLOOKUP(B24,Petróleo!A:B,2,FALSE),"")</f>
        <v>7328</v>
      </c>
      <c r="D24" s="1">
        <f>IFERROR(VLOOKUP(B24,Estoque_US!D:E,2,FALSE),"")</f>
        <v>-8592</v>
      </c>
      <c r="E24" s="1" t="str">
        <f>IFERROR(VLOOKUP(B24,Petróleo!F:G,2,FALSE),"")</f>
        <v/>
      </c>
      <c r="F24" s="1" t="str">
        <f>IFERROR(VLOOKUP(B24,Petróleo!H:I,2,FALSE),"")</f>
        <v/>
      </c>
      <c r="G24" s="1" t="str">
        <f>IFERROR(VLOOKUP(B24,Petróleo!J:K,2,FALSE),"")</f>
        <v/>
      </c>
      <c r="H24" s="1" t="str">
        <f>IFERROR(VLOOKUP(B24,Petróleo!L:M,2,FALSE),"")</f>
        <v/>
      </c>
      <c r="I24" s="1" t="str">
        <f>IFERROR(VLOOKUP(B24,Petróleo!N:O,2,FALSE),"")</f>
        <v/>
      </c>
      <c r="J24" s="1" t="str">
        <f>IFERROR(VLOOKUP(B24,Petróleo!P:Q,2,FALSE),"")</f>
        <v/>
      </c>
      <c r="K24" s="1" t="str">
        <f>IFERROR(VLOOKUP(B24,Petróleo!R:S,2,FALSE),"")</f>
        <v/>
      </c>
      <c r="L24" s="1" t="str">
        <f>IFERROR(VLOOKUP(B24,Petróleo!T:U,2,FALSE),"")</f>
        <v/>
      </c>
      <c r="M24" s="8">
        <f>IFERROR(VLOOKUP(B24,Petróleo!X:Y,2,FALSE),"")</f>
        <v>23850</v>
      </c>
      <c r="N24" s="8">
        <f>IFERROR(VLOOKUP(B24,Petróleo!Z:AA,2,FALSE),"")</f>
        <v>8360</v>
      </c>
      <c r="O24" s="8">
        <f>IFERROR(VLOOKUP(B24,Petróleo!AB:AC,2,FALSE),"")</f>
        <v>2470</v>
      </c>
      <c r="P24" s="8">
        <f>IFERROR(VLOOKUP(B24,Petróleo!AD:AE,2,FALSE),"")</f>
        <v>3300</v>
      </c>
      <c r="Q24" s="8">
        <f>IFERROR(VLOOKUP(B24,Petróleo!AF:AG,2,FALSE),"")</f>
        <v>450</v>
      </c>
      <c r="R24" s="8">
        <f>IFERROR(VLOOKUP(B24,Petróleo!AH:AI,2,FALSE),"")</f>
        <v>1550</v>
      </c>
      <c r="S24" s="8">
        <f>IFERROR(VLOOKUP(B24,Petróleo!AJ:AK,2,FALSE),"")</f>
        <v>1850</v>
      </c>
      <c r="T24" s="8">
        <f>IFERROR(VLOOKUP(B24,Petróleo!AL:AM,2,FALSE),"")</f>
        <v>2350</v>
      </c>
      <c r="U24" s="8">
        <f>IFERROR(VLOOKUP(B24,Petróleo!AN:AO,2,FALSE),"")</f>
        <v>330</v>
      </c>
      <c r="V24" s="10" t="str">
        <f>IFERROR(VLOOKUP(A24,Petróleo!AR:AT,3,FALSE),"")</f>
        <v/>
      </c>
    </row>
    <row r="25" spans="1:24" x14ac:dyDescent="0.25">
      <c r="A25" s="9" t="str">
        <f t="shared" si="0"/>
        <v>121991</v>
      </c>
      <c r="B25" s="9">
        <v>33603</v>
      </c>
      <c r="C25" s="1">
        <f>IFERROR(VLOOKUP(B25,Petróleo!A:B,2,FALSE),"")</f>
        <v>7299</v>
      </c>
      <c r="D25" s="1">
        <f>IFERROR(VLOOKUP(B25,Estoque_US!D:E,2,FALSE),"")</f>
        <v>-14696</v>
      </c>
      <c r="E25" s="1" t="str">
        <f>IFERROR(VLOOKUP(B25,Petróleo!F:G,2,FALSE),"")</f>
        <v/>
      </c>
      <c r="F25" s="1" t="str">
        <f>IFERROR(VLOOKUP(B25,Petróleo!H:I,2,FALSE),"")</f>
        <v/>
      </c>
      <c r="G25" s="1" t="str">
        <f>IFERROR(VLOOKUP(B25,Petróleo!J:K,2,FALSE),"")</f>
        <v/>
      </c>
      <c r="H25" s="1" t="str">
        <f>IFERROR(VLOOKUP(B25,Petróleo!L:M,2,FALSE),"")</f>
        <v/>
      </c>
      <c r="I25" s="1" t="str">
        <f>IFERROR(VLOOKUP(B25,Petróleo!N:O,2,FALSE),"")</f>
        <v/>
      </c>
      <c r="J25" s="1" t="str">
        <f>IFERROR(VLOOKUP(B25,Petróleo!P:Q,2,FALSE),"")</f>
        <v/>
      </c>
      <c r="K25" s="1" t="str">
        <f>IFERROR(VLOOKUP(B25,Petróleo!R:S,2,FALSE),"")</f>
        <v/>
      </c>
      <c r="L25" s="1" t="str">
        <f>IFERROR(VLOOKUP(B25,Petróleo!T:U,2,FALSE),"")</f>
        <v/>
      </c>
      <c r="M25" s="8">
        <f>IFERROR(VLOOKUP(B25,Petróleo!X:Y,2,FALSE),"")</f>
        <v>24350</v>
      </c>
      <c r="N25" s="8">
        <f>IFERROR(VLOOKUP(B25,Petróleo!Z:AA,2,FALSE),"")</f>
        <v>8500</v>
      </c>
      <c r="O25" s="8">
        <f>IFERROR(VLOOKUP(B25,Petróleo!AB:AC,2,FALSE),"")</f>
        <v>2450</v>
      </c>
      <c r="P25" s="8">
        <f>IFERROR(VLOOKUP(B25,Petróleo!AD:AE,2,FALSE),"")</f>
        <v>3350</v>
      </c>
      <c r="Q25" s="8">
        <f>IFERROR(VLOOKUP(B25,Petróleo!AF:AG,2,FALSE),"")</f>
        <v>480</v>
      </c>
      <c r="R25" s="8">
        <f>IFERROR(VLOOKUP(B25,Petróleo!AH:AI,2,FALSE),"")</f>
        <v>1600</v>
      </c>
      <c r="S25" s="8">
        <f>IFERROR(VLOOKUP(B25,Petróleo!AJ:AK,2,FALSE),"")</f>
        <v>1930</v>
      </c>
      <c r="T25" s="8">
        <f>IFERROR(VLOOKUP(B25,Petróleo!AL:AM,2,FALSE),"")</f>
        <v>2350</v>
      </c>
      <c r="U25" s="8">
        <f>IFERROR(VLOOKUP(B25,Petróleo!AN:AO,2,FALSE),"")</f>
        <v>520</v>
      </c>
      <c r="V25" s="10" t="str">
        <f>IFERROR(VLOOKUP(A25,Petróleo!AR:AT,3,FALSE),"")</f>
        <v/>
      </c>
    </row>
    <row r="26" spans="1:24" x14ac:dyDescent="0.25">
      <c r="A26" s="9" t="str">
        <f t="shared" si="0"/>
        <v>11992</v>
      </c>
      <c r="B26" s="9">
        <v>33634</v>
      </c>
      <c r="C26" s="1">
        <f>IFERROR(VLOOKUP(B26,Petróleo!A:B,2,FALSE),"")</f>
        <v>7361</v>
      </c>
      <c r="D26" s="1">
        <f>IFERROR(VLOOKUP(B26,Estoque_US!D:E,2,FALSE),"")</f>
        <v>9041</v>
      </c>
      <c r="E26" s="1" t="str">
        <f>IFERROR(VLOOKUP(B26,Petróleo!F:G,2,FALSE),"")</f>
        <v/>
      </c>
      <c r="F26" s="1" t="str">
        <f>IFERROR(VLOOKUP(B26,Petróleo!H:I,2,FALSE),"")</f>
        <v/>
      </c>
      <c r="G26" s="1" t="str">
        <f>IFERROR(VLOOKUP(B26,Petróleo!J:K,2,FALSE),"")</f>
        <v/>
      </c>
      <c r="H26" s="1" t="str">
        <f>IFERROR(VLOOKUP(B26,Petróleo!L:M,2,FALSE),"")</f>
        <v/>
      </c>
      <c r="I26" s="1" t="str">
        <f>IFERROR(VLOOKUP(B26,Petróleo!N:O,2,FALSE),"")</f>
        <v/>
      </c>
      <c r="J26" s="1" t="str">
        <f>IFERROR(VLOOKUP(B26,Petróleo!P:Q,2,FALSE),"")</f>
        <v/>
      </c>
      <c r="K26" s="1" t="str">
        <f>IFERROR(VLOOKUP(B26,Petróleo!R:S,2,FALSE),"")</f>
        <v/>
      </c>
      <c r="L26" s="1" t="str">
        <f>IFERROR(VLOOKUP(B26,Petróleo!T:U,2,FALSE),"")</f>
        <v/>
      </c>
      <c r="M26" s="8">
        <f>IFERROR(VLOOKUP(B26,Petróleo!X:Y,2,FALSE),"")</f>
        <v>24340</v>
      </c>
      <c r="N26" s="8">
        <f>IFERROR(VLOOKUP(B26,Petróleo!Z:AA,2,FALSE),"")</f>
        <v>8650</v>
      </c>
      <c r="O26" s="8">
        <f>IFERROR(VLOOKUP(B26,Petróleo!AB:AC,2,FALSE),"")</f>
        <v>2390</v>
      </c>
      <c r="P26" s="8">
        <f>IFERROR(VLOOKUP(B26,Petróleo!AD:AE,2,FALSE),"")</f>
        <v>3390</v>
      </c>
      <c r="Q26" s="8">
        <f>IFERROR(VLOOKUP(B26,Petróleo!AF:AG,2,FALSE),"")</f>
        <v>480</v>
      </c>
      <c r="R26" s="8">
        <f>IFERROR(VLOOKUP(B26,Petróleo!AH:AI,2,FALSE),"")</f>
        <v>1570</v>
      </c>
      <c r="S26" s="8">
        <f>IFERROR(VLOOKUP(B26,Petróleo!AJ:AK,2,FALSE),"")</f>
        <v>1900</v>
      </c>
      <c r="T26" s="8">
        <f>IFERROR(VLOOKUP(B26,Petróleo!AL:AM,2,FALSE),"")</f>
        <v>2300</v>
      </c>
      <c r="U26" s="8">
        <f>IFERROR(VLOOKUP(B26,Petróleo!AN:AO,2,FALSE),"")</f>
        <v>560</v>
      </c>
      <c r="V26" s="10" t="str">
        <f>IFERROR(VLOOKUP(A26,Petróleo!AR:AT,3,FALSE),"")</f>
        <v/>
      </c>
    </row>
    <row r="27" spans="1:24" x14ac:dyDescent="0.25">
      <c r="A27" s="9" t="str">
        <f t="shared" si="0"/>
        <v>21992</v>
      </c>
      <c r="B27" s="9">
        <v>33663</v>
      </c>
      <c r="C27" s="1">
        <f>IFERROR(VLOOKUP(B27,Petróleo!A:B,2,FALSE),"")</f>
        <v>7389</v>
      </c>
      <c r="D27" s="1">
        <f>IFERROR(VLOOKUP(B27,Estoque_US!D:E,2,FALSE),"")</f>
        <v>8189</v>
      </c>
      <c r="E27" s="1" t="str">
        <f>IFERROR(VLOOKUP(B27,Petróleo!F:G,2,FALSE),"")</f>
        <v/>
      </c>
      <c r="F27" s="1" t="str">
        <f>IFERROR(VLOOKUP(B27,Petróleo!H:I,2,FALSE),"")</f>
        <v/>
      </c>
      <c r="G27" s="1" t="str">
        <f>IFERROR(VLOOKUP(B27,Petróleo!J:K,2,FALSE),"")</f>
        <v/>
      </c>
      <c r="H27" s="1" t="str">
        <f>IFERROR(VLOOKUP(B27,Petróleo!L:M,2,FALSE),"")</f>
        <v/>
      </c>
      <c r="I27" s="1" t="str">
        <f>IFERROR(VLOOKUP(B27,Petróleo!N:O,2,FALSE),"")</f>
        <v/>
      </c>
      <c r="J27" s="1" t="str">
        <f>IFERROR(VLOOKUP(B27,Petróleo!P:Q,2,FALSE),"")</f>
        <v/>
      </c>
      <c r="K27" s="1" t="str">
        <f>IFERROR(VLOOKUP(B27,Petróleo!R:S,2,FALSE),"")</f>
        <v/>
      </c>
      <c r="L27" s="1" t="str">
        <f>IFERROR(VLOOKUP(B27,Petróleo!T:U,2,FALSE),"")</f>
        <v/>
      </c>
      <c r="M27" s="8">
        <f>IFERROR(VLOOKUP(B27,Petróleo!X:Y,2,FALSE),"")</f>
        <v>23940</v>
      </c>
      <c r="N27" s="8">
        <f>IFERROR(VLOOKUP(B27,Petróleo!Z:AA,2,FALSE),"")</f>
        <v>8450</v>
      </c>
      <c r="O27" s="8">
        <f>IFERROR(VLOOKUP(B27,Petróleo!AB:AC,2,FALSE),"")</f>
        <v>2340</v>
      </c>
      <c r="P27" s="8">
        <f>IFERROR(VLOOKUP(B27,Petróleo!AD:AE,2,FALSE),"")</f>
        <v>3350</v>
      </c>
      <c r="Q27" s="8">
        <f>IFERROR(VLOOKUP(B27,Petróleo!AF:AG,2,FALSE),"")</f>
        <v>480</v>
      </c>
      <c r="R27" s="8">
        <f>IFERROR(VLOOKUP(B27,Petróleo!AH:AI,2,FALSE),"")</f>
        <v>1550</v>
      </c>
      <c r="S27" s="8">
        <f>IFERROR(VLOOKUP(B27,Petróleo!AJ:AK,2,FALSE),"")</f>
        <v>1850</v>
      </c>
      <c r="T27" s="8">
        <f>IFERROR(VLOOKUP(B27,Petróleo!AL:AM,2,FALSE),"")</f>
        <v>2250</v>
      </c>
      <c r="U27" s="8">
        <f>IFERROR(VLOOKUP(B27,Petróleo!AN:AO,2,FALSE),"")</f>
        <v>600</v>
      </c>
      <c r="V27" s="10" t="str">
        <f>IFERROR(VLOOKUP(A27,Petróleo!AR:AT,3,FALSE),"")</f>
        <v/>
      </c>
    </row>
    <row r="28" spans="1:24" x14ac:dyDescent="0.25">
      <c r="A28" s="9" t="str">
        <f t="shared" si="0"/>
        <v>31992</v>
      </c>
      <c r="B28" s="9">
        <v>33694</v>
      </c>
      <c r="C28" s="1">
        <f>IFERROR(VLOOKUP(B28,Petróleo!A:B,2,FALSE),"")</f>
        <v>7348</v>
      </c>
      <c r="D28" s="1">
        <f>IFERROR(VLOOKUP(B28,Estoque_US!D:E,2,FALSE),"")</f>
        <v>-864</v>
      </c>
      <c r="E28" s="1" t="str">
        <f>IFERROR(VLOOKUP(B28,Petróleo!F:G,2,FALSE),"")</f>
        <v/>
      </c>
      <c r="F28" s="1" t="str">
        <f>IFERROR(VLOOKUP(B28,Petróleo!H:I,2,FALSE),"")</f>
        <v/>
      </c>
      <c r="G28" s="1" t="str">
        <f>IFERROR(VLOOKUP(B28,Petróleo!J:K,2,FALSE),"")</f>
        <v/>
      </c>
      <c r="H28" s="1" t="str">
        <f>IFERROR(VLOOKUP(B28,Petróleo!L:M,2,FALSE),"")</f>
        <v/>
      </c>
      <c r="I28" s="1" t="str">
        <f>IFERROR(VLOOKUP(B28,Petróleo!N:O,2,FALSE),"")</f>
        <v/>
      </c>
      <c r="J28" s="1" t="str">
        <f>IFERROR(VLOOKUP(B28,Petróleo!P:Q,2,FALSE),"")</f>
        <v/>
      </c>
      <c r="K28" s="1" t="str">
        <f>IFERROR(VLOOKUP(B28,Petróleo!R:S,2,FALSE),"")</f>
        <v/>
      </c>
      <c r="L28" s="1" t="str">
        <f>IFERROR(VLOOKUP(B28,Petróleo!T:U,2,FALSE),"")</f>
        <v/>
      </c>
      <c r="M28" s="8">
        <f>IFERROR(VLOOKUP(B28,Petróleo!X:Y,2,FALSE),"")</f>
        <v>23370</v>
      </c>
      <c r="N28" s="8">
        <f>IFERROR(VLOOKUP(B28,Petróleo!Z:AA,2,FALSE),"")</f>
        <v>8070</v>
      </c>
      <c r="O28" s="8">
        <f>IFERROR(VLOOKUP(B28,Petróleo!AB:AC,2,FALSE),"")</f>
        <v>2250</v>
      </c>
      <c r="P28" s="8">
        <f>IFERROR(VLOOKUP(B28,Petróleo!AD:AE,2,FALSE),"")</f>
        <v>3350</v>
      </c>
      <c r="Q28" s="8">
        <f>IFERROR(VLOOKUP(B28,Petróleo!AF:AG,2,FALSE),"")</f>
        <v>450</v>
      </c>
      <c r="R28" s="8">
        <f>IFERROR(VLOOKUP(B28,Petróleo!AH:AI,2,FALSE),"")</f>
        <v>1450</v>
      </c>
      <c r="S28" s="8">
        <f>IFERROR(VLOOKUP(B28,Petróleo!AJ:AK,2,FALSE),"")</f>
        <v>1820</v>
      </c>
      <c r="T28" s="8">
        <f>IFERROR(VLOOKUP(B28,Petróleo!AL:AM,2,FALSE),"")</f>
        <v>2150</v>
      </c>
      <c r="U28" s="8">
        <f>IFERROR(VLOOKUP(B28,Petróleo!AN:AO,2,FALSE),"")</f>
        <v>730</v>
      </c>
      <c r="V28" s="10" t="str">
        <f>IFERROR(VLOOKUP(A28,Petróleo!AR:AT,3,FALSE),"")</f>
        <v/>
      </c>
    </row>
    <row r="29" spans="1:24" x14ac:dyDescent="0.25">
      <c r="A29" s="9" t="str">
        <f t="shared" si="0"/>
        <v>41992</v>
      </c>
      <c r="B29" s="9">
        <v>33724</v>
      </c>
      <c r="C29" s="1">
        <f>IFERROR(VLOOKUP(B29,Petróleo!A:B,2,FALSE),"")</f>
        <v>7293</v>
      </c>
      <c r="D29" s="1">
        <f>IFERROR(VLOOKUP(B29,Estoque_US!D:E,2,FALSE),"")</f>
        <v>7953</v>
      </c>
      <c r="E29" s="1" t="str">
        <f>IFERROR(VLOOKUP(B29,Petróleo!F:G,2,FALSE),"")</f>
        <v/>
      </c>
      <c r="F29" s="1" t="str">
        <f>IFERROR(VLOOKUP(B29,Petróleo!H:I,2,FALSE),"")</f>
        <v/>
      </c>
      <c r="G29" s="1" t="str">
        <f>IFERROR(VLOOKUP(B29,Petróleo!J:K,2,FALSE),"")</f>
        <v/>
      </c>
      <c r="H29" s="1" t="str">
        <f>IFERROR(VLOOKUP(B29,Petróleo!L:M,2,FALSE),"")</f>
        <v/>
      </c>
      <c r="I29" s="1" t="str">
        <f>IFERROR(VLOOKUP(B29,Petróleo!N:O,2,FALSE),"")</f>
        <v/>
      </c>
      <c r="J29" s="1" t="str">
        <f>IFERROR(VLOOKUP(B29,Petróleo!P:Q,2,FALSE),"")</f>
        <v/>
      </c>
      <c r="K29" s="1" t="str">
        <f>IFERROR(VLOOKUP(B29,Petróleo!R:S,2,FALSE),"")</f>
        <v/>
      </c>
      <c r="L29" s="1" t="str">
        <f>IFERROR(VLOOKUP(B29,Petróleo!T:U,2,FALSE),"")</f>
        <v/>
      </c>
      <c r="M29" s="8">
        <f>IFERROR(VLOOKUP(B29,Petróleo!X:Y,2,FALSE),"")</f>
        <v>23500</v>
      </c>
      <c r="N29" s="8">
        <f>IFERROR(VLOOKUP(B29,Petróleo!Z:AA,2,FALSE),"")</f>
        <v>8150</v>
      </c>
      <c r="O29" s="8">
        <f>IFERROR(VLOOKUP(B29,Petróleo!AB:AC,2,FALSE),"")</f>
        <v>2230</v>
      </c>
      <c r="P29" s="8">
        <f>IFERROR(VLOOKUP(B29,Petróleo!AD:AE,2,FALSE),"")</f>
        <v>3150</v>
      </c>
      <c r="Q29" s="8">
        <f>IFERROR(VLOOKUP(B29,Petróleo!AF:AG,2,FALSE),"")</f>
        <v>450</v>
      </c>
      <c r="R29" s="8">
        <f>IFERROR(VLOOKUP(B29,Petróleo!AH:AI,2,FALSE),"")</f>
        <v>1500</v>
      </c>
      <c r="S29" s="8">
        <f>IFERROR(VLOOKUP(B29,Petróleo!AJ:AK,2,FALSE),"")</f>
        <v>1850</v>
      </c>
      <c r="T29" s="8">
        <f>IFERROR(VLOOKUP(B29,Petróleo!AL:AM,2,FALSE),"")</f>
        <v>2180</v>
      </c>
      <c r="U29" s="8">
        <f>IFERROR(VLOOKUP(B29,Petróleo!AN:AO,2,FALSE),"")</f>
        <v>850</v>
      </c>
      <c r="V29" s="10" t="str">
        <f>IFERROR(VLOOKUP(A29,Petróleo!AR:AT,3,FALSE),"")</f>
        <v/>
      </c>
    </row>
    <row r="30" spans="1:24" x14ac:dyDescent="0.25">
      <c r="A30" s="9" t="str">
        <f t="shared" si="0"/>
        <v>51992</v>
      </c>
      <c r="B30" s="9">
        <v>33755</v>
      </c>
      <c r="C30" s="1">
        <f>IFERROR(VLOOKUP(B30,Petróleo!A:B,2,FALSE),"")</f>
        <v>7169</v>
      </c>
      <c r="D30" s="1">
        <f>IFERROR(VLOOKUP(B30,Estoque_US!D:E,2,FALSE),"")</f>
        <v>-4636</v>
      </c>
      <c r="E30" s="1" t="str">
        <f>IFERROR(VLOOKUP(B30,Petróleo!F:G,2,FALSE),"")</f>
        <v/>
      </c>
      <c r="F30" s="1" t="str">
        <f>IFERROR(VLOOKUP(B30,Petróleo!H:I,2,FALSE),"")</f>
        <v/>
      </c>
      <c r="G30" s="1" t="str">
        <f>IFERROR(VLOOKUP(B30,Petróleo!J:K,2,FALSE),"")</f>
        <v/>
      </c>
      <c r="H30" s="1" t="str">
        <f>IFERROR(VLOOKUP(B30,Petróleo!L:M,2,FALSE),"")</f>
        <v/>
      </c>
      <c r="I30" s="1" t="str">
        <f>IFERROR(VLOOKUP(B30,Petróleo!N:O,2,FALSE),"")</f>
        <v/>
      </c>
      <c r="J30" s="1" t="str">
        <f>IFERROR(VLOOKUP(B30,Petróleo!P:Q,2,FALSE),"")</f>
        <v/>
      </c>
      <c r="K30" s="1" t="str">
        <f>IFERROR(VLOOKUP(B30,Petróleo!R:S,2,FALSE),"")</f>
        <v/>
      </c>
      <c r="L30" s="1" t="str">
        <f>IFERROR(VLOOKUP(B30,Petróleo!T:U,2,FALSE),"")</f>
        <v/>
      </c>
      <c r="M30" s="8">
        <f>IFERROR(VLOOKUP(B30,Petróleo!X:Y,2,FALSE),"")</f>
        <v>23730</v>
      </c>
      <c r="N30" s="8">
        <f>IFERROR(VLOOKUP(B30,Petróleo!Z:AA,2,FALSE),"")</f>
        <v>8200</v>
      </c>
      <c r="O30" s="8">
        <f>IFERROR(VLOOKUP(B30,Petróleo!AB:AC,2,FALSE),"")</f>
        <v>2200</v>
      </c>
      <c r="P30" s="8">
        <f>IFERROR(VLOOKUP(B30,Petróleo!AD:AE,2,FALSE),"")</f>
        <v>3300</v>
      </c>
      <c r="Q30" s="8">
        <f>IFERROR(VLOOKUP(B30,Petróleo!AF:AG,2,FALSE),"")</f>
        <v>450</v>
      </c>
      <c r="R30" s="8">
        <f>IFERROR(VLOOKUP(B30,Petróleo!AH:AI,2,FALSE),"")</f>
        <v>1400</v>
      </c>
      <c r="S30" s="8">
        <f>IFERROR(VLOOKUP(B30,Petróleo!AJ:AK,2,FALSE),"")</f>
        <v>1800</v>
      </c>
      <c r="T30" s="8">
        <f>IFERROR(VLOOKUP(B30,Petróleo!AL:AM,2,FALSE),"")</f>
        <v>2200</v>
      </c>
      <c r="U30" s="8">
        <f>IFERROR(VLOOKUP(B30,Petróleo!AN:AO,2,FALSE),"")</f>
        <v>980</v>
      </c>
      <c r="V30" s="10" t="str">
        <f>IFERROR(VLOOKUP(A30,Petróleo!AR:AT,3,FALSE),"")</f>
        <v/>
      </c>
    </row>
    <row r="31" spans="1:24" x14ac:dyDescent="0.25">
      <c r="A31" s="9" t="str">
        <f t="shared" si="0"/>
        <v>61992</v>
      </c>
      <c r="B31" s="9">
        <v>33785</v>
      </c>
      <c r="C31" s="1">
        <f>IFERROR(VLOOKUP(B31,Petróleo!A:B,2,FALSE),"")</f>
        <v>7167</v>
      </c>
      <c r="D31" s="1">
        <f>IFERROR(VLOOKUP(B31,Estoque_US!D:E,2,FALSE),"")</f>
        <v>-16234</v>
      </c>
      <c r="E31" s="1" t="str">
        <f>IFERROR(VLOOKUP(B31,Petróleo!F:G,2,FALSE),"")</f>
        <v/>
      </c>
      <c r="F31" s="1" t="str">
        <f>IFERROR(VLOOKUP(B31,Petróleo!H:I,2,FALSE),"")</f>
        <v/>
      </c>
      <c r="G31" s="1" t="str">
        <f>IFERROR(VLOOKUP(B31,Petróleo!J:K,2,FALSE),"")</f>
        <v/>
      </c>
      <c r="H31" s="1" t="str">
        <f>IFERROR(VLOOKUP(B31,Petróleo!L:M,2,FALSE),"")</f>
        <v/>
      </c>
      <c r="I31" s="1" t="str">
        <f>IFERROR(VLOOKUP(B31,Petróleo!N:O,2,FALSE),"")</f>
        <v/>
      </c>
      <c r="J31" s="1" t="str">
        <f>IFERROR(VLOOKUP(B31,Petróleo!P:Q,2,FALSE),"")</f>
        <v/>
      </c>
      <c r="K31" s="1" t="str">
        <f>IFERROR(VLOOKUP(B31,Petróleo!R:S,2,FALSE),"")</f>
        <v/>
      </c>
      <c r="L31" s="1" t="str">
        <f>IFERROR(VLOOKUP(B31,Petróleo!T:U,2,FALSE),"")</f>
        <v/>
      </c>
      <c r="M31" s="8">
        <f>IFERROR(VLOOKUP(B31,Petróleo!X:Y,2,FALSE),"")</f>
        <v>23820</v>
      </c>
      <c r="N31" s="8">
        <f>IFERROR(VLOOKUP(B31,Petróleo!Z:AA,2,FALSE),"")</f>
        <v>8300</v>
      </c>
      <c r="O31" s="8">
        <f>IFERROR(VLOOKUP(B31,Petróleo!AB:AC,2,FALSE),"")</f>
        <v>2200</v>
      </c>
      <c r="P31" s="8">
        <f>IFERROR(VLOOKUP(B31,Petróleo!AD:AE,2,FALSE),"")</f>
        <v>3150</v>
      </c>
      <c r="Q31" s="8">
        <f>IFERROR(VLOOKUP(B31,Petróleo!AF:AG,2,FALSE),"")</f>
        <v>450</v>
      </c>
      <c r="R31" s="8">
        <f>IFERROR(VLOOKUP(B31,Petróleo!AH:AI,2,FALSE),"")</f>
        <v>1400</v>
      </c>
      <c r="S31" s="8">
        <f>IFERROR(VLOOKUP(B31,Petróleo!AJ:AK,2,FALSE),"")</f>
        <v>1800</v>
      </c>
      <c r="T31" s="8">
        <f>IFERROR(VLOOKUP(B31,Petróleo!AL:AM,2,FALSE),"")</f>
        <v>2200</v>
      </c>
      <c r="U31" s="8">
        <f>IFERROR(VLOOKUP(B31,Petróleo!AN:AO,2,FALSE),"")</f>
        <v>1120</v>
      </c>
      <c r="V31" s="10" t="str">
        <f>IFERROR(VLOOKUP(A31,Petróleo!AR:AT,3,FALSE),"")</f>
        <v/>
      </c>
    </row>
    <row r="32" spans="1:24" x14ac:dyDescent="0.25">
      <c r="A32" s="9" t="str">
        <f t="shared" si="0"/>
        <v>71992</v>
      </c>
      <c r="B32" s="9">
        <v>33816</v>
      </c>
      <c r="C32" s="1">
        <f>IFERROR(VLOOKUP(B32,Petróleo!A:B,2,FALSE),"")</f>
        <v>7131</v>
      </c>
      <c r="D32" s="1">
        <f>IFERROR(VLOOKUP(B32,Estoque_US!D:E,2,FALSE),"")</f>
        <v>1116</v>
      </c>
      <c r="E32" s="1" t="str">
        <f>IFERROR(VLOOKUP(B32,Petróleo!F:G,2,FALSE),"")</f>
        <v/>
      </c>
      <c r="F32" s="1" t="str">
        <f>IFERROR(VLOOKUP(B32,Petróleo!H:I,2,FALSE),"")</f>
        <v/>
      </c>
      <c r="G32" s="1" t="str">
        <f>IFERROR(VLOOKUP(B32,Petróleo!J:K,2,FALSE),"")</f>
        <v/>
      </c>
      <c r="H32" s="1" t="str">
        <f>IFERROR(VLOOKUP(B32,Petróleo!L:M,2,FALSE),"")</f>
        <v/>
      </c>
      <c r="I32" s="1" t="str">
        <f>IFERROR(VLOOKUP(B32,Petróleo!N:O,2,FALSE),"")</f>
        <v/>
      </c>
      <c r="J32" s="1" t="str">
        <f>IFERROR(VLOOKUP(B32,Petróleo!P:Q,2,FALSE),"")</f>
        <v/>
      </c>
      <c r="K32" s="1" t="str">
        <f>IFERROR(VLOOKUP(B32,Petróleo!R:S,2,FALSE),"")</f>
        <v/>
      </c>
      <c r="L32" s="1" t="str">
        <f>IFERROR(VLOOKUP(B32,Petróleo!T:U,2,FALSE),"")</f>
        <v/>
      </c>
      <c r="M32" s="8">
        <f>IFERROR(VLOOKUP(B32,Petróleo!X:Y,2,FALSE),"")</f>
        <v>24325</v>
      </c>
      <c r="N32" s="8">
        <f>IFERROR(VLOOKUP(B32,Petróleo!Z:AA,2,FALSE),"")</f>
        <v>8303</v>
      </c>
      <c r="O32" s="8">
        <f>IFERROR(VLOOKUP(B32,Petróleo!AB:AC,2,FALSE),"")</f>
        <v>2230</v>
      </c>
      <c r="P32" s="8">
        <f>IFERROR(VLOOKUP(B32,Petróleo!AD:AE,2,FALSE),"")</f>
        <v>3250</v>
      </c>
      <c r="Q32" s="8">
        <f>IFERROR(VLOOKUP(B32,Petróleo!AF:AG,2,FALSE),"")</f>
        <v>450</v>
      </c>
      <c r="R32" s="8">
        <f>IFERROR(VLOOKUP(B32,Petróleo!AH:AI,2,FALSE),"")</f>
        <v>1450</v>
      </c>
      <c r="S32" s="8">
        <f>IFERROR(VLOOKUP(B32,Petróleo!AJ:AK,2,FALSE),"")</f>
        <v>1900</v>
      </c>
      <c r="T32" s="8">
        <f>IFERROR(VLOOKUP(B32,Petróleo!AL:AM,2,FALSE),"")</f>
        <v>2300</v>
      </c>
      <c r="U32" s="8">
        <f>IFERROR(VLOOKUP(B32,Petróleo!AN:AO,2,FALSE),"")</f>
        <v>1120</v>
      </c>
      <c r="V32" s="10" t="str">
        <f>IFERROR(VLOOKUP(A32,Petróleo!AR:AT,3,FALSE),"")</f>
        <v/>
      </c>
    </row>
    <row r="33" spans="1:22" x14ac:dyDescent="0.25">
      <c r="A33" s="9" t="str">
        <f t="shared" si="0"/>
        <v>81992</v>
      </c>
      <c r="B33" s="9">
        <v>33847</v>
      </c>
      <c r="C33" s="1">
        <f>IFERROR(VLOOKUP(B33,Petróleo!A:B,2,FALSE),"")</f>
        <v>6922</v>
      </c>
      <c r="D33" s="1">
        <f>IFERROR(VLOOKUP(B33,Estoque_US!D:E,2,FALSE),"")</f>
        <v>-5495</v>
      </c>
      <c r="E33" s="1" t="str">
        <f>IFERROR(VLOOKUP(B33,Petróleo!F:G,2,FALSE),"")</f>
        <v/>
      </c>
      <c r="F33" s="1" t="str">
        <f>IFERROR(VLOOKUP(B33,Petróleo!H:I,2,FALSE),"")</f>
        <v/>
      </c>
      <c r="G33" s="1" t="str">
        <f>IFERROR(VLOOKUP(B33,Petróleo!J:K,2,FALSE),"")</f>
        <v/>
      </c>
      <c r="H33" s="1" t="str">
        <f>IFERROR(VLOOKUP(B33,Petróleo!L:M,2,FALSE),"")</f>
        <v/>
      </c>
      <c r="I33" s="1" t="str">
        <f>IFERROR(VLOOKUP(B33,Petróleo!N:O,2,FALSE),"")</f>
        <v/>
      </c>
      <c r="J33" s="1" t="str">
        <f>IFERROR(VLOOKUP(B33,Petróleo!P:Q,2,FALSE),"")</f>
        <v/>
      </c>
      <c r="K33" s="1" t="str">
        <f>IFERROR(VLOOKUP(B33,Petróleo!R:S,2,FALSE),"")</f>
        <v/>
      </c>
      <c r="L33" s="1" t="str">
        <f>IFERROR(VLOOKUP(B33,Petróleo!T:U,2,FALSE),"")</f>
        <v/>
      </c>
      <c r="M33" s="8">
        <f>IFERROR(VLOOKUP(B33,Petróleo!X:Y,2,FALSE),"")</f>
        <v>24430</v>
      </c>
      <c r="N33" s="8">
        <f>IFERROR(VLOOKUP(B33,Petróleo!Z:AA,2,FALSE),"")</f>
        <v>8391</v>
      </c>
      <c r="O33" s="8">
        <f>IFERROR(VLOOKUP(B33,Petróleo!AB:AC,2,FALSE),"")</f>
        <v>2280</v>
      </c>
      <c r="P33" s="8">
        <f>IFERROR(VLOOKUP(B33,Petróleo!AD:AE,2,FALSE),"")</f>
        <v>3400</v>
      </c>
      <c r="Q33" s="8">
        <f>IFERROR(VLOOKUP(B33,Petróleo!AF:AG,2,FALSE),"")</f>
        <v>450</v>
      </c>
      <c r="R33" s="8">
        <f>IFERROR(VLOOKUP(B33,Petróleo!AH:AI,2,FALSE),"")</f>
        <v>1440</v>
      </c>
      <c r="S33" s="8">
        <f>IFERROR(VLOOKUP(B33,Petróleo!AJ:AK,2,FALSE),"")</f>
        <v>1900</v>
      </c>
      <c r="T33" s="8">
        <f>IFERROR(VLOOKUP(B33,Petróleo!AL:AM,2,FALSE),"")</f>
        <v>2260</v>
      </c>
      <c r="U33" s="8">
        <f>IFERROR(VLOOKUP(B33,Petróleo!AN:AO,2,FALSE),"")</f>
        <v>1151</v>
      </c>
      <c r="V33" s="10" t="str">
        <f>IFERROR(VLOOKUP(A33,Petróleo!AR:AT,3,FALSE),"")</f>
        <v/>
      </c>
    </row>
    <row r="34" spans="1:22" x14ac:dyDescent="0.25">
      <c r="A34" s="9" t="str">
        <f t="shared" si="0"/>
        <v>91992</v>
      </c>
      <c r="B34" s="9">
        <v>33877</v>
      </c>
      <c r="C34" s="1">
        <f>IFERROR(VLOOKUP(B34,Petróleo!A:B,2,FALSE),"")</f>
        <v>7030</v>
      </c>
      <c r="D34" s="1">
        <f>IFERROR(VLOOKUP(B34,Estoque_US!D:E,2,FALSE),"")</f>
        <v>-2971</v>
      </c>
      <c r="E34" s="1" t="str">
        <f>IFERROR(VLOOKUP(B34,Petróleo!F:G,2,FALSE),"")</f>
        <v/>
      </c>
      <c r="F34" s="1" t="str">
        <f>IFERROR(VLOOKUP(B34,Petróleo!H:I,2,FALSE),"")</f>
        <v/>
      </c>
      <c r="G34" s="1" t="str">
        <f>IFERROR(VLOOKUP(B34,Petróleo!J:K,2,FALSE),"")</f>
        <v/>
      </c>
      <c r="H34" s="1" t="str">
        <f>IFERROR(VLOOKUP(B34,Petróleo!L:M,2,FALSE),"")</f>
        <v/>
      </c>
      <c r="I34" s="1" t="str">
        <f>IFERROR(VLOOKUP(B34,Petróleo!N:O,2,FALSE),"")</f>
        <v/>
      </c>
      <c r="J34" s="1" t="str">
        <f>IFERROR(VLOOKUP(B34,Petróleo!P:Q,2,FALSE),"")</f>
        <v/>
      </c>
      <c r="K34" s="1" t="str">
        <f>IFERROR(VLOOKUP(B34,Petróleo!R:S,2,FALSE),"")</f>
        <v/>
      </c>
      <c r="L34" s="1" t="str">
        <f>IFERROR(VLOOKUP(B34,Petróleo!T:U,2,FALSE),"")</f>
        <v/>
      </c>
      <c r="M34" s="8">
        <f>IFERROR(VLOOKUP(B34,Petróleo!X:Y,2,FALSE),"")</f>
        <v>24750</v>
      </c>
      <c r="N34" s="8">
        <f>IFERROR(VLOOKUP(B34,Petróleo!Z:AA,2,FALSE),"")</f>
        <v>8501</v>
      </c>
      <c r="O34" s="8">
        <f>IFERROR(VLOOKUP(B34,Petróleo!AB:AC,2,FALSE),"")</f>
        <v>2280</v>
      </c>
      <c r="P34" s="8">
        <f>IFERROR(VLOOKUP(B34,Petróleo!AD:AE,2,FALSE),"")</f>
        <v>3450</v>
      </c>
      <c r="Q34" s="8">
        <f>IFERROR(VLOOKUP(B34,Petróleo!AF:AG,2,FALSE),"")</f>
        <v>450</v>
      </c>
      <c r="R34" s="8">
        <f>IFERROR(VLOOKUP(B34,Petróleo!AH:AI,2,FALSE),"")</f>
        <v>1450</v>
      </c>
      <c r="S34" s="8">
        <f>IFERROR(VLOOKUP(B34,Petróleo!AJ:AK,2,FALSE),"")</f>
        <v>1900</v>
      </c>
      <c r="T34" s="8">
        <f>IFERROR(VLOOKUP(B34,Petróleo!AL:AM,2,FALSE),"")</f>
        <v>2260</v>
      </c>
      <c r="U34" s="8">
        <f>IFERROR(VLOOKUP(B34,Petróleo!AN:AO,2,FALSE),"")</f>
        <v>1301</v>
      </c>
      <c r="V34" s="10" t="str">
        <f>IFERROR(VLOOKUP(A34,Petróleo!AR:AT,3,FALSE),"")</f>
        <v/>
      </c>
    </row>
    <row r="35" spans="1:22" x14ac:dyDescent="0.25">
      <c r="A35" s="9" t="str">
        <f t="shared" si="0"/>
        <v>101992</v>
      </c>
      <c r="B35" s="9">
        <v>33908</v>
      </c>
      <c r="C35" s="1">
        <f>IFERROR(VLOOKUP(B35,Petróleo!A:B,2,FALSE),"")</f>
        <v>7126</v>
      </c>
      <c r="D35" s="1">
        <f>IFERROR(VLOOKUP(B35,Estoque_US!D:E,2,FALSE),"")</f>
        <v>8996</v>
      </c>
      <c r="E35" s="1" t="str">
        <f>IFERROR(VLOOKUP(B35,Petróleo!F:G,2,FALSE),"")</f>
        <v/>
      </c>
      <c r="F35" s="1" t="str">
        <f>IFERROR(VLOOKUP(B35,Petróleo!H:I,2,FALSE),"")</f>
        <v/>
      </c>
      <c r="G35" s="1" t="str">
        <f>IFERROR(VLOOKUP(B35,Petróleo!J:K,2,FALSE),"")</f>
        <v/>
      </c>
      <c r="H35" s="1" t="str">
        <f>IFERROR(VLOOKUP(B35,Petróleo!L:M,2,FALSE),"")</f>
        <v/>
      </c>
      <c r="I35" s="1" t="str">
        <f>IFERROR(VLOOKUP(B35,Petróleo!N:O,2,FALSE),"")</f>
        <v/>
      </c>
      <c r="J35" s="1" t="str">
        <f>IFERROR(VLOOKUP(B35,Petróleo!P:Q,2,FALSE),"")</f>
        <v/>
      </c>
      <c r="K35" s="1" t="str">
        <f>IFERROR(VLOOKUP(B35,Petróleo!R:S,2,FALSE),"")</f>
        <v/>
      </c>
      <c r="L35" s="1" t="str">
        <f>IFERROR(VLOOKUP(B35,Petróleo!T:U,2,FALSE),"")</f>
        <v/>
      </c>
      <c r="M35" s="8">
        <f>IFERROR(VLOOKUP(B35,Petróleo!X:Y,2,FALSE),"")</f>
        <v>25020</v>
      </c>
      <c r="N35" s="8">
        <f>IFERROR(VLOOKUP(B35,Petróleo!Z:AA,2,FALSE),"")</f>
        <v>8331</v>
      </c>
      <c r="O35" s="8">
        <f>IFERROR(VLOOKUP(B35,Petróleo!AB:AC,2,FALSE),"")</f>
        <v>2240</v>
      </c>
      <c r="P35" s="8">
        <f>IFERROR(VLOOKUP(B35,Petróleo!AD:AE,2,FALSE),"")</f>
        <v>3800</v>
      </c>
      <c r="Q35" s="8">
        <f>IFERROR(VLOOKUP(B35,Petróleo!AF:AG,2,FALSE),"")</f>
        <v>560</v>
      </c>
      <c r="R35" s="8">
        <f>IFERROR(VLOOKUP(B35,Petróleo!AH:AI,2,FALSE),"")</f>
        <v>1400</v>
      </c>
      <c r="S35" s="8">
        <f>IFERROR(VLOOKUP(B35,Petróleo!AJ:AK,2,FALSE),"")</f>
        <v>1860</v>
      </c>
      <c r="T35" s="8">
        <f>IFERROR(VLOOKUP(B35,Petróleo!AL:AM,2,FALSE),"")</f>
        <v>2360</v>
      </c>
      <c r="U35" s="8">
        <f>IFERROR(VLOOKUP(B35,Petróleo!AN:AO,2,FALSE),"")</f>
        <v>1381</v>
      </c>
      <c r="V35" s="10" t="str">
        <f>IFERROR(VLOOKUP(A35,Petróleo!AR:AT,3,FALSE),"")</f>
        <v/>
      </c>
    </row>
    <row r="36" spans="1:22" x14ac:dyDescent="0.25">
      <c r="A36" s="9" t="str">
        <f t="shared" si="0"/>
        <v>111992</v>
      </c>
      <c r="B36" s="9">
        <v>33938</v>
      </c>
      <c r="C36" s="1">
        <f>IFERROR(VLOOKUP(B36,Petróleo!A:B,2,FALSE),"")</f>
        <v>7024</v>
      </c>
      <c r="D36" s="1">
        <f>IFERROR(VLOOKUP(B36,Estoque_US!D:E,2,FALSE),"")</f>
        <v>-6179</v>
      </c>
      <c r="E36" s="1" t="str">
        <f>IFERROR(VLOOKUP(B36,Petróleo!F:G,2,FALSE),"")</f>
        <v/>
      </c>
      <c r="F36" s="1" t="str">
        <f>IFERROR(VLOOKUP(B36,Petróleo!H:I,2,FALSE),"")</f>
        <v/>
      </c>
      <c r="G36" s="1" t="str">
        <f>IFERROR(VLOOKUP(B36,Petróleo!J:K,2,FALSE),"")</f>
        <v/>
      </c>
      <c r="H36" s="1" t="str">
        <f>IFERROR(VLOOKUP(B36,Petróleo!L:M,2,FALSE),"")</f>
        <v/>
      </c>
      <c r="I36" s="1" t="str">
        <f>IFERROR(VLOOKUP(B36,Petróleo!N:O,2,FALSE),"")</f>
        <v/>
      </c>
      <c r="J36" s="1" t="str">
        <f>IFERROR(VLOOKUP(B36,Petróleo!P:Q,2,FALSE),"")</f>
        <v/>
      </c>
      <c r="K36" s="1" t="str">
        <f>IFERROR(VLOOKUP(B36,Petróleo!R:S,2,FALSE),"")</f>
        <v/>
      </c>
      <c r="L36" s="1" t="str">
        <f>IFERROR(VLOOKUP(B36,Petróleo!T:U,2,FALSE),"")</f>
        <v/>
      </c>
      <c r="M36" s="8">
        <f>IFERROR(VLOOKUP(B36,Petróleo!X:Y,2,FALSE),"")</f>
        <v>25220</v>
      </c>
      <c r="N36" s="8">
        <f>IFERROR(VLOOKUP(B36,Petróleo!Z:AA,2,FALSE),"")</f>
        <v>8450</v>
      </c>
      <c r="O36" s="8">
        <f>IFERROR(VLOOKUP(B36,Petróleo!AB:AC,2,FALSE),"")</f>
        <v>2240</v>
      </c>
      <c r="P36" s="8">
        <f>IFERROR(VLOOKUP(B36,Petróleo!AD:AE,2,FALSE),"")</f>
        <v>3650</v>
      </c>
      <c r="Q36" s="8">
        <f>IFERROR(VLOOKUP(B36,Petróleo!AF:AG,2,FALSE),"")</f>
        <v>500</v>
      </c>
      <c r="R36" s="8">
        <f>IFERROR(VLOOKUP(B36,Petróleo!AH:AI,2,FALSE),"")</f>
        <v>1480</v>
      </c>
      <c r="S36" s="8">
        <f>IFERROR(VLOOKUP(B36,Petróleo!AJ:AK,2,FALSE),"")</f>
        <v>1950</v>
      </c>
      <c r="T36" s="8">
        <f>IFERROR(VLOOKUP(B36,Petróleo!AL:AM,2,FALSE),"")</f>
        <v>2370</v>
      </c>
      <c r="U36" s="8">
        <f>IFERROR(VLOOKUP(B36,Petróleo!AN:AO,2,FALSE),"")</f>
        <v>1450</v>
      </c>
      <c r="V36" s="10" t="str">
        <f>IFERROR(VLOOKUP(A36,Petróleo!AR:AT,3,FALSE),"")</f>
        <v/>
      </c>
    </row>
    <row r="37" spans="1:22" x14ac:dyDescent="0.25">
      <c r="A37" s="9" t="str">
        <f t="shared" si="0"/>
        <v>121992</v>
      </c>
      <c r="B37" s="9">
        <v>33969</v>
      </c>
      <c r="C37" s="1">
        <f>IFERROR(VLOOKUP(B37,Petróleo!A:B,2,FALSE),"")</f>
        <v>7103</v>
      </c>
      <c r="D37" s="1">
        <f>IFERROR(VLOOKUP(B37,Estoque_US!D:E,2,FALSE),"")</f>
        <v>-7271</v>
      </c>
      <c r="E37" s="1" t="str">
        <f>IFERROR(VLOOKUP(B37,Petróleo!F:G,2,FALSE),"")</f>
        <v/>
      </c>
      <c r="F37" s="1" t="str">
        <f>IFERROR(VLOOKUP(B37,Petróleo!H:I,2,FALSE),"")</f>
        <v/>
      </c>
      <c r="G37" s="1" t="str">
        <f>IFERROR(VLOOKUP(B37,Petróleo!J:K,2,FALSE),"")</f>
        <v/>
      </c>
      <c r="H37" s="1" t="str">
        <f>IFERROR(VLOOKUP(B37,Petróleo!L:M,2,FALSE),"")</f>
        <v/>
      </c>
      <c r="I37" s="1" t="str">
        <f>IFERROR(VLOOKUP(B37,Petróleo!N:O,2,FALSE),"")</f>
        <v/>
      </c>
      <c r="J37" s="1" t="str">
        <f>IFERROR(VLOOKUP(B37,Petróleo!P:Q,2,FALSE),"")</f>
        <v/>
      </c>
      <c r="K37" s="1" t="str">
        <f>IFERROR(VLOOKUP(B37,Petróleo!R:S,2,FALSE),"")</f>
        <v/>
      </c>
      <c r="L37" s="1" t="str">
        <f>IFERROR(VLOOKUP(B37,Petróleo!T:U,2,FALSE),"")</f>
        <v/>
      </c>
      <c r="M37" s="8">
        <f>IFERROR(VLOOKUP(B37,Petróleo!X:Y,2,FALSE),"")</f>
        <v>25030</v>
      </c>
      <c r="N37" s="8">
        <f>IFERROR(VLOOKUP(B37,Petróleo!Z:AA,2,FALSE),"")</f>
        <v>8451</v>
      </c>
      <c r="O37" s="8">
        <f>IFERROR(VLOOKUP(B37,Petróleo!AB:AC,2,FALSE),"")</f>
        <v>2270</v>
      </c>
      <c r="P37" s="8">
        <f>IFERROR(VLOOKUP(B37,Petróleo!AD:AE,2,FALSE),"")</f>
        <v>3600</v>
      </c>
      <c r="Q37" s="8">
        <f>IFERROR(VLOOKUP(B37,Petróleo!AF:AG,2,FALSE),"")</f>
        <v>540</v>
      </c>
      <c r="R37" s="8">
        <f>IFERROR(VLOOKUP(B37,Petróleo!AH:AI,2,FALSE),"")</f>
        <v>1450</v>
      </c>
      <c r="S37" s="8">
        <f>IFERROR(VLOOKUP(B37,Petróleo!AJ:AK,2,FALSE),"")</f>
        <v>1960</v>
      </c>
      <c r="T37" s="8">
        <f>IFERROR(VLOOKUP(B37,Petróleo!AL:AM,2,FALSE),"")</f>
        <v>2370</v>
      </c>
      <c r="U37" s="8">
        <f>IFERROR(VLOOKUP(B37,Petróleo!AN:AO,2,FALSE),"")</f>
        <v>1541</v>
      </c>
      <c r="V37" s="10" t="str">
        <f>IFERROR(VLOOKUP(A37,Petróleo!AR:AT,3,FALSE),"")</f>
        <v/>
      </c>
    </row>
    <row r="38" spans="1:22" x14ac:dyDescent="0.25">
      <c r="A38" s="9" t="str">
        <f t="shared" si="0"/>
        <v>11993</v>
      </c>
      <c r="B38" s="9">
        <v>34000</v>
      </c>
      <c r="C38" s="1">
        <f>IFERROR(VLOOKUP(B38,Petróleo!A:B,2,FALSE),"")</f>
        <v>6961</v>
      </c>
      <c r="D38" s="1">
        <f>IFERROR(VLOOKUP(B38,Estoque_US!D:E,2,FALSE),"")</f>
        <v>6725</v>
      </c>
      <c r="E38" s="1" t="str">
        <f>IFERROR(VLOOKUP(B38,Petróleo!F:G,2,FALSE),"")</f>
        <v/>
      </c>
      <c r="F38" s="1" t="str">
        <f>IFERROR(VLOOKUP(B38,Petróleo!H:I,2,FALSE),"")</f>
        <v/>
      </c>
      <c r="G38" s="1" t="str">
        <f>IFERROR(VLOOKUP(B38,Petróleo!J:K,2,FALSE),"")</f>
        <v/>
      </c>
      <c r="H38" s="1" t="str">
        <f>IFERROR(VLOOKUP(B38,Petróleo!L:M,2,FALSE),"")</f>
        <v/>
      </c>
      <c r="I38" s="1" t="str">
        <f>IFERROR(VLOOKUP(B38,Petróleo!N:O,2,FALSE),"")</f>
        <v/>
      </c>
      <c r="J38" s="1" t="str">
        <f>IFERROR(VLOOKUP(B38,Petróleo!P:Q,2,FALSE),"")</f>
        <v/>
      </c>
      <c r="K38" s="1" t="str">
        <f>IFERROR(VLOOKUP(B38,Petróleo!R:S,2,FALSE),"")</f>
        <v/>
      </c>
      <c r="L38" s="1" t="str">
        <f>IFERROR(VLOOKUP(B38,Petróleo!T:U,2,FALSE),"")</f>
        <v/>
      </c>
      <c r="M38" s="8">
        <f>IFERROR(VLOOKUP(B38,Petróleo!X:Y,2,FALSE),"")</f>
        <v>24970</v>
      </c>
      <c r="N38" s="8">
        <f>IFERROR(VLOOKUP(B38,Petróleo!Z:AA,2,FALSE),"")</f>
        <v>8450</v>
      </c>
      <c r="O38" s="8">
        <f>IFERROR(VLOOKUP(B38,Petróleo!AB:AC,2,FALSE),"")</f>
        <v>2270</v>
      </c>
      <c r="P38" s="8">
        <f>IFERROR(VLOOKUP(B38,Petróleo!AD:AE,2,FALSE),"")</f>
        <v>3500</v>
      </c>
      <c r="Q38" s="8">
        <f>IFERROR(VLOOKUP(B38,Petróleo!AF:AG,2,FALSE),"")</f>
        <v>500</v>
      </c>
      <c r="R38" s="8">
        <f>IFERROR(VLOOKUP(B38,Petróleo!AH:AI,2,FALSE),"")</f>
        <v>1440</v>
      </c>
      <c r="S38" s="8">
        <f>IFERROR(VLOOKUP(B38,Petróleo!AJ:AK,2,FALSE),"")</f>
        <v>2000</v>
      </c>
      <c r="T38" s="8">
        <f>IFERROR(VLOOKUP(B38,Petróleo!AL:AM,2,FALSE),"")</f>
        <v>2360</v>
      </c>
      <c r="U38" s="8">
        <f>IFERROR(VLOOKUP(B38,Petróleo!AN:AO,2,FALSE),"")</f>
        <v>1600</v>
      </c>
      <c r="V38" s="10" t="str">
        <f>IFERROR(VLOOKUP(A38,Petróleo!AR:AT,3,FALSE),"")</f>
        <v/>
      </c>
    </row>
    <row r="39" spans="1:22" x14ac:dyDescent="0.25">
      <c r="A39" s="9" t="str">
        <f t="shared" si="0"/>
        <v>21993</v>
      </c>
      <c r="B39" s="9">
        <v>34028</v>
      </c>
      <c r="C39" s="1">
        <f>IFERROR(VLOOKUP(B39,Petróleo!A:B,2,FALSE),"")</f>
        <v>6943</v>
      </c>
      <c r="D39" s="1">
        <f>IFERROR(VLOOKUP(B39,Estoque_US!D:E,2,FALSE),"")</f>
        <v>8075</v>
      </c>
      <c r="E39" s="1" t="str">
        <f>IFERROR(VLOOKUP(B39,Petróleo!F:G,2,FALSE),"")</f>
        <v/>
      </c>
      <c r="F39" s="1" t="str">
        <f>IFERROR(VLOOKUP(B39,Petróleo!H:I,2,FALSE),"")</f>
        <v/>
      </c>
      <c r="G39" s="1" t="str">
        <f>IFERROR(VLOOKUP(B39,Petróleo!J:K,2,FALSE),"")</f>
        <v/>
      </c>
      <c r="H39" s="1" t="str">
        <f>IFERROR(VLOOKUP(B39,Petróleo!L:M,2,FALSE),"")</f>
        <v/>
      </c>
      <c r="I39" s="1" t="str">
        <f>IFERROR(VLOOKUP(B39,Petróleo!N:O,2,FALSE),"")</f>
        <v/>
      </c>
      <c r="J39" s="1" t="str">
        <f>IFERROR(VLOOKUP(B39,Petróleo!P:Q,2,FALSE),"")</f>
        <v/>
      </c>
      <c r="K39" s="1" t="str">
        <f>IFERROR(VLOOKUP(B39,Petróleo!R:S,2,FALSE),"")</f>
        <v/>
      </c>
      <c r="L39" s="1" t="str">
        <f>IFERROR(VLOOKUP(B39,Petróleo!T:U,2,FALSE),"")</f>
        <v/>
      </c>
      <c r="M39" s="8">
        <f>IFERROR(VLOOKUP(B39,Petróleo!X:Y,2,FALSE),"")</f>
        <v>25350</v>
      </c>
      <c r="N39" s="8">
        <f>IFERROR(VLOOKUP(B39,Petróleo!Z:AA,2,FALSE),"")</f>
        <v>8400</v>
      </c>
      <c r="O39" s="8">
        <f>IFERROR(VLOOKUP(B39,Petróleo!AB:AC,2,FALSE),"")</f>
        <v>2270</v>
      </c>
      <c r="P39" s="8">
        <f>IFERROR(VLOOKUP(B39,Petróleo!AD:AE,2,FALSE),"")</f>
        <v>3800</v>
      </c>
      <c r="Q39" s="8">
        <f>IFERROR(VLOOKUP(B39,Petróleo!AF:AG,2,FALSE),"")</f>
        <v>450</v>
      </c>
      <c r="R39" s="8">
        <f>IFERROR(VLOOKUP(B39,Petróleo!AH:AI,2,FALSE),"")</f>
        <v>1480</v>
      </c>
      <c r="S39" s="8">
        <f>IFERROR(VLOOKUP(B39,Petróleo!AJ:AK,2,FALSE),"")</f>
        <v>1950</v>
      </c>
      <c r="T39" s="8">
        <f>IFERROR(VLOOKUP(B39,Petróleo!AL:AM,2,FALSE),"")</f>
        <v>2250</v>
      </c>
      <c r="U39" s="8">
        <f>IFERROR(VLOOKUP(B39,Petróleo!AN:AO,2,FALSE),"")</f>
        <v>1900</v>
      </c>
      <c r="V39" s="10" t="str">
        <f>IFERROR(VLOOKUP(A39,Petróleo!AR:AT,3,FALSE),"")</f>
        <v/>
      </c>
    </row>
    <row r="40" spans="1:22" x14ac:dyDescent="0.25">
      <c r="A40" s="9" t="str">
        <f t="shared" si="0"/>
        <v>31993</v>
      </c>
      <c r="B40" s="9">
        <v>34059</v>
      </c>
      <c r="C40" s="1">
        <f>IFERROR(VLOOKUP(B40,Petróleo!A:B,2,FALSE),"")</f>
        <v>6974</v>
      </c>
      <c r="D40" s="1">
        <f>IFERROR(VLOOKUP(B40,Estoque_US!D:E,2,FALSE),"")</f>
        <v>6264</v>
      </c>
      <c r="E40" s="1" t="str">
        <f>IFERROR(VLOOKUP(B40,Petróleo!F:G,2,FALSE),"")</f>
        <v/>
      </c>
      <c r="F40" s="1" t="str">
        <f>IFERROR(VLOOKUP(B40,Petróleo!H:I,2,FALSE),"")</f>
        <v/>
      </c>
      <c r="G40" s="1" t="str">
        <f>IFERROR(VLOOKUP(B40,Petróleo!J:K,2,FALSE),"")</f>
        <v/>
      </c>
      <c r="H40" s="1" t="str">
        <f>IFERROR(VLOOKUP(B40,Petróleo!L:M,2,FALSE),"")</f>
        <v/>
      </c>
      <c r="I40" s="1" t="str">
        <f>IFERROR(VLOOKUP(B40,Petróleo!N:O,2,FALSE),"")</f>
        <v/>
      </c>
      <c r="J40" s="1" t="str">
        <f>IFERROR(VLOOKUP(B40,Petróleo!P:Q,2,FALSE),"")</f>
        <v/>
      </c>
      <c r="K40" s="1" t="str">
        <f>IFERROR(VLOOKUP(B40,Petróleo!R:S,2,FALSE),"")</f>
        <v/>
      </c>
      <c r="L40" s="1" t="str">
        <f>IFERROR(VLOOKUP(B40,Petróleo!T:U,2,FALSE),"")</f>
        <v/>
      </c>
      <c r="M40" s="8">
        <f>IFERROR(VLOOKUP(B40,Petróleo!X:Y,2,FALSE),"")</f>
        <v>24390</v>
      </c>
      <c r="N40" s="8">
        <f>IFERROR(VLOOKUP(B40,Petróleo!Z:AA,2,FALSE),"")</f>
        <v>8000</v>
      </c>
      <c r="O40" s="8">
        <f>IFERROR(VLOOKUP(B40,Petróleo!AB:AC,2,FALSE),"")</f>
        <v>2170</v>
      </c>
      <c r="P40" s="8">
        <f>IFERROR(VLOOKUP(B40,Petróleo!AD:AE,2,FALSE),"")</f>
        <v>3700</v>
      </c>
      <c r="Q40" s="8">
        <f>IFERROR(VLOOKUP(B40,Petróleo!AF:AG,2,FALSE),"")</f>
        <v>520</v>
      </c>
      <c r="R40" s="8">
        <f>IFERROR(VLOOKUP(B40,Petróleo!AH:AI,2,FALSE),"")</f>
        <v>1400</v>
      </c>
      <c r="S40" s="8">
        <f>IFERROR(VLOOKUP(B40,Petróleo!AJ:AK,2,FALSE),"")</f>
        <v>1900</v>
      </c>
      <c r="T40" s="8">
        <f>IFERROR(VLOOKUP(B40,Petróleo!AL:AM,2,FALSE),"")</f>
        <v>2270</v>
      </c>
      <c r="U40" s="8">
        <f>IFERROR(VLOOKUP(B40,Petróleo!AN:AO,2,FALSE),"")</f>
        <v>1650</v>
      </c>
      <c r="V40" s="10" t="str">
        <f>IFERROR(VLOOKUP(A40,Petróleo!AR:AT,3,FALSE),"")</f>
        <v/>
      </c>
    </row>
    <row r="41" spans="1:22" x14ac:dyDescent="0.25">
      <c r="A41" s="9" t="str">
        <f t="shared" si="0"/>
        <v>41993</v>
      </c>
      <c r="B41" s="9">
        <v>34089</v>
      </c>
      <c r="C41" s="1">
        <f>IFERROR(VLOOKUP(B41,Petróleo!A:B,2,FALSE),"")</f>
        <v>6881</v>
      </c>
      <c r="D41" s="1">
        <f>IFERROR(VLOOKUP(B41,Estoque_US!D:E,2,FALSE),"")</f>
        <v>6575</v>
      </c>
      <c r="E41" s="1" t="str">
        <f>IFERROR(VLOOKUP(B41,Petróleo!F:G,2,FALSE),"")</f>
        <v/>
      </c>
      <c r="F41" s="1" t="str">
        <f>IFERROR(VLOOKUP(B41,Petróleo!H:I,2,FALSE),"")</f>
        <v/>
      </c>
      <c r="G41" s="1" t="str">
        <f>IFERROR(VLOOKUP(B41,Petróleo!J:K,2,FALSE),"")</f>
        <v/>
      </c>
      <c r="H41" s="1" t="str">
        <f>IFERROR(VLOOKUP(B41,Petróleo!L:M,2,FALSE),"")</f>
        <v/>
      </c>
      <c r="I41" s="1" t="str">
        <f>IFERROR(VLOOKUP(B41,Petróleo!N:O,2,FALSE),"")</f>
        <v/>
      </c>
      <c r="J41" s="1" t="str">
        <f>IFERROR(VLOOKUP(B41,Petróleo!P:Q,2,FALSE),"")</f>
        <v/>
      </c>
      <c r="K41" s="1" t="str">
        <f>IFERROR(VLOOKUP(B41,Petróleo!R:S,2,FALSE),"")</f>
        <v/>
      </c>
      <c r="L41" s="1" t="str">
        <f>IFERROR(VLOOKUP(B41,Petróleo!T:U,2,FALSE),"")</f>
        <v/>
      </c>
      <c r="M41" s="8">
        <f>IFERROR(VLOOKUP(B41,Petróleo!X:Y,2,FALSE),"")</f>
        <v>24080</v>
      </c>
      <c r="N41" s="8">
        <f>IFERROR(VLOOKUP(B41,Petróleo!Z:AA,2,FALSE),"")</f>
        <v>8050</v>
      </c>
      <c r="O41" s="8">
        <f>IFERROR(VLOOKUP(B41,Petróleo!AB:AC,2,FALSE),"")</f>
        <v>2180</v>
      </c>
      <c r="P41" s="8">
        <f>IFERROR(VLOOKUP(B41,Petróleo!AD:AE,2,FALSE),"")</f>
        <v>3500</v>
      </c>
      <c r="Q41" s="8">
        <f>IFERROR(VLOOKUP(B41,Petróleo!AF:AG,2,FALSE),"")</f>
        <v>500</v>
      </c>
      <c r="R41" s="8">
        <f>IFERROR(VLOOKUP(B41,Petróleo!AH:AI,2,FALSE),"")</f>
        <v>1350</v>
      </c>
      <c r="S41" s="8">
        <f>IFERROR(VLOOKUP(B41,Petróleo!AJ:AK,2,FALSE),"")</f>
        <v>1850</v>
      </c>
      <c r="T41" s="8">
        <f>IFERROR(VLOOKUP(B41,Petróleo!AL:AM,2,FALSE),"")</f>
        <v>2250</v>
      </c>
      <c r="U41" s="8">
        <f>IFERROR(VLOOKUP(B41,Petróleo!AN:AO,2,FALSE),"")</f>
        <v>1650</v>
      </c>
      <c r="V41" s="10" t="str">
        <f>IFERROR(VLOOKUP(A41,Petróleo!AR:AT,3,FALSE),"")</f>
        <v/>
      </c>
    </row>
    <row r="42" spans="1:22" x14ac:dyDescent="0.25">
      <c r="A42" s="9" t="str">
        <f t="shared" si="0"/>
        <v>51993</v>
      </c>
      <c r="B42" s="9">
        <v>34120</v>
      </c>
      <c r="C42" s="1">
        <f>IFERROR(VLOOKUP(B42,Petróleo!A:B,2,FALSE),"")</f>
        <v>6847</v>
      </c>
      <c r="D42" s="1">
        <f>IFERROR(VLOOKUP(B42,Estoque_US!D:E,2,FALSE),"")</f>
        <v>5170</v>
      </c>
      <c r="E42" s="1" t="str">
        <f>IFERROR(VLOOKUP(B42,Petróleo!F:G,2,FALSE),"")</f>
        <v/>
      </c>
      <c r="F42" s="1" t="str">
        <f>IFERROR(VLOOKUP(B42,Petróleo!H:I,2,FALSE),"")</f>
        <v/>
      </c>
      <c r="G42" s="1" t="str">
        <f>IFERROR(VLOOKUP(B42,Petróleo!J:K,2,FALSE),"")</f>
        <v/>
      </c>
      <c r="H42" s="1" t="str">
        <f>IFERROR(VLOOKUP(B42,Petróleo!L:M,2,FALSE),"")</f>
        <v/>
      </c>
      <c r="I42" s="1" t="str">
        <f>IFERROR(VLOOKUP(B42,Petróleo!N:O,2,FALSE),"")</f>
        <v/>
      </c>
      <c r="J42" s="1" t="str">
        <f>IFERROR(VLOOKUP(B42,Petróleo!P:Q,2,FALSE),"")</f>
        <v/>
      </c>
      <c r="K42" s="1" t="str">
        <f>IFERROR(VLOOKUP(B42,Petróleo!R:S,2,FALSE),"")</f>
        <v/>
      </c>
      <c r="L42" s="1" t="str">
        <f>IFERROR(VLOOKUP(B42,Petróleo!T:U,2,FALSE),"")</f>
        <v/>
      </c>
      <c r="M42" s="8">
        <f>IFERROR(VLOOKUP(B42,Petróleo!X:Y,2,FALSE),"")</f>
        <v>24170</v>
      </c>
      <c r="N42" s="8">
        <f>IFERROR(VLOOKUP(B42,Petróleo!Z:AA,2,FALSE),"")</f>
        <v>8080</v>
      </c>
      <c r="O42" s="8">
        <f>IFERROR(VLOOKUP(B42,Petróleo!AB:AC,2,FALSE),"")</f>
        <v>2200</v>
      </c>
      <c r="P42" s="8">
        <f>IFERROR(VLOOKUP(B42,Petróleo!AD:AE,2,FALSE),"")</f>
        <v>3450</v>
      </c>
      <c r="Q42" s="8">
        <f>IFERROR(VLOOKUP(B42,Petróleo!AF:AG,2,FALSE),"")</f>
        <v>500</v>
      </c>
      <c r="R42" s="8">
        <f>IFERROR(VLOOKUP(B42,Petróleo!AH:AI,2,FALSE),"")</f>
        <v>1350</v>
      </c>
      <c r="S42" s="8">
        <f>IFERROR(VLOOKUP(B42,Petróleo!AJ:AK,2,FALSE),"")</f>
        <v>1900</v>
      </c>
      <c r="T42" s="8">
        <f>IFERROR(VLOOKUP(B42,Petróleo!AL:AM,2,FALSE),"")</f>
        <v>2250</v>
      </c>
      <c r="U42" s="8">
        <f>IFERROR(VLOOKUP(B42,Petróleo!AN:AO,2,FALSE),"")</f>
        <v>1700</v>
      </c>
      <c r="V42" s="10" t="str">
        <f>IFERROR(VLOOKUP(A42,Petróleo!AR:AT,3,FALSE),"")</f>
        <v/>
      </c>
    </row>
    <row r="43" spans="1:22" x14ac:dyDescent="0.25">
      <c r="A43" s="9" t="str">
        <f t="shared" si="0"/>
        <v>61993</v>
      </c>
      <c r="B43" s="9">
        <v>34150</v>
      </c>
      <c r="C43" s="1">
        <f>IFERROR(VLOOKUP(B43,Petróleo!A:B,2,FALSE),"")</f>
        <v>6795</v>
      </c>
      <c r="D43" s="1">
        <f>IFERROR(VLOOKUP(B43,Estoque_US!D:E,2,FALSE),"")</f>
        <v>5868</v>
      </c>
      <c r="E43" s="1" t="str">
        <f>IFERROR(VLOOKUP(B43,Petróleo!F:G,2,FALSE),"")</f>
        <v/>
      </c>
      <c r="F43" s="1" t="str">
        <f>IFERROR(VLOOKUP(B43,Petróleo!H:I,2,FALSE),"")</f>
        <v/>
      </c>
      <c r="G43" s="1" t="str">
        <f>IFERROR(VLOOKUP(B43,Petróleo!J:K,2,FALSE),"")</f>
        <v/>
      </c>
      <c r="H43" s="1" t="str">
        <f>IFERROR(VLOOKUP(B43,Petróleo!L:M,2,FALSE),"")</f>
        <v/>
      </c>
      <c r="I43" s="1" t="str">
        <f>IFERROR(VLOOKUP(B43,Petróleo!N:O,2,FALSE),"")</f>
        <v/>
      </c>
      <c r="J43" s="1" t="str">
        <f>IFERROR(VLOOKUP(B43,Petróleo!P:Q,2,FALSE),"")</f>
        <v/>
      </c>
      <c r="K43" s="1" t="str">
        <f>IFERROR(VLOOKUP(B43,Petróleo!R:S,2,FALSE),"")</f>
        <v/>
      </c>
      <c r="L43" s="1" t="str">
        <f>IFERROR(VLOOKUP(B43,Petróleo!T:U,2,FALSE),"")</f>
        <v/>
      </c>
      <c r="M43" s="8">
        <f>IFERROR(VLOOKUP(B43,Petróleo!X:Y,2,FALSE),"")</f>
        <v>24290</v>
      </c>
      <c r="N43" s="8">
        <f>IFERROR(VLOOKUP(B43,Petróleo!Z:AA,2,FALSE),"")</f>
        <v>8050</v>
      </c>
      <c r="O43" s="8">
        <f>IFERROR(VLOOKUP(B43,Petróleo!AB:AC,2,FALSE),"")</f>
        <v>2200</v>
      </c>
      <c r="P43" s="8">
        <f>IFERROR(VLOOKUP(B43,Petróleo!AD:AE,2,FALSE),"")</f>
        <v>3600</v>
      </c>
      <c r="Q43" s="8">
        <f>IFERROR(VLOOKUP(B43,Petróleo!AF:AG,2,FALSE),"")</f>
        <v>500</v>
      </c>
      <c r="R43" s="8">
        <f>IFERROR(VLOOKUP(B43,Petróleo!AH:AI,2,FALSE),"")</f>
        <v>1350</v>
      </c>
      <c r="S43" s="8">
        <f>IFERROR(VLOOKUP(B43,Petróleo!AJ:AK,2,FALSE),"")</f>
        <v>1900</v>
      </c>
      <c r="T43" s="8">
        <f>IFERROR(VLOOKUP(B43,Petróleo!AL:AM,2,FALSE),"")</f>
        <v>2230</v>
      </c>
      <c r="U43" s="8">
        <f>IFERROR(VLOOKUP(B43,Petróleo!AN:AO,2,FALSE),"")</f>
        <v>1700</v>
      </c>
      <c r="V43" s="10" t="str">
        <f>IFERROR(VLOOKUP(A43,Petróleo!AR:AT,3,FALSE),"")</f>
        <v/>
      </c>
    </row>
    <row r="44" spans="1:22" x14ac:dyDescent="0.25">
      <c r="A44" s="9" t="str">
        <f t="shared" si="0"/>
        <v>71993</v>
      </c>
      <c r="B44" s="9">
        <v>34181</v>
      </c>
      <c r="C44" s="1">
        <f>IFERROR(VLOOKUP(B44,Petróleo!A:B,2,FALSE),"")</f>
        <v>6688</v>
      </c>
      <c r="D44" s="1">
        <f>IFERROR(VLOOKUP(B44,Estoque_US!D:E,2,FALSE),"")</f>
        <v>-6510</v>
      </c>
      <c r="E44" s="1" t="str">
        <f>IFERROR(VLOOKUP(B44,Petróleo!F:G,2,FALSE),"")</f>
        <v/>
      </c>
      <c r="F44" s="1" t="str">
        <f>IFERROR(VLOOKUP(B44,Petróleo!H:I,2,FALSE),"")</f>
        <v/>
      </c>
      <c r="G44" s="1" t="str">
        <f>IFERROR(VLOOKUP(B44,Petróleo!J:K,2,FALSE),"")</f>
        <v/>
      </c>
      <c r="H44" s="1" t="str">
        <f>IFERROR(VLOOKUP(B44,Petróleo!L:M,2,FALSE),"")</f>
        <v/>
      </c>
      <c r="I44" s="1" t="str">
        <f>IFERROR(VLOOKUP(B44,Petróleo!N:O,2,FALSE),"")</f>
        <v/>
      </c>
      <c r="J44" s="1" t="str">
        <f>IFERROR(VLOOKUP(B44,Petróleo!P:Q,2,FALSE),"")</f>
        <v/>
      </c>
      <c r="K44" s="1" t="str">
        <f>IFERROR(VLOOKUP(B44,Petróleo!R:S,2,FALSE),"")</f>
        <v/>
      </c>
      <c r="L44" s="1" t="str">
        <f>IFERROR(VLOOKUP(B44,Petróleo!T:U,2,FALSE),"")</f>
        <v/>
      </c>
      <c r="M44" s="8">
        <f>IFERROR(VLOOKUP(B44,Petróleo!X:Y,2,FALSE),"")</f>
        <v>24590</v>
      </c>
      <c r="N44" s="8">
        <f>IFERROR(VLOOKUP(B44,Petróleo!Z:AA,2,FALSE),"")</f>
        <v>8080</v>
      </c>
      <c r="O44" s="8">
        <f>IFERROR(VLOOKUP(B44,Petróleo!AB:AC,2,FALSE),"")</f>
        <v>2180</v>
      </c>
      <c r="P44" s="8">
        <f>IFERROR(VLOOKUP(B44,Petróleo!AD:AE,2,FALSE),"")</f>
        <v>3700</v>
      </c>
      <c r="Q44" s="8">
        <f>IFERROR(VLOOKUP(B44,Petróleo!AF:AG,2,FALSE),"")</f>
        <v>500</v>
      </c>
      <c r="R44" s="8">
        <f>IFERROR(VLOOKUP(B44,Petróleo!AH:AI,2,FALSE),"")</f>
        <v>1350</v>
      </c>
      <c r="S44" s="8">
        <f>IFERROR(VLOOKUP(B44,Petróleo!AJ:AK,2,FALSE),"")</f>
        <v>1880</v>
      </c>
      <c r="T44" s="8">
        <f>IFERROR(VLOOKUP(B44,Petróleo!AL:AM,2,FALSE),"")</f>
        <v>2260</v>
      </c>
      <c r="U44" s="8">
        <f>IFERROR(VLOOKUP(B44,Petróleo!AN:AO,2,FALSE),"")</f>
        <v>1880</v>
      </c>
      <c r="V44" s="10" t="str">
        <f>IFERROR(VLOOKUP(A44,Petróleo!AR:AT,3,FALSE),"")</f>
        <v/>
      </c>
    </row>
    <row r="45" spans="1:22" x14ac:dyDescent="0.25">
      <c r="A45" s="9" t="str">
        <f t="shared" si="0"/>
        <v>81993</v>
      </c>
      <c r="B45" s="9">
        <v>34212</v>
      </c>
      <c r="C45" s="1">
        <f>IFERROR(VLOOKUP(B45,Petróleo!A:B,2,FALSE),"")</f>
        <v>6758</v>
      </c>
      <c r="D45" s="1">
        <f>IFERROR(VLOOKUP(B45,Estoque_US!D:E,2,FALSE),"")</f>
        <v>-7080</v>
      </c>
      <c r="E45" s="1" t="str">
        <f>IFERROR(VLOOKUP(B45,Petróleo!F:G,2,FALSE),"")</f>
        <v/>
      </c>
      <c r="F45" s="1" t="str">
        <f>IFERROR(VLOOKUP(B45,Petróleo!H:I,2,FALSE),"")</f>
        <v/>
      </c>
      <c r="G45" s="1" t="str">
        <f>IFERROR(VLOOKUP(B45,Petróleo!J:K,2,FALSE),"")</f>
        <v/>
      </c>
      <c r="H45" s="1" t="str">
        <f>IFERROR(VLOOKUP(B45,Petróleo!L:M,2,FALSE),"")</f>
        <v/>
      </c>
      <c r="I45" s="1" t="str">
        <f>IFERROR(VLOOKUP(B45,Petróleo!N:O,2,FALSE),"")</f>
        <v/>
      </c>
      <c r="J45" s="1" t="str">
        <f>IFERROR(VLOOKUP(B45,Petróleo!P:Q,2,FALSE),"")</f>
        <v/>
      </c>
      <c r="K45" s="1" t="str">
        <f>IFERROR(VLOOKUP(B45,Petróleo!R:S,2,FALSE),"")</f>
        <v/>
      </c>
      <c r="L45" s="1" t="str">
        <f>IFERROR(VLOOKUP(B45,Petróleo!T:U,2,FALSE),"")</f>
        <v/>
      </c>
      <c r="M45" s="8">
        <f>IFERROR(VLOOKUP(B45,Petróleo!X:Y,2,FALSE),"")</f>
        <v>24630</v>
      </c>
      <c r="N45" s="8">
        <f>IFERROR(VLOOKUP(B45,Petróleo!Z:AA,2,FALSE),"")</f>
        <v>8090</v>
      </c>
      <c r="O45" s="8">
        <f>IFERROR(VLOOKUP(B45,Petróleo!AB:AC,2,FALSE),"")</f>
        <v>2190</v>
      </c>
      <c r="P45" s="8">
        <f>IFERROR(VLOOKUP(B45,Petróleo!AD:AE,2,FALSE),"")</f>
        <v>3550</v>
      </c>
      <c r="Q45" s="8">
        <f>IFERROR(VLOOKUP(B45,Petróleo!AF:AG,2,FALSE),"")</f>
        <v>500</v>
      </c>
      <c r="R45" s="8">
        <f>IFERROR(VLOOKUP(B45,Petróleo!AH:AI,2,FALSE),"")</f>
        <v>1400</v>
      </c>
      <c r="S45" s="8">
        <f>IFERROR(VLOOKUP(B45,Petróleo!AJ:AK,2,FALSE),"")</f>
        <v>1850</v>
      </c>
      <c r="T45" s="8">
        <f>IFERROR(VLOOKUP(B45,Petróleo!AL:AM,2,FALSE),"")</f>
        <v>2270</v>
      </c>
      <c r="U45" s="8">
        <f>IFERROR(VLOOKUP(B45,Petróleo!AN:AO,2,FALSE),"")</f>
        <v>1980</v>
      </c>
      <c r="V45" s="10" t="str">
        <f>IFERROR(VLOOKUP(A45,Petróleo!AR:AT,3,FALSE),"")</f>
        <v/>
      </c>
    </row>
    <row r="46" spans="1:22" x14ac:dyDescent="0.25">
      <c r="A46" s="9" t="str">
        <f t="shared" si="0"/>
        <v>91993</v>
      </c>
      <c r="B46" s="9">
        <v>34242</v>
      </c>
      <c r="C46" s="1">
        <f>IFERROR(VLOOKUP(B46,Petróleo!A:B,2,FALSE),"")</f>
        <v>6712</v>
      </c>
      <c r="D46" s="1">
        <f>IFERROR(VLOOKUP(B46,Estoque_US!D:E,2,FALSE),"")</f>
        <v>-14984</v>
      </c>
      <c r="E46" s="1" t="str">
        <f>IFERROR(VLOOKUP(B46,Petróleo!F:G,2,FALSE),"")</f>
        <v/>
      </c>
      <c r="F46" s="1" t="str">
        <f>IFERROR(VLOOKUP(B46,Petróleo!H:I,2,FALSE),"")</f>
        <v/>
      </c>
      <c r="G46" s="1" t="str">
        <f>IFERROR(VLOOKUP(B46,Petróleo!J:K,2,FALSE),"")</f>
        <v/>
      </c>
      <c r="H46" s="1" t="str">
        <f>IFERROR(VLOOKUP(B46,Petróleo!L:M,2,FALSE),"")</f>
        <v/>
      </c>
      <c r="I46" s="1" t="str">
        <f>IFERROR(VLOOKUP(B46,Petróleo!N:O,2,FALSE),"")</f>
        <v/>
      </c>
      <c r="J46" s="1" t="str">
        <f>IFERROR(VLOOKUP(B46,Petróleo!P:Q,2,FALSE),"")</f>
        <v/>
      </c>
      <c r="K46" s="1" t="str">
        <f>IFERROR(VLOOKUP(B46,Petróleo!R:S,2,FALSE),"")</f>
        <v/>
      </c>
      <c r="L46" s="1" t="str">
        <f>IFERROR(VLOOKUP(B46,Petróleo!T:U,2,FALSE),"")</f>
        <v/>
      </c>
      <c r="M46" s="8">
        <f>IFERROR(VLOOKUP(B46,Petróleo!X:Y,2,FALSE),"")</f>
        <v>24820</v>
      </c>
      <c r="N46" s="8">
        <f>IFERROR(VLOOKUP(B46,Petróleo!Z:AA,2,FALSE),"")</f>
        <v>8080</v>
      </c>
      <c r="O46" s="8">
        <f>IFERROR(VLOOKUP(B46,Petróleo!AB:AC,2,FALSE),"")</f>
        <v>2180</v>
      </c>
      <c r="P46" s="8">
        <f>IFERROR(VLOOKUP(B46,Petróleo!AD:AE,2,FALSE),"")</f>
        <v>3650</v>
      </c>
      <c r="Q46" s="8">
        <f>IFERROR(VLOOKUP(B46,Petróleo!AF:AG,2,FALSE),"")</f>
        <v>500</v>
      </c>
      <c r="R46" s="8">
        <f>IFERROR(VLOOKUP(B46,Petróleo!AH:AI,2,FALSE),"")</f>
        <v>1400</v>
      </c>
      <c r="S46" s="8">
        <f>IFERROR(VLOOKUP(B46,Petróleo!AJ:AK,2,FALSE),"")</f>
        <v>1850</v>
      </c>
      <c r="T46" s="8">
        <f>IFERROR(VLOOKUP(B46,Petróleo!AL:AM,2,FALSE),"")</f>
        <v>2260</v>
      </c>
      <c r="U46" s="8">
        <f>IFERROR(VLOOKUP(B46,Petróleo!AN:AO,2,FALSE),"")</f>
        <v>2100</v>
      </c>
      <c r="V46" s="10" t="str">
        <f>IFERROR(VLOOKUP(A46,Petróleo!AR:AT,3,FALSE),"")</f>
        <v/>
      </c>
    </row>
    <row r="47" spans="1:22" x14ac:dyDescent="0.25">
      <c r="A47" s="9" t="str">
        <f t="shared" si="0"/>
        <v>101993</v>
      </c>
      <c r="B47" s="9">
        <v>34273</v>
      </c>
      <c r="C47" s="1">
        <f>IFERROR(VLOOKUP(B47,Petróleo!A:B,2,FALSE),"")</f>
        <v>6839</v>
      </c>
      <c r="D47" s="1">
        <f>IFERROR(VLOOKUP(B47,Estoque_US!D:E,2,FALSE),"")</f>
        <v>6134</v>
      </c>
      <c r="E47" s="1" t="str">
        <f>IFERROR(VLOOKUP(B47,Petróleo!F:G,2,FALSE),"")</f>
        <v/>
      </c>
      <c r="F47" s="1" t="str">
        <f>IFERROR(VLOOKUP(B47,Petróleo!H:I,2,FALSE),"")</f>
        <v/>
      </c>
      <c r="G47" s="1" t="str">
        <f>IFERROR(VLOOKUP(B47,Petróleo!J:K,2,FALSE),"")</f>
        <v/>
      </c>
      <c r="H47" s="1" t="str">
        <f>IFERROR(VLOOKUP(B47,Petróleo!L:M,2,FALSE),"")</f>
        <v/>
      </c>
      <c r="I47" s="1" t="str">
        <f>IFERROR(VLOOKUP(B47,Petróleo!N:O,2,FALSE),"")</f>
        <v/>
      </c>
      <c r="J47" s="1" t="str">
        <f>IFERROR(VLOOKUP(B47,Petróleo!P:Q,2,FALSE),"")</f>
        <v/>
      </c>
      <c r="K47" s="1" t="str">
        <f>IFERROR(VLOOKUP(B47,Petróleo!R:S,2,FALSE),"")</f>
        <v/>
      </c>
      <c r="L47" s="1" t="str">
        <f>IFERROR(VLOOKUP(B47,Petróleo!T:U,2,FALSE),"")</f>
        <v/>
      </c>
      <c r="M47" s="8">
        <f>IFERROR(VLOOKUP(B47,Petróleo!X:Y,2,FALSE),"")</f>
        <v>24750</v>
      </c>
      <c r="N47" s="8">
        <f>IFERROR(VLOOKUP(B47,Petróleo!Z:AA,2,FALSE),"")</f>
        <v>8000</v>
      </c>
      <c r="O47" s="8">
        <f>IFERROR(VLOOKUP(B47,Petróleo!AB:AC,2,FALSE),"")</f>
        <v>2180</v>
      </c>
      <c r="P47" s="8">
        <f>IFERROR(VLOOKUP(B47,Petróleo!AD:AE,2,FALSE),"")</f>
        <v>3610</v>
      </c>
      <c r="Q47" s="8">
        <f>IFERROR(VLOOKUP(B47,Petróleo!AF:AG,2,FALSE),"")</f>
        <v>530</v>
      </c>
      <c r="R47" s="8">
        <f>IFERROR(VLOOKUP(B47,Petróleo!AH:AI,2,FALSE),"")</f>
        <v>1400</v>
      </c>
      <c r="S47" s="8">
        <f>IFERROR(VLOOKUP(B47,Petróleo!AJ:AK,2,FALSE),"")</f>
        <v>1860</v>
      </c>
      <c r="T47" s="8">
        <f>IFERROR(VLOOKUP(B47,Petróleo!AL:AM,2,FALSE),"")</f>
        <v>2360</v>
      </c>
      <c r="U47" s="8">
        <f>IFERROR(VLOOKUP(B47,Petróleo!AN:AO,2,FALSE),"")</f>
        <v>2030</v>
      </c>
      <c r="V47" s="10" t="str">
        <f>IFERROR(VLOOKUP(A47,Petróleo!AR:AT,3,FALSE),"")</f>
        <v/>
      </c>
    </row>
    <row r="48" spans="1:22" x14ac:dyDescent="0.25">
      <c r="A48" s="9" t="str">
        <f t="shared" si="0"/>
        <v>111993</v>
      </c>
      <c r="B48" s="9">
        <v>34303</v>
      </c>
      <c r="C48" s="1">
        <f>IFERROR(VLOOKUP(B48,Petróleo!A:B,2,FALSE),"")</f>
        <v>6912</v>
      </c>
      <c r="D48" s="1">
        <f>IFERROR(VLOOKUP(B48,Estoque_US!D:E,2,FALSE),"")</f>
        <v>-1927</v>
      </c>
      <c r="E48" s="1" t="str">
        <f>IFERROR(VLOOKUP(B48,Petróleo!F:G,2,FALSE),"")</f>
        <v/>
      </c>
      <c r="F48" s="1" t="str">
        <f>IFERROR(VLOOKUP(B48,Petróleo!H:I,2,FALSE),"")</f>
        <v/>
      </c>
      <c r="G48" s="1" t="str">
        <f>IFERROR(VLOOKUP(B48,Petróleo!J:K,2,FALSE),"")</f>
        <v/>
      </c>
      <c r="H48" s="1" t="str">
        <f>IFERROR(VLOOKUP(B48,Petróleo!L:M,2,FALSE),"")</f>
        <v/>
      </c>
      <c r="I48" s="1" t="str">
        <f>IFERROR(VLOOKUP(B48,Petróleo!N:O,2,FALSE),"")</f>
        <v/>
      </c>
      <c r="J48" s="1" t="str">
        <f>IFERROR(VLOOKUP(B48,Petróleo!P:Q,2,FALSE),"")</f>
        <v/>
      </c>
      <c r="K48" s="1" t="str">
        <f>IFERROR(VLOOKUP(B48,Petróleo!R:S,2,FALSE),"")</f>
        <v/>
      </c>
      <c r="L48" s="1" t="str">
        <f>IFERROR(VLOOKUP(B48,Petróleo!T:U,2,FALSE),"")</f>
        <v/>
      </c>
      <c r="M48" s="8">
        <f>IFERROR(VLOOKUP(B48,Petróleo!X:Y,2,FALSE),"")</f>
        <v>24680</v>
      </c>
      <c r="N48" s="8">
        <f>IFERROR(VLOOKUP(B48,Petróleo!Z:AA,2,FALSE),"")</f>
        <v>8020</v>
      </c>
      <c r="O48" s="8">
        <f>IFERROR(VLOOKUP(B48,Petróleo!AB:AC,2,FALSE),"")</f>
        <v>2160</v>
      </c>
      <c r="P48" s="8">
        <f>IFERROR(VLOOKUP(B48,Petróleo!AD:AE,2,FALSE),"")</f>
        <v>3590</v>
      </c>
      <c r="Q48" s="8">
        <f>IFERROR(VLOOKUP(B48,Petróleo!AF:AG,2,FALSE),"")</f>
        <v>550</v>
      </c>
      <c r="R48" s="8">
        <f>IFERROR(VLOOKUP(B48,Petróleo!AH:AI,2,FALSE),"")</f>
        <v>1380</v>
      </c>
      <c r="S48" s="8">
        <f>IFERROR(VLOOKUP(B48,Petróleo!AJ:AK,2,FALSE),"")</f>
        <v>1850</v>
      </c>
      <c r="T48" s="8">
        <f>IFERROR(VLOOKUP(B48,Petróleo!AL:AM,2,FALSE),"")</f>
        <v>2360</v>
      </c>
      <c r="U48" s="8">
        <f>IFERROR(VLOOKUP(B48,Petróleo!AN:AO,2,FALSE),"")</f>
        <v>2030</v>
      </c>
      <c r="V48" s="10" t="str">
        <f>IFERROR(VLOOKUP(A48,Petróleo!AR:AT,3,FALSE),"")</f>
        <v/>
      </c>
    </row>
    <row r="49" spans="1:22" x14ac:dyDescent="0.25">
      <c r="A49" s="9" t="str">
        <f t="shared" si="0"/>
        <v>121993</v>
      </c>
      <c r="B49" s="9">
        <v>34334</v>
      </c>
      <c r="C49" s="1">
        <f>IFERROR(VLOOKUP(B49,Petróleo!A:B,2,FALSE),"")</f>
        <v>6858</v>
      </c>
      <c r="D49" s="1">
        <f>IFERROR(VLOOKUP(B49,Estoque_US!D:E,2,FALSE),"")</f>
        <v>7466</v>
      </c>
      <c r="E49" s="1" t="str">
        <f>IFERROR(VLOOKUP(B49,Petróleo!F:G,2,FALSE),"")</f>
        <v/>
      </c>
      <c r="F49" s="1" t="str">
        <f>IFERROR(VLOOKUP(B49,Petróleo!H:I,2,FALSE),"")</f>
        <v/>
      </c>
      <c r="G49" s="1" t="str">
        <f>IFERROR(VLOOKUP(B49,Petróleo!J:K,2,FALSE),"")</f>
        <v/>
      </c>
      <c r="H49" s="1" t="str">
        <f>IFERROR(VLOOKUP(B49,Petróleo!L:M,2,FALSE),"")</f>
        <v/>
      </c>
      <c r="I49" s="1" t="str">
        <f>IFERROR(VLOOKUP(B49,Petróleo!N:O,2,FALSE),"")</f>
        <v/>
      </c>
      <c r="J49" s="1" t="str">
        <f>IFERROR(VLOOKUP(B49,Petróleo!P:Q,2,FALSE),"")</f>
        <v/>
      </c>
      <c r="K49" s="1" t="str">
        <f>IFERROR(VLOOKUP(B49,Petróleo!R:S,2,FALSE),"")</f>
        <v/>
      </c>
      <c r="L49" s="1" t="str">
        <f>IFERROR(VLOOKUP(B49,Petróleo!T:U,2,FALSE),"")</f>
        <v/>
      </c>
      <c r="M49" s="8">
        <f>IFERROR(VLOOKUP(B49,Petróleo!X:Y,2,FALSE),"")</f>
        <v>24750</v>
      </c>
      <c r="N49" s="8">
        <f>IFERROR(VLOOKUP(B49,Petróleo!Z:AA,2,FALSE),"")</f>
        <v>8000</v>
      </c>
      <c r="O49" s="8">
        <f>IFERROR(VLOOKUP(B49,Petróleo!AB:AC,2,FALSE),"")</f>
        <v>2170</v>
      </c>
      <c r="P49" s="8">
        <f>IFERROR(VLOOKUP(B49,Petróleo!AD:AE,2,FALSE),"")</f>
        <v>3650</v>
      </c>
      <c r="Q49" s="8">
        <f>IFERROR(VLOOKUP(B49,Petróleo!AF:AG,2,FALSE),"")</f>
        <v>540</v>
      </c>
      <c r="R49" s="8">
        <f>IFERROR(VLOOKUP(B49,Petróleo!AH:AI,2,FALSE),"")</f>
        <v>1380</v>
      </c>
      <c r="S49" s="8">
        <f>IFERROR(VLOOKUP(B49,Petróleo!AJ:AK,2,FALSE),"")</f>
        <v>1900</v>
      </c>
      <c r="T49" s="8">
        <f>IFERROR(VLOOKUP(B49,Petróleo!AL:AM,2,FALSE),"")</f>
        <v>2360</v>
      </c>
      <c r="U49" s="8">
        <f>IFERROR(VLOOKUP(B49,Petróleo!AN:AO,2,FALSE),"")</f>
        <v>2010</v>
      </c>
      <c r="V49" s="10" t="str">
        <f>IFERROR(VLOOKUP(A49,Petróleo!AR:AT,3,FALSE),"")</f>
        <v/>
      </c>
    </row>
    <row r="50" spans="1:22" x14ac:dyDescent="0.25">
      <c r="A50" s="9" t="str">
        <f t="shared" si="0"/>
        <v>11994</v>
      </c>
      <c r="B50" s="9">
        <v>34365</v>
      </c>
      <c r="C50" s="1">
        <f>IFERROR(VLOOKUP(B50,Petróleo!A:B,2,FALSE),"")</f>
        <v>6817</v>
      </c>
      <c r="D50" s="1">
        <f>IFERROR(VLOOKUP(B50,Estoque_US!D:E,2,FALSE),"")</f>
        <v>-9502</v>
      </c>
      <c r="E50" s="1">
        <f>IFERROR(VLOOKUP(B50,Petróleo!F:G,2,FALSE),"")</f>
        <v>8068</v>
      </c>
      <c r="F50" s="1">
        <f>IFERROR(VLOOKUP(B50,Petróleo!H:I,2,FALSE),"")</f>
        <v>3618</v>
      </c>
      <c r="G50" s="1">
        <f>IFERROR(VLOOKUP(B50,Petróleo!J:K,2,FALSE),"")</f>
        <v>545</v>
      </c>
      <c r="H50" s="1">
        <f>IFERROR(VLOOKUP(B50,Petróleo!L:M,2,FALSE),"")</f>
        <v>1370</v>
      </c>
      <c r="I50" s="1">
        <f>IFERROR(VLOOKUP(B50,Petróleo!N:O,2,FALSE),"")</f>
        <v>2085</v>
      </c>
      <c r="J50" s="1">
        <f>IFERROR(VLOOKUP(B50,Petróleo!P:Q,2,FALSE),"")</f>
        <v>6482</v>
      </c>
      <c r="K50" s="1">
        <f>IFERROR(VLOOKUP(B50,Petróleo!R:S,2,FALSE),"")</f>
        <v>2564</v>
      </c>
      <c r="L50" s="1">
        <f>IFERROR(VLOOKUP(B50,Petróleo!T:U,2,FALSE),"")</f>
        <v>2900</v>
      </c>
      <c r="M50" s="8">
        <f>IFERROR(VLOOKUP(B50,Petróleo!X:Y,2,FALSE),"")</f>
        <v>24820</v>
      </c>
      <c r="N50" s="8">
        <f>IFERROR(VLOOKUP(B50,Petróleo!Z:AA,2,FALSE),"")</f>
        <v>8000</v>
      </c>
      <c r="O50" s="8">
        <f>IFERROR(VLOOKUP(B50,Petróleo!AB:AC,2,FALSE),"")</f>
        <v>2160</v>
      </c>
      <c r="P50" s="8">
        <f>IFERROR(VLOOKUP(B50,Petróleo!AD:AE,2,FALSE),"")</f>
        <v>3630</v>
      </c>
      <c r="Q50" s="8">
        <f>IFERROR(VLOOKUP(B50,Petróleo!AF:AG,2,FALSE),"")</f>
        <v>540</v>
      </c>
      <c r="R50" s="8">
        <f>IFERROR(VLOOKUP(B50,Petróleo!AH:AI,2,FALSE),"")</f>
        <v>1370</v>
      </c>
      <c r="S50" s="8">
        <f>IFERROR(VLOOKUP(B50,Petróleo!AJ:AK,2,FALSE),"")</f>
        <v>1980</v>
      </c>
      <c r="T50" s="8">
        <f>IFERROR(VLOOKUP(B50,Petróleo!AL:AM,2,FALSE),"")</f>
        <v>2360</v>
      </c>
      <c r="U50" s="8">
        <f>IFERROR(VLOOKUP(B50,Petróleo!AN:AO,2,FALSE),"")</f>
        <v>2000</v>
      </c>
      <c r="V50" s="10" t="str">
        <f>IFERROR(VLOOKUP(A50,Petróleo!AR:AT,3,FALSE),"")</f>
        <v/>
      </c>
    </row>
    <row r="51" spans="1:22" x14ac:dyDescent="0.25">
      <c r="A51" s="9" t="str">
        <f t="shared" si="0"/>
        <v>21994</v>
      </c>
      <c r="B51" s="9">
        <v>34393</v>
      </c>
      <c r="C51" s="1">
        <f>IFERROR(VLOOKUP(B51,Petróleo!A:B,2,FALSE),"")</f>
        <v>6770</v>
      </c>
      <c r="D51" s="1">
        <f>IFERROR(VLOOKUP(B51,Estoque_US!D:E,2,FALSE),"")</f>
        <v>-4603</v>
      </c>
      <c r="E51" s="1">
        <f>IFERROR(VLOOKUP(B51,Petróleo!F:G,2,FALSE),"")</f>
        <v>8061</v>
      </c>
      <c r="F51" s="1">
        <f>IFERROR(VLOOKUP(B51,Petróleo!H:I,2,FALSE),"")</f>
        <v>3568</v>
      </c>
      <c r="G51" s="1">
        <f>IFERROR(VLOOKUP(B51,Petróleo!J:K,2,FALSE),"")</f>
        <v>545</v>
      </c>
      <c r="H51" s="1">
        <f>IFERROR(VLOOKUP(B51,Petróleo!L:M,2,FALSE),"")</f>
        <v>1370</v>
      </c>
      <c r="I51" s="1">
        <f>IFERROR(VLOOKUP(B51,Petróleo!N:O,2,FALSE),"")</f>
        <v>2085</v>
      </c>
      <c r="J51" s="1">
        <f>IFERROR(VLOOKUP(B51,Petróleo!P:Q,2,FALSE),"")</f>
        <v>6232</v>
      </c>
      <c r="K51" s="1">
        <f>IFERROR(VLOOKUP(B51,Petróleo!R:S,2,FALSE),"")</f>
        <v>2564</v>
      </c>
      <c r="L51" s="1">
        <f>IFERROR(VLOOKUP(B51,Petróleo!T:U,2,FALSE),"")</f>
        <v>2920</v>
      </c>
      <c r="M51" s="8">
        <f>IFERROR(VLOOKUP(B51,Petróleo!X:Y,2,FALSE),"")</f>
        <v>24780</v>
      </c>
      <c r="N51" s="8">
        <f>IFERROR(VLOOKUP(B51,Petróleo!Z:AA,2,FALSE),"")</f>
        <v>8000</v>
      </c>
      <c r="O51" s="8">
        <f>IFERROR(VLOOKUP(B51,Petróleo!AB:AC,2,FALSE),"")</f>
        <v>2160</v>
      </c>
      <c r="P51" s="8">
        <f>IFERROR(VLOOKUP(B51,Petróleo!AD:AE,2,FALSE),"")</f>
        <v>3580</v>
      </c>
      <c r="Q51" s="8">
        <f>IFERROR(VLOOKUP(B51,Petróleo!AF:AG,2,FALSE),"")</f>
        <v>520</v>
      </c>
      <c r="R51" s="8">
        <f>IFERROR(VLOOKUP(B51,Petróleo!AH:AI,2,FALSE),"")</f>
        <v>1360</v>
      </c>
      <c r="S51" s="8">
        <f>IFERROR(VLOOKUP(B51,Petróleo!AJ:AK,2,FALSE),"")</f>
        <v>2000</v>
      </c>
      <c r="T51" s="8">
        <f>IFERROR(VLOOKUP(B51,Petróleo!AL:AM,2,FALSE),"")</f>
        <v>2400</v>
      </c>
      <c r="U51" s="8">
        <f>IFERROR(VLOOKUP(B51,Petróleo!AN:AO,2,FALSE),"")</f>
        <v>2000</v>
      </c>
      <c r="V51" s="10" t="str">
        <f>IFERROR(VLOOKUP(A51,Petróleo!AR:AT,3,FALSE),"")</f>
        <v/>
      </c>
    </row>
    <row r="52" spans="1:22" x14ac:dyDescent="0.25">
      <c r="A52" s="9" t="str">
        <f t="shared" si="0"/>
        <v>31994</v>
      </c>
      <c r="B52" s="9">
        <v>34424</v>
      </c>
      <c r="C52" s="1">
        <f>IFERROR(VLOOKUP(B52,Petróleo!A:B,2,FALSE),"")</f>
        <v>6746</v>
      </c>
      <c r="D52" s="1">
        <f>IFERROR(VLOOKUP(B52,Estoque_US!D:E,2,FALSE),"")</f>
        <v>9400</v>
      </c>
      <c r="E52" s="1">
        <f>IFERROR(VLOOKUP(B52,Petróleo!F:G,2,FALSE),"")</f>
        <v>8068</v>
      </c>
      <c r="F52" s="1">
        <f>IFERROR(VLOOKUP(B52,Petróleo!H:I,2,FALSE),"")</f>
        <v>3668</v>
      </c>
      <c r="G52" s="1">
        <f>IFERROR(VLOOKUP(B52,Petróleo!J:K,2,FALSE),"")</f>
        <v>545</v>
      </c>
      <c r="H52" s="1">
        <f>IFERROR(VLOOKUP(B52,Petróleo!L:M,2,FALSE),"")</f>
        <v>1370</v>
      </c>
      <c r="I52" s="1">
        <f>IFERROR(VLOOKUP(B52,Petróleo!N:O,2,FALSE),"")</f>
        <v>2038</v>
      </c>
      <c r="J52" s="1">
        <f>IFERROR(VLOOKUP(B52,Petróleo!P:Q,2,FALSE),"")</f>
        <v>6181</v>
      </c>
      <c r="K52" s="1">
        <f>IFERROR(VLOOKUP(B52,Petróleo!R:S,2,FALSE),"")</f>
        <v>2564</v>
      </c>
      <c r="L52" s="1">
        <f>IFERROR(VLOOKUP(B52,Petróleo!T:U,2,FALSE),"")</f>
        <v>2920</v>
      </c>
      <c r="M52" s="8">
        <f>IFERROR(VLOOKUP(B52,Petróleo!X:Y,2,FALSE),"")</f>
        <v>24880</v>
      </c>
      <c r="N52" s="8">
        <f>IFERROR(VLOOKUP(B52,Petróleo!Z:AA,2,FALSE),"")</f>
        <v>8050</v>
      </c>
      <c r="O52" s="8">
        <f>IFERROR(VLOOKUP(B52,Petróleo!AB:AC,2,FALSE),"")</f>
        <v>2170</v>
      </c>
      <c r="P52" s="8">
        <f>IFERROR(VLOOKUP(B52,Petróleo!AD:AE,2,FALSE),"")</f>
        <v>3590</v>
      </c>
      <c r="Q52" s="8">
        <f>IFERROR(VLOOKUP(B52,Petróleo!AF:AG,2,FALSE),"")</f>
        <v>550</v>
      </c>
      <c r="R52" s="8">
        <f>IFERROR(VLOOKUP(B52,Petróleo!AH:AI,2,FALSE),"")</f>
        <v>1390</v>
      </c>
      <c r="S52" s="8">
        <f>IFERROR(VLOOKUP(B52,Petróleo!AJ:AK,2,FALSE),"")</f>
        <v>2030</v>
      </c>
      <c r="T52" s="8">
        <f>IFERROR(VLOOKUP(B52,Petróleo!AL:AM,2,FALSE),"")</f>
        <v>2400</v>
      </c>
      <c r="U52" s="8">
        <f>IFERROR(VLOOKUP(B52,Petróleo!AN:AO,2,FALSE),"")</f>
        <v>2000</v>
      </c>
      <c r="V52" s="10" t="str">
        <f>IFERROR(VLOOKUP(A52,Petróleo!AR:AT,3,FALSE),"")</f>
        <v/>
      </c>
    </row>
    <row r="53" spans="1:22" x14ac:dyDescent="0.25">
      <c r="A53" s="9" t="str">
        <f t="shared" si="0"/>
        <v>41994</v>
      </c>
      <c r="B53" s="9">
        <v>34454</v>
      </c>
      <c r="C53" s="1">
        <f>IFERROR(VLOOKUP(B53,Petróleo!A:B,2,FALSE),"")</f>
        <v>6612</v>
      </c>
      <c r="D53" s="1">
        <f>IFERROR(VLOOKUP(B53,Estoque_US!D:E,2,FALSE),"")</f>
        <v>3630</v>
      </c>
      <c r="E53" s="1">
        <f>IFERROR(VLOOKUP(B53,Petróleo!F:G,2,FALSE),"")</f>
        <v>8083</v>
      </c>
      <c r="F53" s="1">
        <f>IFERROR(VLOOKUP(B53,Petróleo!H:I,2,FALSE),"")</f>
        <v>3518</v>
      </c>
      <c r="G53" s="1">
        <f>IFERROR(VLOOKUP(B53,Petróleo!J:K,2,FALSE),"")</f>
        <v>555</v>
      </c>
      <c r="H53" s="1">
        <f>IFERROR(VLOOKUP(B53,Petróleo!L:M,2,FALSE),"")</f>
        <v>1370</v>
      </c>
      <c r="I53" s="1">
        <f>IFERROR(VLOOKUP(B53,Petróleo!N:O,2,FALSE),"")</f>
        <v>1962</v>
      </c>
      <c r="J53" s="1">
        <f>IFERROR(VLOOKUP(B53,Petróleo!P:Q,2,FALSE),"")</f>
        <v>6018</v>
      </c>
      <c r="K53" s="1">
        <f>IFERROR(VLOOKUP(B53,Petróleo!R:S,2,FALSE),"")</f>
        <v>2554</v>
      </c>
      <c r="L53" s="1">
        <f>IFERROR(VLOOKUP(B53,Petróleo!T:U,2,FALSE),"")</f>
        <v>2940</v>
      </c>
      <c r="M53" s="8">
        <f>IFERROR(VLOOKUP(B53,Petróleo!X:Y,2,FALSE),"")</f>
        <v>24850</v>
      </c>
      <c r="N53" s="8">
        <f>IFERROR(VLOOKUP(B53,Petróleo!Z:AA,2,FALSE),"")</f>
        <v>8020</v>
      </c>
      <c r="O53" s="8">
        <f>IFERROR(VLOOKUP(B53,Petróleo!AB:AC,2,FALSE),"")</f>
        <v>2160</v>
      </c>
      <c r="P53" s="8">
        <f>IFERROR(VLOOKUP(B53,Petróleo!AD:AE,2,FALSE),"")</f>
        <v>3620</v>
      </c>
      <c r="Q53" s="8">
        <f>IFERROR(VLOOKUP(B53,Petróleo!AF:AG,2,FALSE),"")</f>
        <v>550</v>
      </c>
      <c r="R53" s="8">
        <f>IFERROR(VLOOKUP(B53,Petróleo!AH:AI,2,FALSE),"")</f>
        <v>1380</v>
      </c>
      <c r="S53" s="8">
        <f>IFERROR(VLOOKUP(B53,Petróleo!AJ:AK,2,FALSE),"")</f>
        <v>1980</v>
      </c>
      <c r="T53" s="8">
        <f>IFERROR(VLOOKUP(B53,Petróleo!AL:AM,2,FALSE),"")</f>
        <v>2400</v>
      </c>
      <c r="U53" s="8">
        <f>IFERROR(VLOOKUP(B53,Petróleo!AN:AO,2,FALSE),"")</f>
        <v>2000</v>
      </c>
      <c r="V53" s="10" t="str">
        <f>IFERROR(VLOOKUP(A53,Petróleo!AR:AT,3,FALSE),"")</f>
        <v/>
      </c>
    </row>
    <row r="54" spans="1:22" x14ac:dyDescent="0.25">
      <c r="A54" s="9" t="str">
        <f t="shared" si="0"/>
        <v>51994</v>
      </c>
      <c r="B54" s="9">
        <v>34485</v>
      </c>
      <c r="C54" s="1">
        <f>IFERROR(VLOOKUP(B54,Petróleo!A:B,2,FALSE),"")</f>
        <v>6688</v>
      </c>
      <c r="D54" s="1">
        <f>IFERROR(VLOOKUP(B54,Estoque_US!D:E,2,FALSE),"")</f>
        <v>-6344</v>
      </c>
      <c r="E54" s="1">
        <f>IFERROR(VLOOKUP(B54,Petróleo!F:G,2,FALSE),"")</f>
        <v>8063</v>
      </c>
      <c r="F54" s="1">
        <f>IFERROR(VLOOKUP(B54,Petróleo!H:I,2,FALSE),"")</f>
        <v>3568</v>
      </c>
      <c r="G54" s="1">
        <f>IFERROR(VLOOKUP(B54,Petróleo!J:K,2,FALSE),"")</f>
        <v>555</v>
      </c>
      <c r="H54" s="1">
        <f>IFERROR(VLOOKUP(B54,Petróleo!L:M,2,FALSE),"")</f>
        <v>1370</v>
      </c>
      <c r="I54" s="1">
        <f>IFERROR(VLOOKUP(B54,Petróleo!N:O,2,FALSE),"")</f>
        <v>1990</v>
      </c>
      <c r="J54" s="1">
        <f>IFERROR(VLOOKUP(B54,Petróleo!P:Q,2,FALSE),"")</f>
        <v>6158</v>
      </c>
      <c r="K54" s="1">
        <f>IFERROR(VLOOKUP(B54,Petróleo!R:S,2,FALSE),"")</f>
        <v>2574</v>
      </c>
      <c r="L54" s="1">
        <f>IFERROR(VLOOKUP(B54,Petróleo!T:U,2,FALSE),"")</f>
        <v>2940</v>
      </c>
      <c r="M54" s="8">
        <f>IFERROR(VLOOKUP(B54,Petróleo!X:Y,2,FALSE),"")</f>
        <v>24860</v>
      </c>
      <c r="N54" s="8">
        <f>IFERROR(VLOOKUP(B54,Petróleo!Z:AA,2,FALSE),"")</f>
        <v>8060</v>
      </c>
      <c r="O54" s="8">
        <f>IFERROR(VLOOKUP(B54,Petróleo!AB:AC,2,FALSE),"")</f>
        <v>2160</v>
      </c>
      <c r="P54" s="8">
        <f>IFERROR(VLOOKUP(B54,Petróleo!AD:AE,2,FALSE),"")</f>
        <v>3550</v>
      </c>
      <c r="Q54" s="8">
        <f>IFERROR(VLOOKUP(B54,Petróleo!AF:AG,2,FALSE),"")</f>
        <v>550</v>
      </c>
      <c r="R54" s="8">
        <f>IFERROR(VLOOKUP(B54,Petróleo!AH:AI,2,FALSE),"")</f>
        <v>1390</v>
      </c>
      <c r="S54" s="8">
        <f>IFERROR(VLOOKUP(B54,Petróleo!AJ:AK,2,FALSE),"")</f>
        <v>1960</v>
      </c>
      <c r="T54" s="8">
        <f>IFERROR(VLOOKUP(B54,Petróleo!AL:AM,2,FALSE),"")</f>
        <v>2400</v>
      </c>
      <c r="U54" s="8">
        <f>IFERROR(VLOOKUP(B54,Petróleo!AN:AO,2,FALSE),"")</f>
        <v>2020</v>
      </c>
      <c r="V54" s="10" t="str">
        <f>IFERROR(VLOOKUP(A54,Petróleo!AR:AT,3,FALSE),"")</f>
        <v/>
      </c>
    </row>
    <row r="55" spans="1:22" x14ac:dyDescent="0.25">
      <c r="A55" s="9" t="str">
        <f t="shared" si="0"/>
        <v>61994</v>
      </c>
      <c r="B55" s="9">
        <v>34515</v>
      </c>
      <c r="C55" s="1">
        <f>IFERROR(VLOOKUP(B55,Petróleo!A:B,2,FALSE),"")</f>
        <v>6611</v>
      </c>
      <c r="D55" s="1">
        <f>IFERROR(VLOOKUP(B55,Estoque_US!D:E,2,FALSE),"")</f>
        <v>-5633</v>
      </c>
      <c r="E55" s="1">
        <f>IFERROR(VLOOKUP(B55,Petróleo!F:G,2,FALSE),"")</f>
        <v>8063</v>
      </c>
      <c r="F55" s="1">
        <f>IFERROR(VLOOKUP(B55,Petróleo!H:I,2,FALSE),"")</f>
        <v>3668</v>
      </c>
      <c r="G55" s="1">
        <f>IFERROR(VLOOKUP(B55,Petróleo!J:K,2,FALSE),"")</f>
        <v>555</v>
      </c>
      <c r="H55" s="1">
        <f>IFERROR(VLOOKUP(B55,Petróleo!L:M,2,FALSE),"")</f>
        <v>1370</v>
      </c>
      <c r="I55" s="1">
        <f>IFERROR(VLOOKUP(B55,Petróleo!N:O,2,FALSE),"")</f>
        <v>1981</v>
      </c>
      <c r="J55" s="1">
        <f>IFERROR(VLOOKUP(B55,Petróleo!P:Q,2,FALSE),"")</f>
        <v>6172</v>
      </c>
      <c r="K55" s="1">
        <f>IFERROR(VLOOKUP(B55,Petróleo!R:S,2,FALSE),"")</f>
        <v>2574</v>
      </c>
      <c r="L55" s="1">
        <f>IFERROR(VLOOKUP(B55,Petróleo!T:U,2,FALSE),"")</f>
        <v>2950</v>
      </c>
      <c r="M55" s="8">
        <f>IFERROR(VLOOKUP(B55,Petróleo!X:Y,2,FALSE),"")</f>
        <v>24940</v>
      </c>
      <c r="N55" s="8">
        <f>IFERROR(VLOOKUP(B55,Petróleo!Z:AA,2,FALSE),"")</f>
        <v>8090</v>
      </c>
      <c r="O55" s="8">
        <f>IFERROR(VLOOKUP(B55,Petróleo!AB:AC,2,FALSE),"")</f>
        <v>2160</v>
      </c>
      <c r="P55" s="8">
        <f>IFERROR(VLOOKUP(B55,Petróleo!AD:AE,2,FALSE),"")</f>
        <v>3580</v>
      </c>
      <c r="Q55" s="8">
        <f>IFERROR(VLOOKUP(B55,Petróleo!AF:AG,2,FALSE),"")</f>
        <v>550</v>
      </c>
      <c r="R55" s="8">
        <f>IFERROR(VLOOKUP(B55,Petróleo!AH:AI,2,FALSE),"")</f>
        <v>1380</v>
      </c>
      <c r="S55" s="8">
        <f>IFERROR(VLOOKUP(B55,Petróleo!AJ:AK,2,FALSE),"")</f>
        <v>1930</v>
      </c>
      <c r="T55" s="8">
        <f>IFERROR(VLOOKUP(B55,Petróleo!AL:AM,2,FALSE),"")</f>
        <v>2430</v>
      </c>
      <c r="U55" s="8">
        <f>IFERROR(VLOOKUP(B55,Petróleo!AN:AO,2,FALSE),"")</f>
        <v>2020</v>
      </c>
      <c r="V55" s="10" t="str">
        <f>IFERROR(VLOOKUP(A55,Petróleo!AR:AT,3,FALSE),"")</f>
        <v/>
      </c>
    </row>
    <row r="56" spans="1:22" x14ac:dyDescent="0.25">
      <c r="A56" s="9" t="str">
        <f t="shared" si="0"/>
        <v>71994</v>
      </c>
      <c r="B56" s="9">
        <v>34546</v>
      </c>
      <c r="C56" s="1">
        <f>IFERROR(VLOOKUP(B56,Petróleo!A:B,2,FALSE),"")</f>
        <v>6501</v>
      </c>
      <c r="D56" s="1">
        <f>IFERROR(VLOOKUP(B56,Estoque_US!D:E,2,FALSE),"")</f>
        <v>1731</v>
      </c>
      <c r="E56" s="1">
        <f>IFERROR(VLOOKUP(B56,Petróleo!F:G,2,FALSE),"")</f>
        <v>8073</v>
      </c>
      <c r="F56" s="1">
        <f>IFERROR(VLOOKUP(B56,Petróleo!H:I,2,FALSE),"")</f>
        <v>3568</v>
      </c>
      <c r="G56" s="1">
        <f>IFERROR(VLOOKUP(B56,Petróleo!J:K,2,FALSE),"")</f>
        <v>555</v>
      </c>
      <c r="H56" s="1">
        <f>IFERROR(VLOOKUP(B56,Petróleo!L:M,2,FALSE),"")</f>
        <v>1380</v>
      </c>
      <c r="I56" s="1">
        <f>IFERROR(VLOOKUP(B56,Petróleo!N:O,2,FALSE),"")</f>
        <v>1886</v>
      </c>
      <c r="J56" s="1">
        <f>IFERROR(VLOOKUP(B56,Petróleo!P:Q,2,FALSE),"")</f>
        <v>6069</v>
      </c>
      <c r="K56" s="1">
        <f>IFERROR(VLOOKUP(B56,Petróleo!R:S,2,FALSE),"")</f>
        <v>2595</v>
      </c>
      <c r="L56" s="1">
        <f>IFERROR(VLOOKUP(B56,Petróleo!T:U,2,FALSE),"")</f>
        <v>2940</v>
      </c>
      <c r="M56" s="8">
        <f>IFERROR(VLOOKUP(B56,Petróleo!X:Y,2,FALSE),"")</f>
        <v>24840</v>
      </c>
      <c r="N56" s="8">
        <f>IFERROR(VLOOKUP(B56,Petróleo!Z:AA,2,FALSE),"")</f>
        <v>8020</v>
      </c>
      <c r="O56" s="8">
        <f>IFERROR(VLOOKUP(B56,Petróleo!AB:AC,2,FALSE),"")</f>
        <v>2200</v>
      </c>
      <c r="P56" s="8">
        <f>IFERROR(VLOOKUP(B56,Petróleo!AD:AE,2,FALSE),"")</f>
        <v>3600</v>
      </c>
      <c r="Q56" s="8">
        <f>IFERROR(VLOOKUP(B56,Petróleo!AF:AG,2,FALSE),"")</f>
        <v>550</v>
      </c>
      <c r="R56" s="8">
        <f>IFERROR(VLOOKUP(B56,Petróleo!AH:AI,2,FALSE),"")</f>
        <v>1390</v>
      </c>
      <c r="S56" s="8">
        <f>IFERROR(VLOOKUP(B56,Petróleo!AJ:AK,2,FALSE),"")</f>
        <v>1830</v>
      </c>
      <c r="T56" s="8">
        <f>IFERROR(VLOOKUP(B56,Petróleo!AL:AM,2,FALSE),"")</f>
        <v>2400</v>
      </c>
      <c r="U56" s="8">
        <f>IFERROR(VLOOKUP(B56,Petróleo!AN:AO,2,FALSE),"")</f>
        <v>2000</v>
      </c>
      <c r="V56" s="10" t="str">
        <f>IFERROR(VLOOKUP(A56,Petróleo!AR:AT,3,FALSE),"")</f>
        <v/>
      </c>
    </row>
    <row r="57" spans="1:22" x14ac:dyDescent="0.25">
      <c r="A57" s="9" t="str">
        <f t="shared" si="0"/>
        <v>81994</v>
      </c>
      <c r="B57" s="9">
        <v>34577</v>
      </c>
      <c r="C57" s="1">
        <f>IFERROR(VLOOKUP(B57,Petróleo!A:B,2,FALSE),"")</f>
        <v>6544</v>
      </c>
      <c r="D57" s="1">
        <f>IFERROR(VLOOKUP(B57,Estoque_US!D:E,2,FALSE),"")</f>
        <v>-4819</v>
      </c>
      <c r="E57" s="1">
        <f>IFERROR(VLOOKUP(B57,Petróleo!F:G,2,FALSE),"")</f>
        <v>8093</v>
      </c>
      <c r="F57" s="1">
        <f>IFERROR(VLOOKUP(B57,Petróleo!H:I,2,FALSE),"")</f>
        <v>3618</v>
      </c>
      <c r="G57" s="1">
        <f>IFERROR(VLOOKUP(B57,Petróleo!J:K,2,FALSE),"")</f>
        <v>555</v>
      </c>
      <c r="H57" s="1">
        <f>IFERROR(VLOOKUP(B57,Petróleo!L:M,2,FALSE),"")</f>
        <v>1390</v>
      </c>
      <c r="I57" s="1">
        <f>IFERROR(VLOOKUP(B57,Petróleo!N:O,2,FALSE),"")</f>
        <v>1545</v>
      </c>
      <c r="J57" s="1">
        <f>IFERROR(VLOOKUP(B57,Petróleo!P:Q,2,FALSE),"")</f>
        <v>6051</v>
      </c>
      <c r="K57" s="1">
        <f>IFERROR(VLOOKUP(B57,Petróleo!R:S,2,FALSE),"")</f>
        <v>2615</v>
      </c>
      <c r="L57" s="1">
        <f>IFERROR(VLOOKUP(B57,Petróleo!T:U,2,FALSE),"")</f>
        <v>2950</v>
      </c>
      <c r="M57" s="8">
        <f>IFERROR(VLOOKUP(B57,Petróleo!X:Y,2,FALSE),"")</f>
        <v>24640</v>
      </c>
      <c r="N57" s="8">
        <f>IFERROR(VLOOKUP(B57,Petróleo!Z:AA,2,FALSE),"")</f>
        <v>8070</v>
      </c>
      <c r="O57" s="8">
        <f>IFERROR(VLOOKUP(B57,Petróleo!AB:AC,2,FALSE),"")</f>
        <v>2190</v>
      </c>
      <c r="P57" s="8">
        <f>IFERROR(VLOOKUP(B57,Petróleo!AD:AE,2,FALSE),"")</f>
        <v>3600</v>
      </c>
      <c r="Q57" s="8">
        <f>IFERROR(VLOOKUP(B57,Petróleo!AF:AG,2,FALSE),"")</f>
        <v>560</v>
      </c>
      <c r="R57" s="8">
        <f>IFERROR(VLOOKUP(B57,Petróleo!AH:AI,2,FALSE),"")</f>
        <v>1390</v>
      </c>
      <c r="S57" s="8">
        <f>IFERROR(VLOOKUP(B57,Petróleo!AJ:AK,2,FALSE),"")</f>
        <v>1510</v>
      </c>
      <c r="T57" s="8">
        <f>IFERROR(VLOOKUP(B57,Petróleo!AL:AM,2,FALSE),"")</f>
        <v>2460</v>
      </c>
      <c r="U57" s="8">
        <f>IFERROR(VLOOKUP(B57,Petróleo!AN:AO,2,FALSE),"")</f>
        <v>2020</v>
      </c>
      <c r="V57" s="10" t="str">
        <f>IFERROR(VLOOKUP(A57,Petróleo!AR:AT,3,FALSE),"")</f>
        <v/>
      </c>
    </row>
    <row r="58" spans="1:22" x14ac:dyDescent="0.25">
      <c r="A58" s="9" t="str">
        <f t="shared" si="0"/>
        <v>91994</v>
      </c>
      <c r="B58" s="9">
        <v>34607</v>
      </c>
      <c r="C58" s="1">
        <f>IFERROR(VLOOKUP(B58,Petróleo!A:B,2,FALSE),"")</f>
        <v>6609</v>
      </c>
      <c r="D58" s="1">
        <f>IFERROR(VLOOKUP(B58,Estoque_US!D:E,2,FALSE),"")</f>
        <v>10135</v>
      </c>
      <c r="E58" s="1">
        <f>IFERROR(VLOOKUP(B58,Petróleo!F:G,2,FALSE),"")</f>
        <v>8153</v>
      </c>
      <c r="F58" s="1">
        <f>IFERROR(VLOOKUP(B58,Petróleo!H:I,2,FALSE),"")</f>
        <v>3668</v>
      </c>
      <c r="G58" s="1">
        <f>IFERROR(VLOOKUP(B58,Petróleo!J:K,2,FALSE),"")</f>
        <v>555</v>
      </c>
      <c r="H58" s="1">
        <f>IFERROR(VLOOKUP(B58,Petróleo!L:M,2,FALSE),"")</f>
        <v>1370</v>
      </c>
      <c r="I58" s="1">
        <f>IFERROR(VLOOKUP(B58,Petróleo!N:O,2,FALSE),"")</f>
        <v>1905</v>
      </c>
      <c r="J58" s="1">
        <f>IFERROR(VLOOKUP(B58,Petróleo!P:Q,2,FALSE),"")</f>
        <v>6014</v>
      </c>
      <c r="K58" s="1">
        <f>IFERROR(VLOOKUP(B58,Petróleo!R:S,2,FALSE),"")</f>
        <v>2615</v>
      </c>
      <c r="L58" s="1">
        <f>IFERROR(VLOOKUP(B58,Petróleo!T:U,2,FALSE),"")</f>
        <v>2910</v>
      </c>
      <c r="M58" s="8">
        <f>IFERROR(VLOOKUP(B58,Petróleo!X:Y,2,FALSE),"")</f>
        <v>25020</v>
      </c>
      <c r="N58" s="8">
        <f>IFERROR(VLOOKUP(B58,Petróleo!Z:AA,2,FALSE),"")</f>
        <v>8050</v>
      </c>
      <c r="O58" s="8">
        <f>IFERROR(VLOOKUP(B58,Petróleo!AB:AC,2,FALSE),"")</f>
        <v>2180</v>
      </c>
      <c r="P58" s="8">
        <f>IFERROR(VLOOKUP(B58,Petróleo!AD:AE,2,FALSE),"")</f>
        <v>3650</v>
      </c>
      <c r="Q58" s="8">
        <f>IFERROR(VLOOKUP(B58,Petróleo!AF:AG,2,FALSE),"")</f>
        <v>560</v>
      </c>
      <c r="R58" s="8">
        <f>IFERROR(VLOOKUP(B58,Petróleo!AH:AI,2,FALSE),"")</f>
        <v>1370</v>
      </c>
      <c r="S58" s="8">
        <f>IFERROR(VLOOKUP(B58,Petróleo!AJ:AK,2,FALSE),"")</f>
        <v>1850</v>
      </c>
      <c r="T58" s="8">
        <f>IFERROR(VLOOKUP(B58,Petróleo!AL:AM,2,FALSE),"")</f>
        <v>2480</v>
      </c>
      <c r="U58" s="8">
        <f>IFERROR(VLOOKUP(B58,Petróleo!AN:AO,2,FALSE),"")</f>
        <v>2050</v>
      </c>
      <c r="V58" s="10" t="str">
        <f>IFERROR(VLOOKUP(A58,Petróleo!AR:AT,3,FALSE),"")</f>
        <v/>
      </c>
    </row>
    <row r="59" spans="1:22" x14ac:dyDescent="0.25">
      <c r="A59" s="9" t="str">
        <f t="shared" si="0"/>
        <v>101994</v>
      </c>
      <c r="B59" s="9">
        <v>34638</v>
      </c>
      <c r="C59" s="1">
        <f>IFERROR(VLOOKUP(B59,Petróleo!A:B,2,FALSE),"")</f>
        <v>6658</v>
      </c>
      <c r="D59" s="1">
        <f>IFERROR(VLOOKUP(B59,Estoque_US!D:E,2,FALSE),"")</f>
        <v>10936</v>
      </c>
      <c r="E59" s="1">
        <f>IFERROR(VLOOKUP(B59,Petróleo!F:G,2,FALSE),"")</f>
        <v>8218</v>
      </c>
      <c r="F59" s="1">
        <f>IFERROR(VLOOKUP(B59,Petróleo!H:I,2,FALSE),"")</f>
        <v>3618</v>
      </c>
      <c r="G59" s="1">
        <f>IFERROR(VLOOKUP(B59,Petróleo!J:K,2,FALSE),"")</f>
        <v>555</v>
      </c>
      <c r="H59" s="1">
        <f>IFERROR(VLOOKUP(B59,Petróleo!L:M,2,FALSE),"")</f>
        <v>1390</v>
      </c>
      <c r="I59" s="1">
        <f>IFERROR(VLOOKUP(B59,Petróleo!N:O,2,FALSE),"")</f>
        <v>1971</v>
      </c>
      <c r="J59" s="1">
        <f>IFERROR(VLOOKUP(B59,Petróleo!P:Q,2,FALSE),"")</f>
        <v>6088</v>
      </c>
      <c r="K59" s="1">
        <f>IFERROR(VLOOKUP(B59,Petróleo!R:S,2,FALSE),"")</f>
        <v>2615</v>
      </c>
      <c r="L59" s="1">
        <f>IFERROR(VLOOKUP(B59,Petróleo!T:U,2,FALSE),"")</f>
        <v>2950</v>
      </c>
      <c r="M59" s="8">
        <f>IFERROR(VLOOKUP(B59,Petróleo!X:Y,2,FALSE),"")</f>
        <v>25260</v>
      </c>
      <c r="N59" s="8">
        <f>IFERROR(VLOOKUP(B59,Petróleo!Z:AA,2,FALSE),"")</f>
        <v>8060</v>
      </c>
      <c r="O59" s="8">
        <f>IFERROR(VLOOKUP(B59,Petróleo!AB:AC,2,FALSE),"")</f>
        <v>2160</v>
      </c>
      <c r="P59" s="8">
        <f>IFERROR(VLOOKUP(B59,Petróleo!AD:AE,2,FALSE),"")</f>
        <v>3750</v>
      </c>
      <c r="Q59" s="8">
        <f>IFERROR(VLOOKUP(B59,Petróleo!AF:AG,2,FALSE),"")</f>
        <v>560</v>
      </c>
      <c r="R59" s="8">
        <f>IFERROR(VLOOKUP(B59,Petróleo!AH:AI,2,FALSE),"")</f>
        <v>1370</v>
      </c>
      <c r="S59" s="8">
        <f>IFERROR(VLOOKUP(B59,Petróleo!AJ:AK,2,FALSE),"")</f>
        <v>2050</v>
      </c>
      <c r="T59" s="8">
        <f>IFERROR(VLOOKUP(B59,Petróleo!AL:AM,2,FALSE),"")</f>
        <v>2480</v>
      </c>
      <c r="U59" s="8">
        <f>IFERROR(VLOOKUP(B59,Petróleo!AN:AO,2,FALSE),"")</f>
        <v>2040</v>
      </c>
      <c r="V59" s="10" t="str">
        <f>IFERROR(VLOOKUP(A59,Petróleo!AR:AT,3,FALSE),"")</f>
        <v/>
      </c>
    </row>
    <row r="60" spans="1:22" x14ac:dyDescent="0.25">
      <c r="A60" s="9" t="str">
        <f t="shared" si="0"/>
        <v>111994</v>
      </c>
      <c r="B60" s="9">
        <v>34668</v>
      </c>
      <c r="C60" s="1">
        <f>IFERROR(VLOOKUP(B60,Petróleo!A:B,2,FALSE),"")</f>
        <v>6628</v>
      </c>
      <c r="D60" s="1">
        <f>IFERROR(VLOOKUP(B60,Estoque_US!D:E,2,FALSE),"")</f>
        <v>-7244</v>
      </c>
      <c r="E60" s="1">
        <f>IFERROR(VLOOKUP(B60,Petróleo!F:G,2,FALSE),"")</f>
        <v>8218</v>
      </c>
      <c r="F60" s="1">
        <f>IFERROR(VLOOKUP(B60,Petróleo!H:I,2,FALSE),"")</f>
        <v>3717</v>
      </c>
      <c r="G60" s="1">
        <f>IFERROR(VLOOKUP(B60,Petróleo!J:K,2,FALSE),"")</f>
        <v>555</v>
      </c>
      <c r="H60" s="1">
        <f>IFERROR(VLOOKUP(B60,Petróleo!L:M,2,FALSE),"")</f>
        <v>1390</v>
      </c>
      <c r="I60" s="1">
        <f>IFERROR(VLOOKUP(B60,Petróleo!N:O,2,FALSE),"")</f>
        <v>1876</v>
      </c>
      <c r="J60" s="1">
        <f>IFERROR(VLOOKUP(B60,Petróleo!P:Q,2,FALSE),"")</f>
        <v>6107</v>
      </c>
      <c r="K60" s="1">
        <f>IFERROR(VLOOKUP(B60,Petróleo!R:S,2,FALSE),"")</f>
        <v>2615</v>
      </c>
      <c r="L60" s="1">
        <f>IFERROR(VLOOKUP(B60,Petróleo!T:U,2,FALSE),"")</f>
        <v>2970</v>
      </c>
      <c r="M60" s="8">
        <f>IFERROR(VLOOKUP(B60,Petróleo!X:Y,2,FALSE),"")</f>
        <v>25160</v>
      </c>
      <c r="N60" s="8">
        <f>IFERROR(VLOOKUP(B60,Petróleo!Z:AA,2,FALSE),"")</f>
        <v>8090</v>
      </c>
      <c r="O60" s="8">
        <f>IFERROR(VLOOKUP(B60,Petróleo!AB:AC,2,FALSE),"")</f>
        <v>2160</v>
      </c>
      <c r="P60" s="8">
        <f>IFERROR(VLOOKUP(B60,Petróleo!AD:AE,2,FALSE),"")</f>
        <v>3600</v>
      </c>
      <c r="Q60" s="8">
        <f>IFERROR(VLOOKUP(B60,Petróleo!AF:AG,2,FALSE),"")</f>
        <v>600</v>
      </c>
      <c r="R60" s="8">
        <f>IFERROR(VLOOKUP(B60,Petróleo!AH:AI,2,FALSE),"")</f>
        <v>1380</v>
      </c>
      <c r="S60" s="8">
        <f>IFERROR(VLOOKUP(B60,Petróleo!AJ:AK,2,FALSE),"")</f>
        <v>1930</v>
      </c>
      <c r="T60" s="8">
        <f>IFERROR(VLOOKUP(B60,Petróleo!AL:AM,2,FALSE),"")</f>
        <v>2490</v>
      </c>
      <c r="U60" s="8">
        <f>IFERROR(VLOOKUP(B60,Petróleo!AN:AO,2,FALSE),"")</f>
        <v>2050</v>
      </c>
      <c r="V60" s="10" t="str">
        <f>IFERROR(VLOOKUP(A60,Petróleo!AR:AT,3,FALSE),"")</f>
        <v/>
      </c>
    </row>
    <row r="61" spans="1:22" x14ac:dyDescent="0.25">
      <c r="A61" s="9" t="str">
        <f t="shared" si="0"/>
        <v>121994</v>
      </c>
      <c r="B61" s="9">
        <v>34699</v>
      </c>
      <c r="C61" s="1">
        <f>IFERROR(VLOOKUP(B61,Petróleo!A:B,2,FALSE),"")</f>
        <v>6760</v>
      </c>
      <c r="D61" s="1">
        <f>IFERROR(VLOOKUP(B61,Estoque_US!D:E,2,FALSE),"")</f>
        <v>-9241</v>
      </c>
      <c r="E61" s="1">
        <f>IFERROR(VLOOKUP(B61,Petróleo!F:G,2,FALSE),"")</f>
        <v>8273</v>
      </c>
      <c r="F61" s="1">
        <f>IFERROR(VLOOKUP(B61,Petróleo!H:I,2,FALSE),"")</f>
        <v>3618</v>
      </c>
      <c r="G61" s="1">
        <f>IFERROR(VLOOKUP(B61,Petróleo!J:K,2,FALSE),"")</f>
        <v>555</v>
      </c>
      <c r="H61" s="1">
        <f>IFERROR(VLOOKUP(B61,Petróleo!L:M,2,FALSE),"")</f>
        <v>1390</v>
      </c>
      <c r="I61" s="1">
        <f>IFERROR(VLOOKUP(B61,Petróleo!N:O,2,FALSE),"")</f>
        <v>1862</v>
      </c>
      <c r="J61" s="1">
        <f>IFERROR(VLOOKUP(B61,Petróleo!P:Q,2,FALSE),"")</f>
        <v>6051</v>
      </c>
      <c r="K61" s="1">
        <f>IFERROR(VLOOKUP(B61,Petróleo!R:S,2,FALSE),"")</f>
        <v>2605</v>
      </c>
      <c r="L61" s="1">
        <f>IFERROR(VLOOKUP(B61,Petróleo!T:U,2,FALSE),"")</f>
        <v>2980</v>
      </c>
      <c r="M61" s="8">
        <f>IFERROR(VLOOKUP(B61,Petróleo!X:Y,2,FALSE),"")</f>
        <v>25140</v>
      </c>
      <c r="N61" s="8">
        <f>IFERROR(VLOOKUP(B61,Petróleo!Z:AA,2,FALSE),"")</f>
        <v>8050</v>
      </c>
      <c r="O61" s="8">
        <f>IFERROR(VLOOKUP(B61,Petróleo!AB:AC,2,FALSE),"")</f>
        <v>2180</v>
      </c>
      <c r="P61" s="8">
        <f>IFERROR(VLOOKUP(B61,Petróleo!AD:AE,2,FALSE),"")</f>
        <v>3600</v>
      </c>
      <c r="Q61" s="8">
        <f>IFERROR(VLOOKUP(B61,Petróleo!AF:AG,2,FALSE),"")</f>
        <v>630</v>
      </c>
      <c r="R61" s="8">
        <f>IFERROR(VLOOKUP(B61,Petróleo!AH:AI,2,FALSE),"")</f>
        <v>1380</v>
      </c>
      <c r="S61" s="8">
        <f>IFERROR(VLOOKUP(B61,Petróleo!AJ:AK,2,FALSE),"")</f>
        <v>1930</v>
      </c>
      <c r="T61" s="8">
        <f>IFERROR(VLOOKUP(B61,Petróleo!AL:AM,2,FALSE),"")</f>
        <v>2490</v>
      </c>
      <c r="U61" s="8">
        <f>IFERROR(VLOOKUP(B61,Petróleo!AN:AO,2,FALSE),"")</f>
        <v>2040</v>
      </c>
      <c r="V61" s="10" t="str">
        <f>IFERROR(VLOOKUP(A61,Petróleo!AR:AT,3,FALSE),"")</f>
        <v/>
      </c>
    </row>
    <row r="62" spans="1:22" x14ac:dyDescent="0.25">
      <c r="A62" s="9" t="str">
        <f t="shared" si="0"/>
        <v>11995</v>
      </c>
      <c r="B62" s="9">
        <v>34730</v>
      </c>
      <c r="C62" s="1">
        <f>IFERROR(VLOOKUP(B62,Petróleo!A:B,2,FALSE),"")</f>
        <v>6682</v>
      </c>
      <c r="D62" s="1">
        <f>IFERROR(VLOOKUP(B62,Estoque_US!D:E,2,FALSE),"")</f>
        <v>-6043</v>
      </c>
      <c r="E62" s="1">
        <f>IFERROR(VLOOKUP(B62,Petróleo!F:G,2,FALSE),"")</f>
        <v>8120</v>
      </c>
      <c r="F62" s="1">
        <f>IFERROR(VLOOKUP(B62,Petróleo!H:I,2,FALSE),"")</f>
        <v>3585</v>
      </c>
      <c r="G62" s="1">
        <f>IFERROR(VLOOKUP(B62,Petróleo!J:K,2,FALSE),"")</f>
        <v>560</v>
      </c>
      <c r="H62" s="1">
        <f>IFERROR(VLOOKUP(B62,Petróleo!L:M,2,FALSE),"")</f>
        <v>1390</v>
      </c>
      <c r="I62" s="1">
        <f>IFERROR(VLOOKUP(B62,Petróleo!N:O,2,FALSE),"")</f>
        <v>1965</v>
      </c>
      <c r="J62" s="1">
        <f>IFERROR(VLOOKUP(B62,Petróleo!P:Q,2,FALSE),"")</f>
        <v>5899</v>
      </c>
      <c r="K62" s="1">
        <f>IFERROR(VLOOKUP(B62,Petróleo!R:S,2,FALSE),"")</f>
        <v>2600</v>
      </c>
      <c r="L62" s="1">
        <f>IFERROR(VLOOKUP(B62,Petróleo!T:U,2,FALSE),"")</f>
        <v>2925</v>
      </c>
      <c r="M62" s="8">
        <f>IFERROR(VLOOKUP(B62,Petróleo!X:Y,2,FALSE),"")</f>
        <v>25200</v>
      </c>
      <c r="N62" s="8">
        <f>IFERROR(VLOOKUP(B62,Petróleo!Z:AA,2,FALSE),"")</f>
        <v>8100</v>
      </c>
      <c r="O62" s="8">
        <f>IFERROR(VLOOKUP(B62,Petróleo!AB:AC,2,FALSE),"")</f>
        <v>2190</v>
      </c>
      <c r="P62" s="8">
        <f>IFERROR(VLOOKUP(B62,Petróleo!AD:AE,2,FALSE),"")</f>
        <v>3650</v>
      </c>
      <c r="Q62" s="8">
        <f>IFERROR(VLOOKUP(B62,Petróleo!AF:AG,2,FALSE),"")</f>
        <v>650</v>
      </c>
      <c r="R62" s="8">
        <f>IFERROR(VLOOKUP(B62,Petróleo!AH:AI,2,FALSE),"")</f>
        <v>1390</v>
      </c>
      <c r="S62" s="8">
        <f>IFERROR(VLOOKUP(B62,Petróleo!AJ:AK,2,FALSE),"")</f>
        <v>1870</v>
      </c>
      <c r="T62" s="8">
        <f>IFERROR(VLOOKUP(B62,Petróleo!AL:AM,2,FALSE),"")</f>
        <v>2490</v>
      </c>
      <c r="U62" s="8">
        <f>IFERROR(VLOOKUP(B62,Petróleo!AN:AO,2,FALSE),"")</f>
        <v>2030</v>
      </c>
      <c r="V62" s="10" t="str">
        <f>IFERROR(VLOOKUP(A62,Petróleo!AR:AT,3,FALSE),"")</f>
        <v/>
      </c>
    </row>
    <row r="63" spans="1:22" x14ac:dyDescent="0.25">
      <c r="A63" s="9" t="str">
        <f t="shared" si="0"/>
        <v>21995</v>
      </c>
      <c r="B63" s="9">
        <v>34758</v>
      </c>
      <c r="C63" s="1">
        <f>IFERROR(VLOOKUP(B63,Petróleo!A:B,2,FALSE),"")</f>
        <v>6794</v>
      </c>
      <c r="D63" s="1">
        <f>IFERROR(VLOOKUP(B63,Estoque_US!D:E,2,FALSE),"")</f>
        <v>-1389</v>
      </c>
      <c r="E63" s="1">
        <f>IFERROR(VLOOKUP(B63,Petróleo!F:G,2,FALSE),"")</f>
        <v>8220</v>
      </c>
      <c r="F63" s="1">
        <f>IFERROR(VLOOKUP(B63,Petróleo!H:I,2,FALSE),"")</f>
        <v>3685</v>
      </c>
      <c r="G63" s="1">
        <f>IFERROR(VLOOKUP(B63,Petróleo!J:K,2,FALSE),"")</f>
        <v>560</v>
      </c>
      <c r="H63" s="1">
        <f>IFERROR(VLOOKUP(B63,Petróleo!L:M,2,FALSE),"")</f>
        <v>1390</v>
      </c>
      <c r="I63" s="1">
        <f>IFERROR(VLOOKUP(B63,Petróleo!N:O,2,FALSE),"")</f>
        <v>1945</v>
      </c>
      <c r="J63" s="1">
        <f>IFERROR(VLOOKUP(B63,Petróleo!P:Q,2,FALSE),"")</f>
        <v>6091</v>
      </c>
      <c r="K63" s="1">
        <f>IFERROR(VLOOKUP(B63,Petróleo!R:S,2,FALSE),"")</f>
        <v>2600</v>
      </c>
      <c r="L63" s="1">
        <f>IFERROR(VLOOKUP(B63,Petróleo!T:U,2,FALSE),"")</f>
        <v>2975</v>
      </c>
      <c r="M63" s="8">
        <f>IFERROR(VLOOKUP(B63,Petróleo!X:Y,2,FALSE),"")</f>
        <v>25180</v>
      </c>
      <c r="N63" s="8">
        <f>IFERROR(VLOOKUP(B63,Petróleo!Z:AA,2,FALSE),"")</f>
        <v>8100</v>
      </c>
      <c r="O63" s="8">
        <f>IFERROR(VLOOKUP(B63,Petróleo!AB:AC,2,FALSE),"")</f>
        <v>2180</v>
      </c>
      <c r="P63" s="8">
        <f>IFERROR(VLOOKUP(B63,Petróleo!AD:AE,2,FALSE),"")</f>
        <v>3630</v>
      </c>
      <c r="Q63" s="8">
        <f>IFERROR(VLOOKUP(B63,Petróleo!AF:AG,2,FALSE),"")</f>
        <v>630</v>
      </c>
      <c r="R63" s="8">
        <f>IFERROR(VLOOKUP(B63,Petróleo!AH:AI,2,FALSE),"")</f>
        <v>1390</v>
      </c>
      <c r="S63" s="8">
        <f>IFERROR(VLOOKUP(B63,Petróleo!AJ:AK,2,FALSE),"")</f>
        <v>1900</v>
      </c>
      <c r="T63" s="8">
        <f>IFERROR(VLOOKUP(B63,Petróleo!AL:AM,2,FALSE),"")</f>
        <v>2490</v>
      </c>
      <c r="U63" s="8">
        <f>IFERROR(VLOOKUP(B63,Petróleo!AN:AO,2,FALSE),"")</f>
        <v>2040</v>
      </c>
      <c r="V63" s="10" t="str">
        <f>IFERROR(VLOOKUP(A63,Petróleo!AR:AT,3,FALSE),"")</f>
        <v/>
      </c>
    </row>
    <row r="64" spans="1:22" x14ac:dyDescent="0.25">
      <c r="A64" s="9" t="str">
        <f t="shared" si="0"/>
        <v>31995</v>
      </c>
      <c r="B64" s="9">
        <v>34789</v>
      </c>
      <c r="C64" s="1">
        <f>IFERROR(VLOOKUP(B64,Petróleo!A:B,2,FALSE),"")</f>
        <v>6600</v>
      </c>
      <c r="D64" s="1">
        <f>IFERROR(VLOOKUP(B64,Estoque_US!D:E,2,FALSE),"")</f>
        <v>15353</v>
      </c>
      <c r="E64" s="1">
        <f>IFERROR(VLOOKUP(B64,Petróleo!F:G,2,FALSE),"")</f>
        <v>8110</v>
      </c>
      <c r="F64" s="1">
        <f>IFERROR(VLOOKUP(B64,Petróleo!H:I,2,FALSE),"")</f>
        <v>3485</v>
      </c>
      <c r="G64" s="1">
        <f>IFERROR(VLOOKUP(B64,Petróleo!J:K,2,FALSE),"")</f>
        <v>560</v>
      </c>
      <c r="H64" s="1">
        <f>IFERROR(VLOOKUP(B64,Petróleo!L:M,2,FALSE),"")</f>
        <v>1390</v>
      </c>
      <c r="I64" s="1">
        <f>IFERROR(VLOOKUP(B64,Petróleo!N:O,2,FALSE),"")</f>
        <v>1855</v>
      </c>
      <c r="J64" s="1">
        <f>IFERROR(VLOOKUP(B64,Petróleo!P:Q,2,FALSE),"")</f>
        <v>5899</v>
      </c>
      <c r="K64" s="1">
        <f>IFERROR(VLOOKUP(B64,Petróleo!R:S,2,FALSE),"")</f>
        <v>2600</v>
      </c>
      <c r="L64" s="1">
        <f>IFERROR(VLOOKUP(B64,Petróleo!T:U,2,FALSE),"")</f>
        <v>2975</v>
      </c>
      <c r="M64" s="8">
        <f>IFERROR(VLOOKUP(B64,Petróleo!X:Y,2,FALSE),"")</f>
        <v>25100</v>
      </c>
      <c r="N64" s="8">
        <f>IFERROR(VLOOKUP(B64,Petróleo!Z:AA,2,FALSE),"")</f>
        <v>8110</v>
      </c>
      <c r="O64" s="8">
        <f>IFERROR(VLOOKUP(B64,Petróleo!AB:AC,2,FALSE),"")</f>
        <v>2190</v>
      </c>
      <c r="P64" s="8">
        <f>IFERROR(VLOOKUP(B64,Petróleo!AD:AE,2,FALSE),"")</f>
        <v>3550</v>
      </c>
      <c r="Q64" s="8">
        <f>IFERROR(VLOOKUP(B64,Petróleo!AF:AG,2,FALSE),"")</f>
        <v>630</v>
      </c>
      <c r="R64" s="8">
        <f>IFERROR(VLOOKUP(B64,Petróleo!AH:AI,2,FALSE),"")</f>
        <v>1390</v>
      </c>
      <c r="S64" s="8">
        <f>IFERROR(VLOOKUP(B64,Petróleo!AJ:AK,2,FALSE),"")</f>
        <v>1860</v>
      </c>
      <c r="T64" s="8">
        <f>IFERROR(VLOOKUP(B64,Petróleo!AL:AM,2,FALSE),"")</f>
        <v>2500</v>
      </c>
      <c r="U64" s="8">
        <f>IFERROR(VLOOKUP(B64,Petróleo!AN:AO,2,FALSE),"")</f>
        <v>2030</v>
      </c>
      <c r="V64" s="10" t="str">
        <f>IFERROR(VLOOKUP(A64,Petróleo!AR:AT,3,FALSE),"")</f>
        <v/>
      </c>
    </row>
    <row r="65" spans="1:22" x14ac:dyDescent="0.25">
      <c r="A65" s="9" t="str">
        <f t="shared" si="0"/>
        <v>41995</v>
      </c>
      <c r="B65" s="9">
        <v>34819</v>
      </c>
      <c r="C65" s="1">
        <f>IFERROR(VLOOKUP(B65,Petróleo!A:B,2,FALSE),"")</f>
        <v>6604</v>
      </c>
      <c r="D65" s="1">
        <f>IFERROR(VLOOKUP(B65,Estoque_US!D:E,2,FALSE),"")</f>
        <v>-2716</v>
      </c>
      <c r="E65" s="1">
        <f>IFERROR(VLOOKUP(B65,Petróleo!F:G,2,FALSE),"")</f>
        <v>8220</v>
      </c>
      <c r="F65" s="1">
        <f>IFERROR(VLOOKUP(B65,Petróleo!H:I,2,FALSE),"")</f>
        <v>3635</v>
      </c>
      <c r="G65" s="1">
        <f>IFERROR(VLOOKUP(B65,Petróleo!J:K,2,FALSE),"")</f>
        <v>560</v>
      </c>
      <c r="H65" s="1">
        <f>IFERROR(VLOOKUP(B65,Petróleo!L:M,2,FALSE),"")</f>
        <v>1390</v>
      </c>
      <c r="I65" s="1">
        <f>IFERROR(VLOOKUP(B65,Petróleo!N:O,2,FALSE),"")</f>
        <v>2015</v>
      </c>
      <c r="J65" s="1">
        <f>IFERROR(VLOOKUP(B65,Petróleo!P:Q,2,FALSE),"")</f>
        <v>5995</v>
      </c>
      <c r="K65" s="1">
        <f>IFERROR(VLOOKUP(B65,Petróleo!R:S,2,FALSE),"")</f>
        <v>2670</v>
      </c>
      <c r="L65" s="1">
        <f>IFERROR(VLOOKUP(B65,Petróleo!T:U,2,FALSE),"")</f>
        <v>2975</v>
      </c>
      <c r="M65" s="8">
        <f>IFERROR(VLOOKUP(B65,Petróleo!X:Y,2,FALSE),"")</f>
        <v>25190</v>
      </c>
      <c r="N65" s="8">
        <f>IFERROR(VLOOKUP(B65,Petróleo!Z:AA,2,FALSE),"")</f>
        <v>8060</v>
      </c>
      <c r="O65" s="8">
        <f>IFERROR(VLOOKUP(B65,Petróleo!AB:AC,2,FALSE),"")</f>
        <v>2200</v>
      </c>
      <c r="P65" s="8">
        <f>IFERROR(VLOOKUP(B65,Petróleo!AD:AE,2,FALSE),"")</f>
        <v>3580</v>
      </c>
      <c r="Q65" s="8">
        <f>IFERROR(VLOOKUP(B65,Petróleo!AF:AG,2,FALSE),"")</f>
        <v>610</v>
      </c>
      <c r="R65" s="8">
        <f>IFERROR(VLOOKUP(B65,Petróleo!AH:AI,2,FALSE),"")</f>
        <v>1420</v>
      </c>
      <c r="S65" s="8">
        <f>IFERROR(VLOOKUP(B65,Petróleo!AJ:AK,2,FALSE),"")</f>
        <v>1890</v>
      </c>
      <c r="T65" s="8">
        <f>IFERROR(VLOOKUP(B65,Petróleo!AL:AM,2,FALSE),"")</f>
        <v>2510</v>
      </c>
      <c r="U65" s="8">
        <f>IFERROR(VLOOKUP(B65,Petróleo!AN:AO,2,FALSE),"")</f>
        <v>2030</v>
      </c>
      <c r="V65" s="10" t="str">
        <f>IFERROR(VLOOKUP(A65,Petróleo!AR:AT,3,FALSE),"")</f>
        <v/>
      </c>
    </row>
    <row r="66" spans="1:22" x14ac:dyDescent="0.25">
      <c r="A66" s="9" t="str">
        <f t="shared" si="0"/>
        <v>51995</v>
      </c>
      <c r="B66" s="9">
        <v>34850</v>
      </c>
      <c r="C66" s="1">
        <f>IFERROR(VLOOKUP(B66,Petróleo!A:B,2,FALSE),"")</f>
        <v>6629</v>
      </c>
      <c r="D66" s="1">
        <f>IFERROR(VLOOKUP(B66,Estoque_US!D:E,2,FALSE),"")</f>
        <v>-8305</v>
      </c>
      <c r="E66" s="1">
        <f>IFERROR(VLOOKUP(B66,Petróleo!F:G,2,FALSE),"")</f>
        <v>8400</v>
      </c>
      <c r="F66" s="1">
        <f>IFERROR(VLOOKUP(B66,Petróleo!H:I,2,FALSE),"")</f>
        <v>3835</v>
      </c>
      <c r="G66" s="1">
        <f>IFERROR(VLOOKUP(B66,Petróleo!J:K,2,FALSE),"")</f>
        <v>560</v>
      </c>
      <c r="H66" s="1">
        <f>IFERROR(VLOOKUP(B66,Petróleo!L:M,2,FALSE),"")</f>
        <v>1390</v>
      </c>
      <c r="I66" s="1">
        <f>IFERROR(VLOOKUP(B66,Petróleo!N:O,2,FALSE),"")</f>
        <v>2045</v>
      </c>
      <c r="J66" s="1">
        <f>IFERROR(VLOOKUP(B66,Petróleo!P:Q,2,FALSE),"")</f>
        <v>6091</v>
      </c>
      <c r="K66" s="1">
        <f>IFERROR(VLOOKUP(B66,Petróleo!R:S,2,FALSE),"")</f>
        <v>2790</v>
      </c>
      <c r="L66" s="1">
        <f>IFERROR(VLOOKUP(B66,Petróleo!T:U,2,FALSE),"")</f>
        <v>2955</v>
      </c>
      <c r="M66" s="8">
        <f>IFERROR(VLOOKUP(B66,Petróleo!X:Y,2,FALSE),"")</f>
        <v>25290</v>
      </c>
      <c r="N66" s="8">
        <f>IFERROR(VLOOKUP(B66,Petróleo!Z:AA,2,FALSE),"")</f>
        <v>8030</v>
      </c>
      <c r="O66" s="8">
        <f>IFERROR(VLOOKUP(B66,Petróleo!AB:AC,2,FALSE),"")</f>
        <v>2210</v>
      </c>
      <c r="P66" s="8">
        <f>IFERROR(VLOOKUP(B66,Petróleo!AD:AE,2,FALSE),"")</f>
        <v>3700</v>
      </c>
      <c r="Q66" s="8">
        <f>IFERROR(VLOOKUP(B66,Petróleo!AF:AG,2,FALSE),"")</f>
        <v>600</v>
      </c>
      <c r="R66" s="8">
        <f>IFERROR(VLOOKUP(B66,Petróleo!AH:AI,2,FALSE),"")</f>
        <v>1410</v>
      </c>
      <c r="S66" s="8">
        <f>IFERROR(VLOOKUP(B66,Petróleo!AJ:AK,2,FALSE),"")</f>
        <v>1940</v>
      </c>
      <c r="T66" s="8">
        <f>IFERROR(VLOOKUP(B66,Petróleo!AL:AM,2,FALSE),"")</f>
        <v>2500</v>
      </c>
      <c r="U66" s="8">
        <f>IFERROR(VLOOKUP(B66,Petróleo!AN:AO,2,FALSE),"")</f>
        <v>2030</v>
      </c>
      <c r="V66" s="10" t="str">
        <f>IFERROR(VLOOKUP(A66,Petróleo!AR:AT,3,FALSE),"")</f>
        <v/>
      </c>
    </row>
    <row r="67" spans="1:22" x14ac:dyDescent="0.25">
      <c r="A67" s="9" t="str">
        <f t="shared" ref="A67:A130" si="1">MONTH(B67)&amp;YEAR(B67)</f>
        <v>61995</v>
      </c>
      <c r="B67" s="9">
        <v>34880</v>
      </c>
      <c r="C67" s="1">
        <f>IFERROR(VLOOKUP(B67,Petróleo!A:B,2,FALSE),"")</f>
        <v>6579</v>
      </c>
      <c r="D67" s="1">
        <f>IFERROR(VLOOKUP(B67,Estoque_US!D:E,2,FALSE),"")</f>
        <v>-6704</v>
      </c>
      <c r="E67" s="1">
        <f>IFERROR(VLOOKUP(B67,Petróleo!F:G,2,FALSE),"")</f>
        <v>8100</v>
      </c>
      <c r="F67" s="1">
        <f>IFERROR(VLOOKUP(B67,Petróleo!H:I,2,FALSE),"")</f>
        <v>3585</v>
      </c>
      <c r="G67" s="1">
        <f>IFERROR(VLOOKUP(B67,Petróleo!J:K,2,FALSE),"")</f>
        <v>560</v>
      </c>
      <c r="H67" s="1">
        <f>IFERROR(VLOOKUP(B67,Petróleo!L:M,2,FALSE),"")</f>
        <v>1390</v>
      </c>
      <c r="I67" s="1">
        <f>IFERROR(VLOOKUP(B67,Petróleo!N:O,2,FALSE),"")</f>
        <v>1925</v>
      </c>
      <c r="J67" s="1">
        <f>IFERROR(VLOOKUP(B67,Petróleo!P:Q,2,FALSE),"")</f>
        <v>6086</v>
      </c>
      <c r="K67" s="1">
        <f>IFERROR(VLOOKUP(B67,Petróleo!R:S,2,FALSE),"")</f>
        <v>2790</v>
      </c>
      <c r="L67" s="1">
        <f>IFERROR(VLOOKUP(B67,Petróleo!T:U,2,FALSE),"")</f>
        <v>2955</v>
      </c>
      <c r="M67" s="8">
        <f>IFERROR(VLOOKUP(B67,Petróleo!X:Y,2,FALSE),"")</f>
        <v>25270</v>
      </c>
      <c r="N67" s="8">
        <f>IFERROR(VLOOKUP(B67,Petróleo!Z:AA,2,FALSE),"")</f>
        <v>8070</v>
      </c>
      <c r="O67" s="8">
        <f>IFERROR(VLOOKUP(B67,Petróleo!AB:AC,2,FALSE),"")</f>
        <v>2180</v>
      </c>
      <c r="P67" s="8">
        <f>IFERROR(VLOOKUP(B67,Petróleo!AD:AE,2,FALSE),"")</f>
        <v>3570</v>
      </c>
      <c r="Q67" s="8">
        <f>IFERROR(VLOOKUP(B67,Petróleo!AF:AG,2,FALSE),"")</f>
        <v>600</v>
      </c>
      <c r="R67" s="8">
        <f>IFERROR(VLOOKUP(B67,Petróleo!AH:AI,2,FALSE),"")</f>
        <v>1400</v>
      </c>
      <c r="S67" s="8">
        <f>IFERROR(VLOOKUP(B67,Petróleo!AJ:AK,2,FALSE),"")</f>
        <v>1910</v>
      </c>
      <c r="T67" s="8">
        <f>IFERROR(VLOOKUP(B67,Petróleo!AL:AM,2,FALSE),"")</f>
        <v>2580</v>
      </c>
      <c r="U67" s="8">
        <f>IFERROR(VLOOKUP(B67,Petróleo!AN:AO,2,FALSE),"")</f>
        <v>2050</v>
      </c>
      <c r="V67" s="10" t="str">
        <f>IFERROR(VLOOKUP(A67,Petróleo!AR:AT,3,FALSE),"")</f>
        <v/>
      </c>
    </row>
    <row r="68" spans="1:22" x14ac:dyDescent="0.25">
      <c r="A68" s="9" t="str">
        <f t="shared" si="1"/>
        <v>71995</v>
      </c>
      <c r="B68" s="9">
        <v>34911</v>
      </c>
      <c r="C68" s="1">
        <f>IFERROR(VLOOKUP(B68,Petróleo!A:B,2,FALSE),"")</f>
        <v>6449</v>
      </c>
      <c r="D68" s="1">
        <f>IFERROR(VLOOKUP(B68,Estoque_US!D:E,2,FALSE),"")</f>
        <v>-5582</v>
      </c>
      <c r="E68" s="1">
        <f>IFERROR(VLOOKUP(B68,Petróleo!F:G,2,FALSE),"")</f>
        <v>8410</v>
      </c>
      <c r="F68" s="1">
        <f>IFERROR(VLOOKUP(B68,Petróleo!H:I,2,FALSE),"")</f>
        <v>3535</v>
      </c>
      <c r="G68" s="1">
        <f>IFERROR(VLOOKUP(B68,Petróleo!J:K,2,FALSE),"")</f>
        <v>560</v>
      </c>
      <c r="H68" s="1">
        <f>IFERROR(VLOOKUP(B68,Petróleo!L:M,2,FALSE),"")</f>
        <v>1390</v>
      </c>
      <c r="I68" s="1">
        <f>IFERROR(VLOOKUP(B68,Petróleo!N:O,2,FALSE),"")</f>
        <v>1945</v>
      </c>
      <c r="J68" s="1">
        <f>IFERROR(VLOOKUP(B68,Petróleo!P:Q,2,FALSE),"")</f>
        <v>6004</v>
      </c>
      <c r="K68" s="1">
        <f>IFERROR(VLOOKUP(B68,Petróleo!R:S,2,FALSE),"")</f>
        <v>2790</v>
      </c>
      <c r="L68" s="1">
        <f>IFERROR(VLOOKUP(B68,Petróleo!T:U,2,FALSE),"")</f>
        <v>2955</v>
      </c>
      <c r="M68" s="8">
        <f>IFERROR(VLOOKUP(B68,Petróleo!X:Y,2,FALSE),"")</f>
        <v>25290</v>
      </c>
      <c r="N68" s="8">
        <f>IFERROR(VLOOKUP(B68,Petróleo!Z:AA,2,FALSE),"")</f>
        <v>8070</v>
      </c>
      <c r="O68" s="8">
        <f>IFERROR(VLOOKUP(B68,Petróleo!AB:AC,2,FALSE),"")</f>
        <v>2180</v>
      </c>
      <c r="P68" s="8">
        <f>IFERROR(VLOOKUP(B68,Petróleo!AD:AE,2,FALSE),"")</f>
        <v>3570</v>
      </c>
      <c r="Q68" s="8">
        <f>IFERROR(VLOOKUP(B68,Petróleo!AF:AG,2,FALSE),"")</f>
        <v>600</v>
      </c>
      <c r="R68" s="8">
        <f>IFERROR(VLOOKUP(B68,Petróleo!AH:AI,2,FALSE),"")</f>
        <v>1400</v>
      </c>
      <c r="S68" s="8">
        <f>IFERROR(VLOOKUP(B68,Petróleo!AJ:AK,2,FALSE),"")</f>
        <v>1910</v>
      </c>
      <c r="T68" s="8">
        <f>IFERROR(VLOOKUP(B68,Petróleo!AL:AM,2,FALSE),"")</f>
        <v>2600</v>
      </c>
      <c r="U68" s="8">
        <f>IFERROR(VLOOKUP(B68,Petróleo!AN:AO,2,FALSE),"")</f>
        <v>2050</v>
      </c>
      <c r="V68" s="10" t="str">
        <f>IFERROR(VLOOKUP(A68,Petróleo!AR:AT,3,FALSE),"")</f>
        <v/>
      </c>
    </row>
    <row r="69" spans="1:22" x14ac:dyDescent="0.25">
      <c r="A69" s="9" t="str">
        <f t="shared" si="1"/>
        <v>81995</v>
      </c>
      <c r="B69" s="9">
        <v>34942</v>
      </c>
      <c r="C69" s="1">
        <f>IFERROR(VLOOKUP(B69,Petróleo!A:B,2,FALSE),"")</f>
        <v>6447</v>
      </c>
      <c r="D69" s="1">
        <f>IFERROR(VLOOKUP(B69,Estoque_US!D:E,2,FALSE),"")</f>
        <v>-8812</v>
      </c>
      <c r="E69" s="1">
        <f>IFERROR(VLOOKUP(B69,Petróleo!F:G,2,FALSE),"")</f>
        <v>8425</v>
      </c>
      <c r="F69" s="1">
        <f>IFERROR(VLOOKUP(B69,Petróleo!H:I,2,FALSE),"")</f>
        <v>3685</v>
      </c>
      <c r="G69" s="1">
        <f>IFERROR(VLOOKUP(B69,Petróleo!J:K,2,FALSE),"")</f>
        <v>560</v>
      </c>
      <c r="H69" s="1">
        <f>IFERROR(VLOOKUP(B69,Petróleo!L:M,2,FALSE),"")</f>
        <v>1390</v>
      </c>
      <c r="I69" s="1">
        <f>IFERROR(VLOOKUP(B69,Petróleo!N:O,2,FALSE),"")</f>
        <v>2000</v>
      </c>
      <c r="J69" s="1">
        <f>IFERROR(VLOOKUP(B69,Petróleo!P:Q,2,FALSE),"")</f>
        <v>6050</v>
      </c>
      <c r="K69" s="1">
        <f>IFERROR(VLOOKUP(B69,Petróleo!R:S,2,FALSE),"")</f>
        <v>2790</v>
      </c>
      <c r="L69" s="1">
        <f>IFERROR(VLOOKUP(B69,Petróleo!T:U,2,FALSE),"")</f>
        <v>2990</v>
      </c>
      <c r="M69" s="8">
        <f>IFERROR(VLOOKUP(B69,Petróleo!X:Y,2,FALSE),"")</f>
        <v>25540</v>
      </c>
      <c r="N69" s="8">
        <f>IFERROR(VLOOKUP(B69,Petróleo!Z:AA,2,FALSE),"")</f>
        <v>8170</v>
      </c>
      <c r="O69" s="8">
        <f>IFERROR(VLOOKUP(B69,Petróleo!AB:AC,2,FALSE),"")</f>
        <v>2200</v>
      </c>
      <c r="P69" s="8">
        <f>IFERROR(VLOOKUP(B69,Petróleo!AD:AE,2,FALSE),"")</f>
        <v>3600</v>
      </c>
      <c r="Q69" s="8">
        <f>IFERROR(VLOOKUP(B69,Petróleo!AF:AG,2,FALSE),"")</f>
        <v>600</v>
      </c>
      <c r="R69" s="8">
        <f>IFERROR(VLOOKUP(B69,Petróleo!AH:AI,2,FALSE),"")</f>
        <v>1400</v>
      </c>
      <c r="S69" s="8">
        <f>IFERROR(VLOOKUP(B69,Petróleo!AJ:AK,2,FALSE),"")</f>
        <v>1930</v>
      </c>
      <c r="T69" s="8">
        <f>IFERROR(VLOOKUP(B69,Petróleo!AL:AM,2,FALSE),"")</f>
        <v>2670</v>
      </c>
      <c r="U69" s="8">
        <f>IFERROR(VLOOKUP(B69,Petróleo!AN:AO,2,FALSE),"")</f>
        <v>2060</v>
      </c>
      <c r="V69" s="10" t="str">
        <f>IFERROR(VLOOKUP(A69,Petróleo!AR:AT,3,FALSE),"")</f>
        <v/>
      </c>
    </row>
    <row r="70" spans="1:22" x14ac:dyDescent="0.25">
      <c r="A70" s="9" t="str">
        <f t="shared" si="1"/>
        <v>91995</v>
      </c>
      <c r="B70" s="9">
        <v>34972</v>
      </c>
      <c r="C70" s="1">
        <f>IFERROR(VLOOKUP(B70,Petróleo!A:B,2,FALSE),"")</f>
        <v>6416</v>
      </c>
      <c r="D70" s="1">
        <f>IFERROR(VLOOKUP(B70,Estoque_US!D:E,2,FALSE),"")</f>
        <v>-3422</v>
      </c>
      <c r="E70" s="1">
        <f>IFERROR(VLOOKUP(B70,Petróleo!F:G,2,FALSE),"")</f>
        <v>8315</v>
      </c>
      <c r="F70" s="1">
        <f>IFERROR(VLOOKUP(B70,Petróleo!H:I,2,FALSE),"")</f>
        <v>3635</v>
      </c>
      <c r="G70" s="1">
        <f>IFERROR(VLOOKUP(B70,Petróleo!J:K,2,FALSE),"")</f>
        <v>560</v>
      </c>
      <c r="H70" s="1">
        <f>IFERROR(VLOOKUP(B70,Petróleo!L:M,2,FALSE),"")</f>
        <v>1390</v>
      </c>
      <c r="I70" s="1">
        <f>IFERROR(VLOOKUP(B70,Petróleo!N:O,2,FALSE),"")</f>
        <v>2005</v>
      </c>
      <c r="J70" s="1">
        <f>IFERROR(VLOOKUP(B70,Petróleo!P:Q,2,FALSE),"")</f>
        <v>6017</v>
      </c>
      <c r="K70" s="1">
        <f>IFERROR(VLOOKUP(B70,Petróleo!R:S,2,FALSE),"")</f>
        <v>2790</v>
      </c>
      <c r="L70" s="1">
        <f>IFERROR(VLOOKUP(B70,Petróleo!T:U,2,FALSE),"")</f>
        <v>3044</v>
      </c>
      <c r="M70" s="8">
        <f>IFERROR(VLOOKUP(B70,Petróleo!X:Y,2,FALSE),"")</f>
        <v>25570</v>
      </c>
      <c r="N70" s="8">
        <f>IFERROR(VLOOKUP(B70,Petróleo!Z:AA,2,FALSE),"")</f>
        <v>8210</v>
      </c>
      <c r="O70" s="8">
        <f>IFERROR(VLOOKUP(B70,Petróleo!AB:AC,2,FALSE),"")</f>
        <v>2180</v>
      </c>
      <c r="P70" s="8">
        <f>IFERROR(VLOOKUP(B70,Petróleo!AD:AE,2,FALSE),"")</f>
        <v>3630</v>
      </c>
      <c r="Q70" s="8">
        <f>IFERROR(VLOOKUP(B70,Petróleo!AF:AG,2,FALSE),"")</f>
        <v>600</v>
      </c>
      <c r="R70" s="8">
        <f>IFERROR(VLOOKUP(B70,Petróleo!AH:AI,2,FALSE),"")</f>
        <v>1390</v>
      </c>
      <c r="S70" s="8">
        <f>IFERROR(VLOOKUP(B70,Petróleo!AJ:AK,2,FALSE),"")</f>
        <v>1930</v>
      </c>
      <c r="T70" s="8">
        <f>IFERROR(VLOOKUP(B70,Petróleo!AL:AM,2,FALSE),"")</f>
        <v>2690</v>
      </c>
      <c r="U70" s="8">
        <f>IFERROR(VLOOKUP(B70,Petróleo!AN:AO,2,FALSE),"")</f>
        <v>2040</v>
      </c>
      <c r="V70" s="10" t="str">
        <f>IFERROR(VLOOKUP(A70,Petróleo!AR:AT,3,FALSE),"")</f>
        <v/>
      </c>
    </row>
    <row r="71" spans="1:22" x14ac:dyDescent="0.25">
      <c r="A71" s="9" t="str">
        <f t="shared" si="1"/>
        <v>101995</v>
      </c>
      <c r="B71" s="9">
        <v>35003</v>
      </c>
      <c r="C71" s="1">
        <f>IFERROR(VLOOKUP(B71,Petróleo!A:B,2,FALSE),"")</f>
        <v>6421</v>
      </c>
      <c r="D71" s="1">
        <f>IFERROR(VLOOKUP(B71,Estoque_US!D:E,2,FALSE),"")</f>
        <v>-303</v>
      </c>
      <c r="E71" s="1">
        <f>IFERROR(VLOOKUP(B71,Petróleo!F:G,2,FALSE),"")</f>
        <v>8315</v>
      </c>
      <c r="F71" s="1">
        <f>IFERROR(VLOOKUP(B71,Petróleo!H:I,2,FALSE),"")</f>
        <v>3735</v>
      </c>
      <c r="G71" s="1">
        <f>IFERROR(VLOOKUP(B71,Petróleo!J:K,2,FALSE),"")</f>
        <v>560</v>
      </c>
      <c r="H71" s="1">
        <f>IFERROR(VLOOKUP(B71,Petróleo!L:M,2,FALSE),"")</f>
        <v>1390</v>
      </c>
      <c r="I71" s="1">
        <f>IFERROR(VLOOKUP(B71,Petróleo!N:O,2,FALSE),"")</f>
        <v>2025</v>
      </c>
      <c r="J71" s="1">
        <f>IFERROR(VLOOKUP(B71,Petróleo!P:Q,2,FALSE),"")</f>
        <v>6027</v>
      </c>
      <c r="K71" s="1">
        <f>IFERROR(VLOOKUP(B71,Petróleo!R:S,2,FALSE),"")</f>
        <v>2840</v>
      </c>
      <c r="L71" s="1">
        <f>IFERROR(VLOOKUP(B71,Petróleo!T:U,2,FALSE),"")</f>
        <v>3044</v>
      </c>
      <c r="M71" s="8">
        <f>IFERROR(VLOOKUP(B71,Petróleo!X:Y,2,FALSE),"")</f>
        <v>25550</v>
      </c>
      <c r="N71" s="8">
        <f>IFERROR(VLOOKUP(B71,Petróleo!Z:AA,2,FALSE),"")</f>
        <v>8180</v>
      </c>
      <c r="O71" s="8">
        <f>IFERROR(VLOOKUP(B71,Petróleo!AB:AC,2,FALSE),"")</f>
        <v>2150</v>
      </c>
      <c r="P71" s="8">
        <f>IFERROR(VLOOKUP(B71,Petróleo!AD:AE,2,FALSE),"")</f>
        <v>3670</v>
      </c>
      <c r="Q71" s="8">
        <f>IFERROR(VLOOKUP(B71,Petróleo!AF:AG,2,FALSE),"")</f>
        <v>600</v>
      </c>
      <c r="R71" s="8">
        <f>IFERROR(VLOOKUP(B71,Petróleo!AH:AI,2,FALSE),"")</f>
        <v>1390</v>
      </c>
      <c r="S71" s="8">
        <f>IFERROR(VLOOKUP(B71,Petróleo!AJ:AK,2,FALSE),"")</f>
        <v>1920</v>
      </c>
      <c r="T71" s="8">
        <f>IFERROR(VLOOKUP(B71,Petróleo!AL:AM,2,FALSE),"")</f>
        <v>2690</v>
      </c>
      <c r="U71" s="8">
        <f>IFERROR(VLOOKUP(B71,Petróleo!AN:AO,2,FALSE),"")</f>
        <v>2030</v>
      </c>
      <c r="V71" s="10" t="str">
        <f>IFERROR(VLOOKUP(A71,Petróleo!AR:AT,3,FALSE),"")</f>
        <v/>
      </c>
    </row>
    <row r="72" spans="1:22" x14ac:dyDescent="0.25">
      <c r="A72" s="9" t="str">
        <f t="shared" si="1"/>
        <v>111995</v>
      </c>
      <c r="B72" s="9">
        <v>35033</v>
      </c>
      <c r="C72" s="1">
        <f>IFERROR(VLOOKUP(B72,Petróleo!A:B,2,FALSE),"")</f>
        <v>6585</v>
      </c>
      <c r="D72" s="1">
        <f>IFERROR(VLOOKUP(B72,Estoque_US!D:E,2,FALSE),"")</f>
        <v>17254</v>
      </c>
      <c r="E72" s="1">
        <f>IFERROR(VLOOKUP(B72,Petróleo!F:G,2,FALSE),"")</f>
        <v>8020</v>
      </c>
      <c r="F72" s="1">
        <f>IFERROR(VLOOKUP(B72,Petróleo!H:I,2,FALSE),"")</f>
        <v>3635</v>
      </c>
      <c r="G72" s="1">
        <f>IFERROR(VLOOKUP(B72,Petróleo!J:K,2,FALSE),"")</f>
        <v>560</v>
      </c>
      <c r="H72" s="1">
        <f>IFERROR(VLOOKUP(B72,Petróleo!L:M,2,FALSE),"")</f>
        <v>1390</v>
      </c>
      <c r="I72" s="1">
        <f>IFERROR(VLOOKUP(B72,Petróleo!N:O,2,FALSE),"")</f>
        <v>2075</v>
      </c>
      <c r="J72" s="1">
        <f>IFERROR(VLOOKUP(B72,Petróleo!P:Q,2,FALSE),"")</f>
        <v>5885</v>
      </c>
      <c r="K72" s="1">
        <f>IFERROR(VLOOKUP(B72,Petróleo!R:S,2,FALSE),"")</f>
        <v>2840</v>
      </c>
      <c r="L72" s="1">
        <f>IFERROR(VLOOKUP(B72,Petróleo!T:U,2,FALSE),"")</f>
        <v>3044</v>
      </c>
      <c r="M72" s="8">
        <f>IFERROR(VLOOKUP(B72,Petróleo!X:Y,2,FALSE),"")</f>
        <v>25580</v>
      </c>
      <c r="N72" s="8">
        <f>IFERROR(VLOOKUP(B72,Petróleo!Z:AA,2,FALSE),"")</f>
        <v>8170</v>
      </c>
      <c r="O72" s="8">
        <f>IFERROR(VLOOKUP(B72,Petróleo!AB:AC,2,FALSE),"")</f>
        <v>2150</v>
      </c>
      <c r="P72" s="8">
        <f>IFERROR(VLOOKUP(B72,Petróleo!AD:AE,2,FALSE),"")</f>
        <v>3650</v>
      </c>
      <c r="Q72" s="8">
        <f>IFERROR(VLOOKUP(B72,Petróleo!AF:AG,2,FALSE),"")</f>
        <v>600</v>
      </c>
      <c r="R72" s="8">
        <f>IFERROR(VLOOKUP(B72,Petróleo!AH:AI,2,FALSE),"")</f>
        <v>1400</v>
      </c>
      <c r="S72" s="8">
        <f>IFERROR(VLOOKUP(B72,Petróleo!AJ:AK,2,FALSE),"")</f>
        <v>1940</v>
      </c>
      <c r="T72" s="8">
        <f>IFERROR(VLOOKUP(B72,Petróleo!AL:AM,2,FALSE),"")</f>
        <v>2700</v>
      </c>
      <c r="U72" s="8">
        <f>IFERROR(VLOOKUP(B72,Petróleo!AN:AO,2,FALSE),"")</f>
        <v>2040</v>
      </c>
      <c r="V72" s="10" t="str">
        <f>IFERROR(VLOOKUP(A72,Petróleo!AR:AT,3,FALSE),"")</f>
        <v/>
      </c>
    </row>
    <row r="73" spans="1:22" x14ac:dyDescent="0.25">
      <c r="A73" s="9" t="str">
        <f t="shared" si="1"/>
        <v>121995</v>
      </c>
      <c r="B73" s="9">
        <v>35064</v>
      </c>
      <c r="C73" s="1">
        <f>IFERROR(VLOOKUP(B73,Petróleo!A:B,2,FALSE),"")</f>
        <v>6530</v>
      </c>
      <c r="D73" s="1">
        <f>IFERROR(VLOOKUP(B73,Estoque_US!D:E,2,FALSE),"")</f>
        <v>-17559</v>
      </c>
      <c r="E73" s="1">
        <f>IFERROR(VLOOKUP(B73,Petróleo!F:G,2,FALSE),"")</f>
        <v>8110</v>
      </c>
      <c r="F73" s="1">
        <f>IFERROR(VLOOKUP(B73,Petróleo!H:I,2,FALSE),"")</f>
        <v>3685</v>
      </c>
      <c r="G73" s="1">
        <f>IFERROR(VLOOKUP(B73,Petróleo!J:K,2,FALSE),"")</f>
        <v>560</v>
      </c>
      <c r="H73" s="1">
        <f>IFERROR(VLOOKUP(B73,Petróleo!L:M,2,FALSE),"")</f>
        <v>1390</v>
      </c>
      <c r="I73" s="1">
        <f>IFERROR(VLOOKUP(B73,Petróleo!N:O,2,FALSE),"")</f>
        <v>2110</v>
      </c>
      <c r="J73" s="1">
        <f>IFERROR(VLOOKUP(B73,Petróleo!P:Q,2,FALSE),"")</f>
        <v>5908</v>
      </c>
      <c r="K73" s="1">
        <f>IFERROR(VLOOKUP(B73,Petróleo!R:S,2,FALSE),"")</f>
        <v>2890</v>
      </c>
      <c r="L73" s="1">
        <f>IFERROR(VLOOKUP(B73,Petróleo!T:U,2,FALSE),"")</f>
        <v>3044</v>
      </c>
      <c r="M73" s="8">
        <f>IFERROR(VLOOKUP(B73,Petróleo!X:Y,2,FALSE),"")</f>
        <v>25720</v>
      </c>
      <c r="N73" s="8">
        <f>IFERROR(VLOOKUP(B73,Petróleo!Z:AA,2,FALSE),"")</f>
        <v>8140</v>
      </c>
      <c r="O73" s="8">
        <f>IFERROR(VLOOKUP(B73,Petróleo!AB:AC,2,FALSE),"")</f>
        <v>2170</v>
      </c>
      <c r="P73" s="8">
        <f>IFERROR(VLOOKUP(B73,Petróleo!AD:AE,2,FALSE),"")</f>
        <v>3710</v>
      </c>
      <c r="Q73" s="8">
        <f>IFERROR(VLOOKUP(B73,Petróleo!AF:AG,2,FALSE),"")</f>
        <v>600</v>
      </c>
      <c r="R73" s="8">
        <f>IFERROR(VLOOKUP(B73,Petróleo!AH:AI,2,FALSE),"")</f>
        <v>1400</v>
      </c>
      <c r="S73" s="8">
        <f>IFERROR(VLOOKUP(B73,Petróleo!AJ:AK,2,FALSE),"")</f>
        <v>1970</v>
      </c>
      <c r="T73" s="8">
        <f>IFERROR(VLOOKUP(B73,Petróleo!AL:AM,2,FALSE),"")</f>
        <v>2720</v>
      </c>
      <c r="U73" s="8">
        <f>IFERROR(VLOOKUP(B73,Petróleo!AN:AO,2,FALSE),"")</f>
        <v>2060</v>
      </c>
      <c r="V73" s="10" t="str">
        <f>IFERROR(VLOOKUP(A73,Petróleo!AR:AT,3,FALSE),"")</f>
        <v/>
      </c>
    </row>
    <row r="74" spans="1:22" x14ac:dyDescent="0.25">
      <c r="A74" s="9" t="str">
        <f t="shared" si="1"/>
        <v>11996</v>
      </c>
      <c r="B74" s="9">
        <v>35095</v>
      </c>
      <c r="C74" s="1">
        <f>IFERROR(VLOOKUP(B74,Petróleo!A:B,2,FALSE),"")</f>
        <v>6495</v>
      </c>
      <c r="D74" s="1">
        <f>IFERROR(VLOOKUP(B74,Estoque_US!D:E,2,FALSE),"")</f>
        <v>6114</v>
      </c>
      <c r="E74" s="1">
        <f>IFERROR(VLOOKUP(B74,Petróleo!F:G,2,FALSE),"")</f>
        <v>8118</v>
      </c>
      <c r="F74" s="1">
        <f>IFERROR(VLOOKUP(B74,Petróleo!H:I,2,FALSE),"")</f>
        <v>3735</v>
      </c>
      <c r="G74" s="1">
        <f>IFERROR(VLOOKUP(B74,Petróleo!J:K,2,FALSE),"")</f>
        <v>550</v>
      </c>
      <c r="H74" s="1">
        <f>IFERROR(VLOOKUP(B74,Petróleo!L:M,2,FALSE),"")</f>
        <v>1400</v>
      </c>
      <c r="I74" s="1">
        <f>IFERROR(VLOOKUP(B74,Petróleo!N:O,2,FALSE),"")</f>
        <v>1974</v>
      </c>
      <c r="J74" s="1">
        <f>IFERROR(VLOOKUP(B74,Petróleo!P:Q,2,FALSE),"")</f>
        <v>5839</v>
      </c>
      <c r="K74" s="1">
        <f>IFERROR(VLOOKUP(B74,Petróleo!R:S,2,FALSE),"")</f>
        <v>2829</v>
      </c>
      <c r="L74" s="1">
        <f>IFERROR(VLOOKUP(B74,Petróleo!T:U,2,FALSE),"")</f>
        <v>3115</v>
      </c>
      <c r="M74" s="8">
        <f>IFERROR(VLOOKUP(B74,Petróleo!X:Y,2,FALSE),"")</f>
        <v>25480</v>
      </c>
      <c r="N74" s="8">
        <f>IFERROR(VLOOKUP(B74,Petróleo!Z:AA,2,FALSE),"")</f>
        <v>8120</v>
      </c>
      <c r="O74" s="8">
        <f>IFERROR(VLOOKUP(B74,Petróleo!AB:AC,2,FALSE),"")</f>
        <v>2180</v>
      </c>
      <c r="P74" s="8">
        <f>IFERROR(VLOOKUP(B74,Petróleo!AD:AE,2,FALSE),"")</f>
        <v>3750</v>
      </c>
      <c r="Q74" s="8">
        <f>IFERROR(VLOOKUP(B74,Petróleo!AF:AG,2,FALSE),"")</f>
        <v>620</v>
      </c>
      <c r="R74" s="8">
        <f>IFERROR(VLOOKUP(B74,Petróleo!AH:AI,2,FALSE),"")</f>
        <v>1390</v>
      </c>
      <c r="S74" s="8">
        <f>IFERROR(VLOOKUP(B74,Petróleo!AJ:AK,2,FALSE),"")</f>
        <v>1980</v>
      </c>
      <c r="T74" s="8">
        <f>IFERROR(VLOOKUP(B74,Petróleo!AL:AM,2,FALSE),"")</f>
        <v>2770</v>
      </c>
      <c r="U74" s="8">
        <f>IFERROR(VLOOKUP(B74,Petróleo!AN:AO,2,FALSE),"")</f>
        <v>2050</v>
      </c>
      <c r="V74" s="10" t="str">
        <f>IFERROR(VLOOKUP(A74,Petróleo!AR:AT,3,FALSE),"")</f>
        <v/>
      </c>
    </row>
    <row r="75" spans="1:22" x14ac:dyDescent="0.25">
      <c r="A75" s="9" t="str">
        <f t="shared" si="1"/>
        <v>21996</v>
      </c>
      <c r="B75" s="9">
        <v>35124</v>
      </c>
      <c r="C75" s="1">
        <f>IFERROR(VLOOKUP(B75,Petróleo!A:B,2,FALSE),"")</f>
        <v>6577</v>
      </c>
      <c r="D75" s="1">
        <f>IFERROR(VLOOKUP(B75,Estoque_US!D:E,2,FALSE),"")</f>
        <v>-7162</v>
      </c>
      <c r="E75" s="1">
        <f>IFERROR(VLOOKUP(B75,Petróleo!F:G,2,FALSE),"")</f>
        <v>8248</v>
      </c>
      <c r="F75" s="1">
        <f>IFERROR(VLOOKUP(B75,Petróleo!H:I,2,FALSE),"")</f>
        <v>3685</v>
      </c>
      <c r="G75" s="1">
        <f>IFERROR(VLOOKUP(B75,Petróleo!J:K,2,FALSE),"")</f>
        <v>550</v>
      </c>
      <c r="H75" s="1">
        <f>IFERROR(VLOOKUP(B75,Petróleo!L:M,2,FALSE),"")</f>
        <v>1400</v>
      </c>
      <c r="I75" s="1">
        <f>IFERROR(VLOOKUP(B75,Petróleo!N:O,2,FALSE),"")</f>
        <v>1992</v>
      </c>
      <c r="J75" s="1">
        <f>IFERROR(VLOOKUP(B75,Petróleo!P:Q,2,FALSE),"")</f>
        <v>5944</v>
      </c>
      <c r="K75" s="1">
        <f>IFERROR(VLOOKUP(B75,Petróleo!R:S,2,FALSE),"")</f>
        <v>2829</v>
      </c>
      <c r="L75" s="1">
        <f>IFERROR(VLOOKUP(B75,Petróleo!T:U,2,FALSE),"")</f>
        <v>3100</v>
      </c>
      <c r="M75" s="8">
        <f>IFERROR(VLOOKUP(B75,Petróleo!X:Y,2,FALSE),"")</f>
        <v>25520</v>
      </c>
      <c r="N75" s="8">
        <f>IFERROR(VLOOKUP(B75,Petróleo!Z:AA,2,FALSE),"")</f>
        <v>8100</v>
      </c>
      <c r="O75" s="8">
        <f>IFERROR(VLOOKUP(B75,Petróleo!AB:AC,2,FALSE),"")</f>
        <v>2190</v>
      </c>
      <c r="P75" s="8">
        <f>IFERROR(VLOOKUP(B75,Petróleo!AD:AE,2,FALSE),"")</f>
        <v>3710</v>
      </c>
      <c r="Q75" s="8">
        <f>IFERROR(VLOOKUP(B75,Petróleo!AF:AG,2,FALSE),"")</f>
        <v>620</v>
      </c>
      <c r="R75" s="8">
        <f>IFERROR(VLOOKUP(B75,Petróleo!AH:AI,2,FALSE),"")</f>
        <v>1380</v>
      </c>
      <c r="S75" s="8">
        <f>IFERROR(VLOOKUP(B75,Petróleo!AJ:AK,2,FALSE),"")</f>
        <v>1970</v>
      </c>
      <c r="T75" s="8">
        <f>IFERROR(VLOOKUP(B75,Petróleo!AL:AM,2,FALSE),"")</f>
        <v>2820</v>
      </c>
      <c r="U75" s="8">
        <f>IFERROR(VLOOKUP(B75,Petróleo!AN:AO,2,FALSE),"")</f>
        <v>2060</v>
      </c>
      <c r="V75" s="10" t="str">
        <f>IFERROR(VLOOKUP(A75,Petróleo!AR:AT,3,FALSE),"")</f>
        <v/>
      </c>
    </row>
    <row r="76" spans="1:22" x14ac:dyDescent="0.25">
      <c r="A76" s="9" t="str">
        <f t="shared" si="1"/>
        <v>31996</v>
      </c>
      <c r="B76" s="9">
        <v>35155</v>
      </c>
      <c r="C76" s="1">
        <f>IFERROR(VLOOKUP(B76,Petróleo!A:B,2,FALSE),"")</f>
        <v>6571</v>
      </c>
      <c r="D76" s="1">
        <f>IFERROR(VLOOKUP(B76,Estoque_US!D:E,2,FALSE),"")</f>
        <v>-3400</v>
      </c>
      <c r="E76" s="1">
        <f>IFERROR(VLOOKUP(B76,Petróleo!F:G,2,FALSE),"")</f>
        <v>8248</v>
      </c>
      <c r="F76" s="1">
        <f>IFERROR(VLOOKUP(B76,Petróleo!H:I,2,FALSE),"")</f>
        <v>3715</v>
      </c>
      <c r="G76" s="1">
        <f>IFERROR(VLOOKUP(B76,Petróleo!J:K,2,FALSE),"")</f>
        <v>550</v>
      </c>
      <c r="H76" s="1">
        <f>IFERROR(VLOOKUP(B76,Petróleo!L:M,2,FALSE),"")</f>
        <v>1400</v>
      </c>
      <c r="I76" s="1">
        <f>IFERROR(VLOOKUP(B76,Petróleo!N:O,2,FALSE),"")</f>
        <v>2001</v>
      </c>
      <c r="J76" s="1">
        <f>IFERROR(VLOOKUP(B76,Petróleo!P:Q,2,FALSE),"")</f>
        <v>5830</v>
      </c>
      <c r="K76" s="1">
        <f>IFERROR(VLOOKUP(B76,Petróleo!R:S,2,FALSE),"")</f>
        <v>2877</v>
      </c>
      <c r="L76" s="1">
        <f>IFERROR(VLOOKUP(B76,Petróleo!T:U,2,FALSE),"")</f>
        <v>3050</v>
      </c>
      <c r="M76" s="8">
        <f>IFERROR(VLOOKUP(B76,Petróleo!X:Y,2,FALSE),"")</f>
        <v>25620</v>
      </c>
      <c r="N76" s="8">
        <f>IFERROR(VLOOKUP(B76,Petróleo!Z:AA,2,FALSE),"")</f>
        <v>8200</v>
      </c>
      <c r="O76" s="8">
        <f>IFERROR(VLOOKUP(B76,Petróleo!AB:AC,2,FALSE),"")</f>
        <v>2170</v>
      </c>
      <c r="P76" s="8">
        <f>IFERROR(VLOOKUP(B76,Petróleo!AD:AE,2,FALSE),"")</f>
        <v>3700</v>
      </c>
      <c r="Q76" s="8">
        <f>IFERROR(VLOOKUP(B76,Petróleo!AF:AG,2,FALSE),"")</f>
        <v>620</v>
      </c>
      <c r="R76" s="8">
        <f>IFERROR(VLOOKUP(B76,Petróleo!AH:AI,2,FALSE),"")</f>
        <v>1380</v>
      </c>
      <c r="S76" s="8">
        <f>IFERROR(VLOOKUP(B76,Petróleo!AJ:AK,2,FALSE),"")</f>
        <v>2020</v>
      </c>
      <c r="T76" s="8">
        <f>IFERROR(VLOOKUP(B76,Petróleo!AL:AM,2,FALSE),"")</f>
        <v>2830</v>
      </c>
      <c r="U76" s="8">
        <f>IFERROR(VLOOKUP(B76,Petróleo!AN:AO,2,FALSE),"")</f>
        <v>2060</v>
      </c>
      <c r="V76" s="10" t="str">
        <f>IFERROR(VLOOKUP(A76,Petróleo!AR:AT,3,FALSE),"")</f>
        <v/>
      </c>
    </row>
    <row r="77" spans="1:22" x14ac:dyDescent="0.25">
      <c r="A77" s="9" t="str">
        <f t="shared" si="1"/>
        <v>41996</v>
      </c>
      <c r="B77" s="9">
        <v>35185</v>
      </c>
      <c r="C77" s="1">
        <f>IFERROR(VLOOKUP(B77,Petróleo!A:B,2,FALSE),"")</f>
        <v>6444</v>
      </c>
      <c r="D77" s="1">
        <f>IFERROR(VLOOKUP(B77,Estoque_US!D:E,2,FALSE),"")</f>
        <v>-779</v>
      </c>
      <c r="E77" s="1">
        <f>IFERROR(VLOOKUP(B77,Petróleo!F:G,2,FALSE),"")</f>
        <v>8088</v>
      </c>
      <c r="F77" s="1">
        <f>IFERROR(VLOOKUP(B77,Petróleo!H:I,2,FALSE),"")</f>
        <v>3685</v>
      </c>
      <c r="G77" s="1">
        <f>IFERROR(VLOOKUP(B77,Petróleo!J:K,2,FALSE),"")</f>
        <v>550</v>
      </c>
      <c r="H77" s="1">
        <f>IFERROR(VLOOKUP(B77,Petróleo!L:M,2,FALSE),"")</f>
        <v>1400</v>
      </c>
      <c r="I77" s="1">
        <f>IFERROR(VLOOKUP(B77,Petróleo!N:O,2,FALSE),"")</f>
        <v>1974</v>
      </c>
      <c r="J77" s="1">
        <f>IFERROR(VLOOKUP(B77,Petróleo!P:Q,2,FALSE),"")</f>
        <v>5839</v>
      </c>
      <c r="K77" s="1">
        <f>IFERROR(VLOOKUP(B77,Petróleo!R:S,2,FALSE),"")</f>
        <v>2877</v>
      </c>
      <c r="L77" s="1">
        <f>IFERROR(VLOOKUP(B77,Petróleo!T:U,2,FALSE),"")</f>
        <v>3020</v>
      </c>
      <c r="M77" s="8">
        <f>IFERROR(VLOOKUP(B77,Petróleo!X:Y,2,FALSE),"")</f>
        <v>25690</v>
      </c>
      <c r="N77" s="8">
        <f>IFERROR(VLOOKUP(B77,Petróleo!Z:AA,2,FALSE),"")</f>
        <v>8120</v>
      </c>
      <c r="O77" s="8">
        <f>IFERROR(VLOOKUP(B77,Petróleo!AB:AC,2,FALSE),"")</f>
        <v>2170</v>
      </c>
      <c r="P77" s="8">
        <f>IFERROR(VLOOKUP(B77,Petróleo!AD:AE,2,FALSE),"")</f>
        <v>3710</v>
      </c>
      <c r="Q77" s="8">
        <f>IFERROR(VLOOKUP(B77,Petróleo!AF:AG,2,FALSE),"")</f>
        <v>620</v>
      </c>
      <c r="R77" s="8">
        <f>IFERROR(VLOOKUP(B77,Petróleo!AH:AI,2,FALSE),"")</f>
        <v>1380</v>
      </c>
      <c r="S77" s="8">
        <f>IFERROR(VLOOKUP(B77,Petróleo!AJ:AK,2,FALSE),"")</f>
        <v>2060</v>
      </c>
      <c r="T77" s="8">
        <f>IFERROR(VLOOKUP(B77,Petróleo!AL:AM,2,FALSE),"")</f>
        <v>2890</v>
      </c>
      <c r="U77" s="8">
        <f>IFERROR(VLOOKUP(B77,Petróleo!AN:AO,2,FALSE),"")</f>
        <v>2050</v>
      </c>
      <c r="V77" s="10" t="str">
        <f>IFERROR(VLOOKUP(A77,Petróleo!AR:AT,3,FALSE),"")</f>
        <v/>
      </c>
    </row>
    <row r="78" spans="1:22" x14ac:dyDescent="0.25">
      <c r="A78" s="9" t="str">
        <f t="shared" si="1"/>
        <v>51996</v>
      </c>
      <c r="B78" s="9">
        <v>35216</v>
      </c>
      <c r="C78" s="1">
        <f>IFERROR(VLOOKUP(B78,Petróleo!A:B,2,FALSE),"")</f>
        <v>6394</v>
      </c>
      <c r="D78" s="1">
        <f>IFERROR(VLOOKUP(B78,Estoque_US!D:E,2,FALSE),"")</f>
        <v>14104</v>
      </c>
      <c r="E78" s="1">
        <f>IFERROR(VLOOKUP(B78,Petróleo!F:G,2,FALSE),"")</f>
        <v>8135</v>
      </c>
      <c r="F78" s="1">
        <f>IFERROR(VLOOKUP(B78,Petróleo!H:I,2,FALSE),"")</f>
        <v>3635</v>
      </c>
      <c r="G78" s="1">
        <f>IFERROR(VLOOKUP(B78,Petróleo!J:K,2,FALSE),"")</f>
        <v>550</v>
      </c>
      <c r="H78" s="1">
        <f>IFERROR(VLOOKUP(B78,Petróleo!L:M,2,FALSE),"")</f>
        <v>1400</v>
      </c>
      <c r="I78" s="1">
        <f>IFERROR(VLOOKUP(B78,Petróleo!N:O,2,FALSE),"")</f>
        <v>2011</v>
      </c>
      <c r="J78" s="1">
        <f>IFERROR(VLOOKUP(B78,Petróleo!P:Q,2,FALSE),"")</f>
        <v>5866</v>
      </c>
      <c r="K78" s="1">
        <f>IFERROR(VLOOKUP(B78,Petróleo!R:S,2,FALSE),"")</f>
        <v>2877</v>
      </c>
      <c r="L78" s="1">
        <f>IFERROR(VLOOKUP(B78,Petróleo!T:U,2,FALSE),"")</f>
        <v>3195</v>
      </c>
      <c r="M78" s="8">
        <f>IFERROR(VLOOKUP(B78,Petróleo!X:Y,2,FALSE),"")</f>
        <v>25660</v>
      </c>
      <c r="N78" s="8">
        <f>IFERROR(VLOOKUP(B78,Petróleo!Z:AA,2,FALSE),"")</f>
        <v>8090</v>
      </c>
      <c r="O78" s="8">
        <f>IFERROR(VLOOKUP(B78,Petróleo!AB:AC,2,FALSE),"")</f>
        <v>2190</v>
      </c>
      <c r="P78" s="8">
        <f>IFERROR(VLOOKUP(B78,Petróleo!AD:AE,2,FALSE),"")</f>
        <v>3670</v>
      </c>
      <c r="Q78" s="8">
        <f>IFERROR(VLOOKUP(B78,Petróleo!AF:AG,2,FALSE),"")</f>
        <v>620</v>
      </c>
      <c r="R78" s="8">
        <f>IFERROR(VLOOKUP(B78,Petróleo!AH:AI,2,FALSE),"")</f>
        <v>1390</v>
      </c>
      <c r="S78" s="8">
        <f>IFERROR(VLOOKUP(B78,Petróleo!AJ:AK,2,FALSE),"")</f>
        <v>2060</v>
      </c>
      <c r="T78" s="8">
        <f>IFERROR(VLOOKUP(B78,Petróleo!AL:AM,2,FALSE),"")</f>
        <v>2930</v>
      </c>
      <c r="U78" s="8">
        <f>IFERROR(VLOOKUP(B78,Petróleo!AN:AO,2,FALSE),"")</f>
        <v>2040</v>
      </c>
      <c r="V78" s="10" t="str">
        <f>IFERROR(VLOOKUP(A78,Petróleo!AR:AT,3,FALSE),"")</f>
        <v/>
      </c>
    </row>
    <row r="79" spans="1:22" x14ac:dyDescent="0.25">
      <c r="A79" s="9" t="str">
        <f t="shared" si="1"/>
        <v>61996</v>
      </c>
      <c r="B79" s="9">
        <v>35246</v>
      </c>
      <c r="C79" s="1">
        <f>IFERROR(VLOOKUP(B79,Petróleo!A:B,2,FALSE),"")</f>
        <v>6458</v>
      </c>
      <c r="D79" s="1">
        <f>IFERROR(VLOOKUP(B79,Estoque_US!D:E,2,FALSE),"")</f>
        <v>2668</v>
      </c>
      <c r="E79" s="1">
        <f>IFERROR(VLOOKUP(B79,Petróleo!F:G,2,FALSE),"")</f>
        <v>8195</v>
      </c>
      <c r="F79" s="1">
        <f>IFERROR(VLOOKUP(B79,Petróleo!H:I,2,FALSE),"")</f>
        <v>3685</v>
      </c>
      <c r="G79" s="1">
        <f>IFERROR(VLOOKUP(B79,Petróleo!J:K,2,FALSE),"")</f>
        <v>550</v>
      </c>
      <c r="H79" s="1">
        <f>IFERROR(VLOOKUP(B79,Petróleo!L:M,2,FALSE),"")</f>
        <v>1400</v>
      </c>
      <c r="I79" s="1">
        <f>IFERROR(VLOOKUP(B79,Petróleo!N:O,2,FALSE),"")</f>
        <v>2011</v>
      </c>
      <c r="J79" s="1">
        <f>IFERROR(VLOOKUP(B79,Petróleo!P:Q,2,FALSE),"")</f>
        <v>5839</v>
      </c>
      <c r="K79" s="1">
        <f>IFERROR(VLOOKUP(B79,Petróleo!R:S,2,FALSE),"")</f>
        <v>2877</v>
      </c>
      <c r="L79" s="1">
        <f>IFERROR(VLOOKUP(B79,Petróleo!T:U,2,FALSE),"")</f>
        <v>3205</v>
      </c>
      <c r="M79" s="8">
        <f>IFERROR(VLOOKUP(B79,Petróleo!X:Y,2,FALSE),"")</f>
        <v>25700</v>
      </c>
      <c r="N79" s="8">
        <f>IFERROR(VLOOKUP(B79,Petróleo!Z:AA,2,FALSE),"")</f>
        <v>8120</v>
      </c>
      <c r="O79" s="8">
        <f>IFERROR(VLOOKUP(B79,Petróleo!AB:AC,2,FALSE),"")</f>
        <v>2170</v>
      </c>
      <c r="P79" s="8">
        <f>IFERROR(VLOOKUP(B79,Petróleo!AD:AE,2,FALSE),"")</f>
        <v>3670</v>
      </c>
      <c r="Q79" s="8">
        <f>IFERROR(VLOOKUP(B79,Petróleo!AF:AG,2,FALSE),"")</f>
        <v>620</v>
      </c>
      <c r="R79" s="8">
        <f>IFERROR(VLOOKUP(B79,Petróleo!AH:AI,2,FALSE),"")</f>
        <v>1400</v>
      </c>
      <c r="S79" s="8">
        <f>IFERROR(VLOOKUP(B79,Petróleo!AJ:AK,2,FALSE),"")</f>
        <v>2060</v>
      </c>
      <c r="T79" s="8">
        <f>IFERROR(VLOOKUP(B79,Petróleo!AL:AM,2,FALSE),"")</f>
        <v>2950</v>
      </c>
      <c r="U79" s="8">
        <f>IFERROR(VLOOKUP(B79,Petróleo!AN:AO,2,FALSE),"")</f>
        <v>2020</v>
      </c>
      <c r="V79" s="10" t="str">
        <f>IFERROR(VLOOKUP(A79,Petróleo!AR:AT,3,FALSE),"")</f>
        <v/>
      </c>
    </row>
    <row r="80" spans="1:22" x14ac:dyDescent="0.25">
      <c r="A80" s="9" t="str">
        <f t="shared" si="1"/>
        <v>71996</v>
      </c>
      <c r="B80" s="9">
        <v>35277</v>
      </c>
      <c r="C80" s="1">
        <f>IFERROR(VLOOKUP(B80,Petróleo!A:B,2,FALSE),"")</f>
        <v>6338</v>
      </c>
      <c r="D80" s="1">
        <f>IFERROR(VLOOKUP(B80,Estoque_US!D:E,2,FALSE),"")</f>
        <v>-3393</v>
      </c>
      <c r="E80" s="1">
        <f>IFERROR(VLOOKUP(B80,Petróleo!F:G,2,FALSE),"")</f>
        <v>8295</v>
      </c>
      <c r="F80" s="1">
        <f>IFERROR(VLOOKUP(B80,Petróleo!H:I,2,FALSE),"")</f>
        <v>3685</v>
      </c>
      <c r="G80" s="1">
        <f>IFERROR(VLOOKUP(B80,Petróleo!J:K,2,FALSE),"")</f>
        <v>550</v>
      </c>
      <c r="H80" s="1">
        <f>IFERROR(VLOOKUP(B80,Petróleo!L:M,2,FALSE),"")</f>
        <v>1400</v>
      </c>
      <c r="I80" s="1">
        <f>IFERROR(VLOOKUP(B80,Petróleo!N:O,2,FALSE),"")</f>
        <v>1983</v>
      </c>
      <c r="J80" s="1">
        <f>IFERROR(VLOOKUP(B80,Petróleo!P:Q,2,FALSE),"")</f>
        <v>5813</v>
      </c>
      <c r="K80" s="1">
        <f>IFERROR(VLOOKUP(B80,Petróleo!R:S,2,FALSE),"")</f>
        <v>2926</v>
      </c>
      <c r="L80" s="1">
        <f>IFERROR(VLOOKUP(B80,Petróleo!T:U,2,FALSE),"")</f>
        <v>3150</v>
      </c>
      <c r="M80" s="8">
        <f>IFERROR(VLOOKUP(B80,Petróleo!X:Y,2,FALSE),"")</f>
        <v>25740</v>
      </c>
      <c r="N80" s="8">
        <f>IFERROR(VLOOKUP(B80,Petróleo!Z:AA,2,FALSE),"")</f>
        <v>8110</v>
      </c>
      <c r="O80" s="8">
        <f>IFERROR(VLOOKUP(B80,Petróleo!AB:AC,2,FALSE),"")</f>
        <v>2190</v>
      </c>
      <c r="P80" s="8">
        <f>IFERROR(VLOOKUP(B80,Petróleo!AD:AE,2,FALSE),"")</f>
        <v>3660</v>
      </c>
      <c r="Q80" s="8">
        <f>IFERROR(VLOOKUP(B80,Petróleo!AF:AG,2,FALSE),"")</f>
        <v>620</v>
      </c>
      <c r="R80" s="8">
        <f>IFERROR(VLOOKUP(B80,Petróleo!AH:AI,2,FALSE),"")</f>
        <v>1400</v>
      </c>
      <c r="S80" s="8">
        <f>IFERROR(VLOOKUP(B80,Petróleo!AJ:AK,2,FALSE),"")</f>
        <v>2020</v>
      </c>
      <c r="T80" s="8">
        <f>IFERROR(VLOOKUP(B80,Petróleo!AL:AM,2,FALSE),"")</f>
        <v>3000</v>
      </c>
      <c r="U80" s="8">
        <f>IFERROR(VLOOKUP(B80,Petróleo!AN:AO,2,FALSE),"")</f>
        <v>2040</v>
      </c>
      <c r="V80" s="10" t="str">
        <f>IFERROR(VLOOKUP(A80,Petróleo!AR:AT,3,FALSE),"")</f>
        <v/>
      </c>
    </row>
    <row r="81" spans="1:22" x14ac:dyDescent="0.25">
      <c r="A81" s="9" t="str">
        <f t="shared" si="1"/>
        <v>81996</v>
      </c>
      <c r="B81" s="9">
        <v>35308</v>
      </c>
      <c r="C81" s="1">
        <f>IFERROR(VLOOKUP(B81,Petróleo!A:B,2,FALSE),"")</f>
        <v>6360</v>
      </c>
      <c r="D81" s="1">
        <f>IFERROR(VLOOKUP(B81,Estoque_US!D:E,2,FALSE),"")</f>
        <v>2594</v>
      </c>
      <c r="E81" s="1">
        <f>IFERROR(VLOOKUP(B81,Petróleo!F:G,2,FALSE),"")</f>
        <v>8220</v>
      </c>
      <c r="F81" s="1">
        <f>IFERROR(VLOOKUP(B81,Petróleo!H:I,2,FALSE),"")</f>
        <v>3715</v>
      </c>
      <c r="G81" s="1">
        <f>IFERROR(VLOOKUP(B81,Petróleo!J:K,2,FALSE),"")</f>
        <v>550</v>
      </c>
      <c r="H81" s="1">
        <f>IFERROR(VLOOKUP(B81,Petróleo!L:M,2,FALSE),"")</f>
        <v>1400</v>
      </c>
      <c r="I81" s="1">
        <f>IFERROR(VLOOKUP(B81,Petróleo!N:O,2,FALSE),"")</f>
        <v>2001</v>
      </c>
      <c r="J81" s="1">
        <f>IFERROR(VLOOKUP(B81,Petróleo!P:Q,2,FALSE),"")</f>
        <v>5857</v>
      </c>
      <c r="K81" s="1">
        <f>IFERROR(VLOOKUP(B81,Petróleo!R:S,2,FALSE),"")</f>
        <v>2974</v>
      </c>
      <c r="L81" s="1">
        <f>IFERROR(VLOOKUP(B81,Petróleo!T:U,2,FALSE),"")</f>
        <v>3130</v>
      </c>
      <c r="M81" s="8">
        <f>IFERROR(VLOOKUP(B81,Petróleo!X:Y,2,FALSE),"")</f>
        <v>25800</v>
      </c>
      <c r="N81" s="8">
        <f>IFERROR(VLOOKUP(B81,Petróleo!Z:AA,2,FALSE),"")</f>
        <v>8100</v>
      </c>
      <c r="O81" s="8">
        <f>IFERROR(VLOOKUP(B81,Petróleo!AB:AC,2,FALSE),"")</f>
        <v>2190</v>
      </c>
      <c r="P81" s="8">
        <f>IFERROR(VLOOKUP(B81,Petróleo!AD:AE,2,FALSE),"")</f>
        <v>3670</v>
      </c>
      <c r="Q81" s="8">
        <f>IFERROR(VLOOKUP(B81,Petróleo!AF:AG,2,FALSE),"")</f>
        <v>620</v>
      </c>
      <c r="R81" s="8">
        <f>IFERROR(VLOOKUP(B81,Petróleo!AH:AI,2,FALSE),"")</f>
        <v>1400</v>
      </c>
      <c r="S81" s="8">
        <f>IFERROR(VLOOKUP(B81,Petróleo!AJ:AK,2,FALSE),"")</f>
        <v>2040</v>
      </c>
      <c r="T81" s="8">
        <f>IFERROR(VLOOKUP(B81,Petróleo!AL:AM,2,FALSE),"")</f>
        <v>3030</v>
      </c>
      <c r="U81" s="8">
        <f>IFERROR(VLOOKUP(B81,Petróleo!AN:AO,2,FALSE),"")</f>
        <v>2040</v>
      </c>
      <c r="V81" s="10" t="str">
        <f>IFERROR(VLOOKUP(A81,Petróleo!AR:AT,3,FALSE),"")</f>
        <v/>
      </c>
    </row>
    <row r="82" spans="1:22" x14ac:dyDescent="0.25">
      <c r="A82" s="9" t="str">
        <f t="shared" si="1"/>
        <v>91996</v>
      </c>
      <c r="B82" s="9">
        <v>35338</v>
      </c>
      <c r="C82" s="1">
        <f>IFERROR(VLOOKUP(B82,Petróleo!A:B,2,FALSE),"")</f>
        <v>6482</v>
      </c>
      <c r="D82" s="1">
        <f>IFERROR(VLOOKUP(B82,Estoque_US!D:E,2,FALSE),"")</f>
        <v>-9363</v>
      </c>
      <c r="E82" s="1">
        <f>IFERROR(VLOOKUP(B82,Petróleo!F:G,2,FALSE),"")</f>
        <v>8200</v>
      </c>
      <c r="F82" s="1">
        <f>IFERROR(VLOOKUP(B82,Petróleo!H:I,2,FALSE),"")</f>
        <v>3735</v>
      </c>
      <c r="G82" s="1">
        <f>IFERROR(VLOOKUP(B82,Petróleo!J:K,2,FALSE),"")</f>
        <v>550</v>
      </c>
      <c r="H82" s="1">
        <f>IFERROR(VLOOKUP(B82,Petróleo!L:M,2,FALSE),"")</f>
        <v>1400</v>
      </c>
      <c r="I82" s="1">
        <f>IFERROR(VLOOKUP(B82,Petróleo!N:O,2,FALSE),"")</f>
        <v>1965</v>
      </c>
      <c r="J82" s="1">
        <f>IFERROR(VLOOKUP(B82,Petróleo!P:Q,2,FALSE),"")</f>
        <v>5826</v>
      </c>
      <c r="K82" s="1">
        <f>IFERROR(VLOOKUP(B82,Petróleo!R:S,2,FALSE),"")</f>
        <v>2974</v>
      </c>
      <c r="L82" s="1">
        <f>IFERROR(VLOOKUP(B82,Petróleo!T:U,2,FALSE),"")</f>
        <v>3140</v>
      </c>
      <c r="M82" s="8">
        <f>IFERROR(VLOOKUP(B82,Petróleo!X:Y,2,FALSE),"")</f>
        <v>25870</v>
      </c>
      <c r="N82" s="8">
        <f>IFERROR(VLOOKUP(B82,Petróleo!Z:AA,2,FALSE),"")</f>
        <v>8110</v>
      </c>
      <c r="O82" s="8">
        <f>IFERROR(VLOOKUP(B82,Petróleo!AB:AC,2,FALSE),"")</f>
        <v>2200</v>
      </c>
      <c r="P82" s="8">
        <f>IFERROR(VLOOKUP(B82,Petróleo!AD:AE,2,FALSE),"")</f>
        <v>3720</v>
      </c>
      <c r="Q82" s="8">
        <f>IFERROR(VLOOKUP(B82,Petróleo!AF:AG,2,FALSE),"")</f>
        <v>620</v>
      </c>
      <c r="R82" s="8">
        <f>IFERROR(VLOOKUP(B82,Petróleo!AH:AI,2,FALSE),"")</f>
        <v>1400</v>
      </c>
      <c r="S82" s="8">
        <f>IFERROR(VLOOKUP(B82,Petróleo!AJ:AK,2,FALSE),"")</f>
        <v>2030</v>
      </c>
      <c r="T82" s="8">
        <f>IFERROR(VLOOKUP(B82,Petróleo!AL:AM,2,FALSE),"")</f>
        <v>3020</v>
      </c>
      <c r="U82" s="8">
        <f>IFERROR(VLOOKUP(B82,Petróleo!AN:AO,2,FALSE),"")</f>
        <v>2050</v>
      </c>
      <c r="V82" s="10" t="str">
        <f>IFERROR(VLOOKUP(A82,Petróleo!AR:AT,3,FALSE),"")</f>
        <v/>
      </c>
    </row>
    <row r="83" spans="1:22" x14ac:dyDescent="0.25">
      <c r="A83" s="9" t="str">
        <f t="shared" si="1"/>
        <v>101996</v>
      </c>
      <c r="B83" s="9">
        <v>35369</v>
      </c>
      <c r="C83" s="1">
        <f>IFERROR(VLOOKUP(B83,Petróleo!A:B,2,FALSE),"")</f>
        <v>6481</v>
      </c>
      <c r="D83" s="1">
        <f>IFERROR(VLOOKUP(B83,Estoque_US!D:E,2,FALSE),"")</f>
        <v>-888</v>
      </c>
      <c r="E83" s="1">
        <f>IFERROR(VLOOKUP(B83,Petróleo!F:G,2,FALSE),"")</f>
        <v>8255</v>
      </c>
      <c r="F83" s="1">
        <f>IFERROR(VLOOKUP(B83,Petróleo!H:I,2,FALSE),"")</f>
        <v>3635</v>
      </c>
      <c r="G83" s="1">
        <f>IFERROR(VLOOKUP(B83,Petróleo!J:K,2,FALSE),"")</f>
        <v>550</v>
      </c>
      <c r="H83" s="1">
        <f>IFERROR(VLOOKUP(B83,Petróleo!L:M,2,FALSE),"")</f>
        <v>1400</v>
      </c>
      <c r="I83" s="1">
        <f>IFERROR(VLOOKUP(B83,Petróleo!N:O,2,FALSE),"")</f>
        <v>2024</v>
      </c>
      <c r="J83" s="1">
        <f>IFERROR(VLOOKUP(B83,Petróleo!P:Q,2,FALSE),"")</f>
        <v>5813</v>
      </c>
      <c r="K83" s="1">
        <f>IFERROR(VLOOKUP(B83,Petróleo!R:S,2,FALSE),"")</f>
        <v>3022</v>
      </c>
      <c r="L83" s="1">
        <f>IFERROR(VLOOKUP(B83,Petróleo!T:U,2,FALSE),"")</f>
        <v>3165</v>
      </c>
      <c r="M83" s="8">
        <f>IFERROR(VLOOKUP(B83,Petróleo!X:Y,2,FALSE),"")</f>
        <v>25990</v>
      </c>
      <c r="N83" s="8">
        <f>IFERROR(VLOOKUP(B83,Petróleo!Z:AA,2,FALSE),"")</f>
        <v>8150</v>
      </c>
      <c r="O83" s="8">
        <f>IFERROR(VLOOKUP(B83,Petróleo!AB:AC,2,FALSE),"")</f>
        <v>2210</v>
      </c>
      <c r="P83" s="8">
        <f>IFERROR(VLOOKUP(B83,Petróleo!AD:AE,2,FALSE),"")</f>
        <v>3710</v>
      </c>
      <c r="Q83" s="8">
        <f>IFERROR(VLOOKUP(B83,Petróleo!AF:AG,2,FALSE),"")</f>
        <v>620</v>
      </c>
      <c r="R83" s="8">
        <f>IFERROR(VLOOKUP(B83,Petróleo!AH:AI,2,FALSE),"")</f>
        <v>1410</v>
      </c>
      <c r="S83" s="8">
        <f>IFERROR(VLOOKUP(B83,Petróleo!AJ:AK,2,FALSE),"")</f>
        <v>2050</v>
      </c>
      <c r="T83" s="8">
        <f>IFERROR(VLOOKUP(B83,Petróleo!AL:AM,2,FALSE),"")</f>
        <v>3050</v>
      </c>
      <c r="U83" s="8">
        <f>IFERROR(VLOOKUP(B83,Petróleo!AN:AO,2,FALSE),"")</f>
        <v>2050</v>
      </c>
      <c r="V83" s="10" t="str">
        <f>IFERROR(VLOOKUP(A83,Petróleo!AR:AT,3,FALSE),"")</f>
        <v/>
      </c>
    </row>
    <row r="84" spans="1:22" x14ac:dyDescent="0.25">
      <c r="A84" s="9" t="str">
        <f t="shared" si="1"/>
        <v>111996</v>
      </c>
      <c r="B84" s="9">
        <v>35399</v>
      </c>
      <c r="C84" s="1">
        <f>IFERROR(VLOOKUP(B84,Petróleo!A:B,2,FALSE),"")</f>
        <v>6476</v>
      </c>
      <c r="D84" s="1">
        <f>IFERROR(VLOOKUP(B84,Estoque_US!D:E,2,FALSE),"")</f>
        <v>-2128</v>
      </c>
      <c r="E84" s="1">
        <f>IFERROR(VLOOKUP(B84,Petróleo!F:G,2,FALSE),"")</f>
        <v>8255</v>
      </c>
      <c r="F84" s="1">
        <f>IFERROR(VLOOKUP(B84,Petróleo!H:I,2,FALSE),"")</f>
        <v>3685</v>
      </c>
      <c r="G84" s="1">
        <f>IFERROR(VLOOKUP(B84,Petróleo!J:K,2,FALSE),"")</f>
        <v>550</v>
      </c>
      <c r="H84" s="1">
        <f>IFERROR(VLOOKUP(B84,Petróleo!L:M,2,FALSE),"")</f>
        <v>1400</v>
      </c>
      <c r="I84" s="1">
        <f>IFERROR(VLOOKUP(B84,Petróleo!N:O,2,FALSE),"")</f>
        <v>2033</v>
      </c>
      <c r="J84" s="1">
        <f>IFERROR(VLOOKUP(B84,Petróleo!P:Q,2,FALSE),"")</f>
        <v>5909</v>
      </c>
      <c r="K84" s="1">
        <f>IFERROR(VLOOKUP(B84,Petróleo!R:S,2,FALSE),"")</f>
        <v>3070</v>
      </c>
      <c r="L84" s="1">
        <f>IFERROR(VLOOKUP(B84,Petróleo!T:U,2,FALSE),"")</f>
        <v>3190</v>
      </c>
      <c r="M84" s="8">
        <f>IFERROR(VLOOKUP(B84,Petróleo!X:Y,2,FALSE),"")</f>
        <v>26050</v>
      </c>
      <c r="N84" s="8">
        <f>IFERROR(VLOOKUP(B84,Petróleo!Z:AA,2,FALSE),"")</f>
        <v>8160</v>
      </c>
      <c r="O84" s="8">
        <f>IFERROR(VLOOKUP(B84,Petróleo!AB:AC,2,FALSE),"")</f>
        <v>2230</v>
      </c>
      <c r="P84" s="8">
        <f>IFERROR(VLOOKUP(B84,Petróleo!AD:AE,2,FALSE),"")</f>
        <v>3670</v>
      </c>
      <c r="Q84" s="8">
        <f>IFERROR(VLOOKUP(B84,Petróleo!AF:AG,2,FALSE),"")</f>
        <v>620</v>
      </c>
      <c r="R84" s="8">
        <f>IFERROR(VLOOKUP(B84,Petróleo!AH:AI,2,FALSE),"")</f>
        <v>1410</v>
      </c>
      <c r="S84" s="8">
        <f>IFERROR(VLOOKUP(B84,Petróleo!AJ:AK,2,FALSE),"")</f>
        <v>2120</v>
      </c>
      <c r="T84" s="8">
        <f>IFERROR(VLOOKUP(B84,Petróleo!AL:AM,2,FALSE),"")</f>
        <v>3030</v>
      </c>
      <c r="U84" s="8">
        <f>IFERROR(VLOOKUP(B84,Petróleo!AN:AO,2,FALSE),"")</f>
        <v>2050</v>
      </c>
      <c r="V84" s="10" t="str">
        <f>IFERROR(VLOOKUP(A84,Petróleo!AR:AT,3,FALSE),"")</f>
        <v/>
      </c>
    </row>
    <row r="85" spans="1:22" x14ac:dyDescent="0.25">
      <c r="A85" s="9" t="str">
        <f t="shared" si="1"/>
        <v>121996</v>
      </c>
      <c r="B85" s="9">
        <v>35430</v>
      </c>
      <c r="C85" s="1">
        <f>IFERROR(VLOOKUP(B85,Petróleo!A:B,2,FALSE),"")</f>
        <v>6506</v>
      </c>
      <c r="D85" s="1">
        <f>IFERROR(VLOOKUP(B85,Estoque_US!D:E,2,FALSE),"")</f>
        <v>-7364</v>
      </c>
      <c r="E85" s="1">
        <f>IFERROR(VLOOKUP(B85,Petróleo!F:G,2,FALSE),"")</f>
        <v>8358</v>
      </c>
      <c r="F85" s="1">
        <f>IFERROR(VLOOKUP(B85,Petróleo!H:I,2,FALSE),"")</f>
        <v>3635</v>
      </c>
      <c r="G85" s="1">
        <f>IFERROR(VLOOKUP(B85,Petróleo!J:K,2,FALSE),"")</f>
        <v>887</v>
      </c>
      <c r="H85" s="1">
        <f>IFERROR(VLOOKUP(B85,Petróleo!L:M,2,FALSE),"")</f>
        <v>1410</v>
      </c>
      <c r="I85" s="1">
        <f>IFERROR(VLOOKUP(B85,Petróleo!N:O,2,FALSE),"")</f>
        <v>2037</v>
      </c>
      <c r="J85" s="1">
        <f>IFERROR(VLOOKUP(B85,Petróleo!P:Q,2,FALSE),"")</f>
        <v>5830</v>
      </c>
      <c r="K85" s="1">
        <f>IFERROR(VLOOKUP(B85,Petróleo!R:S,2,FALSE),"")</f>
        <v>3118</v>
      </c>
      <c r="L85" s="1">
        <f>IFERROR(VLOOKUP(B85,Petróleo!T:U,2,FALSE),"")</f>
        <v>3115</v>
      </c>
      <c r="M85" s="8">
        <f>IFERROR(VLOOKUP(B85,Petróleo!X:Y,2,FALSE),"")</f>
        <v>26440</v>
      </c>
      <c r="N85" s="8">
        <f>IFERROR(VLOOKUP(B85,Petróleo!Z:AA,2,FALSE),"")</f>
        <v>8180</v>
      </c>
      <c r="O85" s="8">
        <f>IFERROR(VLOOKUP(B85,Petróleo!AB:AC,2,FALSE),"")</f>
        <v>2210</v>
      </c>
      <c r="P85" s="8">
        <f>IFERROR(VLOOKUP(B85,Petróleo!AD:AE,2,FALSE),"")</f>
        <v>3750</v>
      </c>
      <c r="Q85" s="8">
        <f>IFERROR(VLOOKUP(B85,Petróleo!AF:AG,2,FALSE),"")</f>
        <v>770</v>
      </c>
      <c r="R85" s="8">
        <f>IFERROR(VLOOKUP(B85,Petróleo!AH:AI,2,FALSE),"")</f>
        <v>1390</v>
      </c>
      <c r="S85" s="8">
        <f>IFERROR(VLOOKUP(B85,Petróleo!AJ:AK,2,FALSE),"")</f>
        <v>2190</v>
      </c>
      <c r="T85" s="8">
        <f>IFERROR(VLOOKUP(B85,Petróleo!AL:AM,2,FALSE),"")</f>
        <v>3100</v>
      </c>
      <c r="U85" s="8">
        <f>IFERROR(VLOOKUP(B85,Petróleo!AN:AO,2,FALSE),"")</f>
        <v>2070</v>
      </c>
      <c r="V85" s="10" t="str">
        <f>IFERROR(VLOOKUP(A85,Petróleo!AR:AT,3,FALSE),"")</f>
        <v/>
      </c>
    </row>
    <row r="86" spans="1:22" x14ac:dyDescent="0.25">
      <c r="A86" s="9" t="str">
        <f t="shared" si="1"/>
        <v>11997</v>
      </c>
      <c r="B86" s="9">
        <v>35461</v>
      </c>
      <c r="C86" s="1">
        <f>IFERROR(VLOOKUP(B86,Petróleo!A:B,2,FALSE),"")</f>
        <v>6402</v>
      </c>
      <c r="D86" s="1">
        <f>IFERROR(VLOOKUP(B86,Estoque_US!D:E,2,FALSE),"")</f>
        <v>4471</v>
      </c>
      <c r="E86" s="1">
        <f>IFERROR(VLOOKUP(B86,Petróleo!F:G,2,FALSE),"")</f>
        <v>8072</v>
      </c>
      <c r="F86" s="1">
        <f>IFERROR(VLOOKUP(B86,Petróleo!H:I,2,FALSE),"")</f>
        <v>3685</v>
      </c>
      <c r="G86" s="1">
        <f>IFERROR(VLOOKUP(B86,Petróleo!J:K,2,FALSE),"")</f>
        <v>1056</v>
      </c>
      <c r="H86" s="1">
        <f>IFERROR(VLOOKUP(B86,Petróleo!L:M,2,FALSE),"")</f>
        <v>1430</v>
      </c>
      <c r="I86" s="1">
        <f>IFERROR(VLOOKUP(B86,Petróleo!N:O,2,FALSE),"")</f>
        <v>2098</v>
      </c>
      <c r="J86" s="1">
        <f>IFERROR(VLOOKUP(B86,Petróleo!P:Q,2,FALSE),"")</f>
        <v>5824</v>
      </c>
      <c r="K86" s="1">
        <f>IFERROR(VLOOKUP(B86,Petróleo!R:S,2,FALSE),"")</f>
        <v>3156</v>
      </c>
      <c r="L86" s="1">
        <f>IFERROR(VLOOKUP(B86,Petróleo!T:U,2,FALSE),"")</f>
        <v>3210</v>
      </c>
      <c r="M86" s="8">
        <f>IFERROR(VLOOKUP(B86,Petróleo!X:Y,2,FALSE),"")</f>
        <v>26790</v>
      </c>
      <c r="N86" s="8">
        <f>IFERROR(VLOOKUP(B86,Petróleo!Z:AA,2,FALSE),"")</f>
        <v>8150</v>
      </c>
      <c r="O86" s="8">
        <f>IFERROR(VLOOKUP(B86,Petróleo!AB:AC,2,FALSE),"")</f>
        <v>2220</v>
      </c>
      <c r="P86" s="8">
        <f>IFERROR(VLOOKUP(B86,Petróleo!AD:AE,2,FALSE),"")</f>
        <v>3700</v>
      </c>
      <c r="Q86" s="8">
        <f>IFERROR(VLOOKUP(B86,Petróleo!AF:AG,2,FALSE),"")</f>
        <v>1100</v>
      </c>
      <c r="R86" s="8">
        <f>IFERROR(VLOOKUP(B86,Petróleo!AH:AI,2,FALSE),"")</f>
        <v>1420</v>
      </c>
      <c r="S86" s="8">
        <f>IFERROR(VLOOKUP(B86,Petróleo!AJ:AK,2,FALSE),"")</f>
        <v>2190</v>
      </c>
      <c r="T86" s="8">
        <f>IFERROR(VLOOKUP(B86,Petróleo!AL:AM,2,FALSE),"")</f>
        <v>3150</v>
      </c>
      <c r="U86" s="8">
        <f>IFERROR(VLOOKUP(B86,Petróleo!AN:AO,2,FALSE),"")</f>
        <v>2070</v>
      </c>
      <c r="V86" s="10" t="str">
        <f>IFERROR(VLOOKUP(A86,Petróleo!AR:AT,3,FALSE),"")</f>
        <v/>
      </c>
    </row>
    <row r="87" spans="1:22" x14ac:dyDescent="0.25">
      <c r="A87" s="9" t="str">
        <f t="shared" si="1"/>
        <v>21997</v>
      </c>
      <c r="B87" s="9">
        <v>35489</v>
      </c>
      <c r="C87" s="1">
        <f>IFERROR(VLOOKUP(B87,Petróleo!A:B,2,FALSE),"")</f>
        <v>6514</v>
      </c>
      <c r="D87" s="1">
        <f>IFERROR(VLOOKUP(B87,Estoque_US!D:E,2,FALSE),"")</f>
        <v>2346</v>
      </c>
      <c r="E87" s="1">
        <f>IFERROR(VLOOKUP(B87,Petróleo!F:G,2,FALSE),"")</f>
        <v>8212</v>
      </c>
      <c r="F87" s="1">
        <f>IFERROR(VLOOKUP(B87,Petróleo!H:I,2,FALSE),"")</f>
        <v>3685</v>
      </c>
      <c r="G87" s="1">
        <f>IFERROR(VLOOKUP(B87,Petróleo!J:K,2,FALSE),"")</f>
        <v>1095</v>
      </c>
      <c r="H87" s="1">
        <f>IFERROR(VLOOKUP(B87,Petróleo!L:M,2,FALSE),"")</f>
        <v>1430</v>
      </c>
      <c r="I87" s="1">
        <f>IFERROR(VLOOKUP(B87,Petróleo!N:O,2,FALSE),"")</f>
        <v>2126</v>
      </c>
      <c r="J87" s="1">
        <f>IFERROR(VLOOKUP(B87,Petróleo!P:Q,2,FALSE),"")</f>
        <v>5763</v>
      </c>
      <c r="K87" s="1">
        <f>IFERROR(VLOOKUP(B87,Petróleo!R:S,2,FALSE),"")</f>
        <v>3156</v>
      </c>
      <c r="L87" s="1">
        <f>IFERROR(VLOOKUP(B87,Petróleo!T:U,2,FALSE),"")</f>
        <v>3240</v>
      </c>
      <c r="M87" s="8">
        <f>IFERROR(VLOOKUP(B87,Petróleo!X:Y,2,FALSE),"")</f>
        <v>26920</v>
      </c>
      <c r="N87" s="8">
        <f>IFERROR(VLOOKUP(B87,Petróleo!Z:AA,2,FALSE),"")</f>
        <v>8180</v>
      </c>
      <c r="O87" s="8">
        <f>IFERROR(VLOOKUP(B87,Petróleo!AB:AC,2,FALSE),"")</f>
        <v>2230</v>
      </c>
      <c r="P87" s="8">
        <f>IFERROR(VLOOKUP(B87,Petróleo!AD:AE,2,FALSE),"")</f>
        <v>3700</v>
      </c>
      <c r="Q87" s="8">
        <f>IFERROR(VLOOKUP(B87,Petróleo!AF:AG,2,FALSE),"")</f>
        <v>1140</v>
      </c>
      <c r="R87" s="8">
        <f>IFERROR(VLOOKUP(B87,Petróleo!AH:AI,2,FALSE),"")</f>
        <v>1420</v>
      </c>
      <c r="S87" s="8">
        <f>IFERROR(VLOOKUP(B87,Petróleo!AJ:AK,2,FALSE),"")</f>
        <v>2200</v>
      </c>
      <c r="T87" s="8">
        <f>IFERROR(VLOOKUP(B87,Petróleo!AL:AM,2,FALSE),"")</f>
        <v>3160</v>
      </c>
      <c r="U87" s="8">
        <f>IFERROR(VLOOKUP(B87,Petróleo!AN:AO,2,FALSE),"")</f>
        <v>2060</v>
      </c>
      <c r="V87" s="10" t="str">
        <f>IFERROR(VLOOKUP(A87,Petróleo!AR:AT,3,FALSE),"")</f>
        <v/>
      </c>
    </row>
    <row r="88" spans="1:22" x14ac:dyDescent="0.25">
      <c r="A88" s="9" t="str">
        <f t="shared" si="1"/>
        <v>31997</v>
      </c>
      <c r="B88" s="9">
        <v>35520</v>
      </c>
      <c r="C88" s="1">
        <f>IFERROR(VLOOKUP(B88,Petróleo!A:B,2,FALSE),"")</f>
        <v>6452</v>
      </c>
      <c r="D88" s="1">
        <f>IFERROR(VLOOKUP(B88,Estoque_US!D:E,2,FALSE),"")</f>
        <v>10598</v>
      </c>
      <c r="E88" s="1">
        <f>IFERROR(VLOOKUP(B88,Petróleo!F:G,2,FALSE),"")</f>
        <v>8316</v>
      </c>
      <c r="F88" s="1">
        <f>IFERROR(VLOOKUP(B88,Petróleo!H:I,2,FALSE),"")</f>
        <v>3685</v>
      </c>
      <c r="G88" s="1">
        <f>IFERROR(VLOOKUP(B88,Petróleo!J:K,2,FALSE),"")</f>
        <v>1144</v>
      </c>
      <c r="H88" s="1">
        <f>IFERROR(VLOOKUP(B88,Petróleo!L:M,2,FALSE),"")</f>
        <v>1440</v>
      </c>
      <c r="I88" s="1">
        <f>IFERROR(VLOOKUP(B88,Petróleo!N:O,2,FALSE),"")</f>
        <v>2062</v>
      </c>
      <c r="J88" s="1">
        <f>IFERROR(VLOOKUP(B88,Petróleo!P:Q,2,FALSE),"")</f>
        <v>5807</v>
      </c>
      <c r="K88" s="1">
        <f>IFERROR(VLOOKUP(B88,Petróleo!R:S,2,FALSE),"")</f>
        <v>3166</v>
      </c>
      <c r="L88" s="1">
        <f>IFERROR(VLOOKUP(B88,Petróleo!T:U,2,FALSE),"")</f>
        <v>3215</v>
      </c>
      <c r="M88" s="8">
        <f>IFERROR(VLOOKUP(B88,Petróleo!X:Y,2,FALSE),"")</f>
        <v>27020</v>
      </c>
      <c r="N88" s="8">
        <f>IFERROR(VLOOKUP(B88,Petróleo!Z:AA,2,FALSE),"")</f>
        <v>8150</v>
      </c>
      <c r="O88" s="8">
        <f>IFERROR(VLOOKUP(B88,Petróleo!AB:AC,2,FALSE),"")</f>
        <v>2230</v>
      </c>
      <c r="P88" s="8">
        <f>IFERROR(VLOOKUP(B88,Petróleo!AD:AE,2,FALSE),"")</f>
        <v>3690</v>
      </c>
      <c r="Q88" s="8">
        <f>IFERROR(VLOOKUP(B88,Petróleo!AF:AG,2,FALSE),"")</f>
        <v>1270</v>
      </c>
      <c r="R88" s="8">
        <f>IFERROR(VLOOKUP(B88,Petróleo!AH:AI,2,FALSE),"")</f>
        <v>1410</v>
      </c>
      <c r="S88" s="8">
        <f>IFERROR(VLOOKUP(B88,Petróleo!AJ:AK,2,FALSE),"")</f>
        <v>2200</v>
      </c>
      <c r="T88" s="8">
        <f>IFERROR(VLOOKUP(B88,Petróleo!AL:AM,2,FALSE),"")</f>
        <v>3170</v>
      </c>
      <c r="U88" s="8">
        <f>IFERROR(VLOOKUP(B88,Petróleo!AN:AO,2,FALSE),"")</f>
        <v>2070</v>
      </c>
      <c r="V88" s="10" t="str">
        <f>IFERROR(VLOOKUP(A88,Petróleo!AR:AT,3,FALSE),"")</f>
        <v/>
      </c>
    </row>
    <row r="89" spans="1:22" x14ac:dyDescent="0.25">
      <c r="A89" s="9" t="str">
        <f t="shared" si="1"/>
        <v>41997</v>
      </c>
      <c r="B89" s="9">
        <v>35550</v>
      </c>
      <c r="C89" s="1">
        <f>IFERROR(VLOOKUP(B89,Petróleo!A:B,2,FALSE),"")</f>
        <v>6441</v>
      </c>
      <c r="D89" s="1">
        <f>IFERROR(VLOOKUP(B89,Estoque_US!D:E,2,FALSE),"")</f>
        <v>6741</v>
      </c>
      <c r="E89" s="1">
        <f>IFERROR(VLOOKUP(B89,Petróleo!F:G,2,FALSE),"")</f>
        <v>8368</v>
      </c>
      <c r="F89" s="1">
        <f>IFERROR(VLOOKUP(B89,Petróleo!H:I,2,FALSE),"")</f>
        <v>3685</v>
      </c>
      <c r="G89" s="1">
        <f>IFERROR(VLOOKUP(B89,Petróleo!J:K,2,FALSE),"")</f>
        <v>1241</v>
      </c>
      <c r="H89" s="1">
        <f>IFERROR(VLOOKUP(B89,Petróleo!L:M,2,FALSE),"")</f>
        <v>1450</v>
      </c>
      <c r="I89" s="1">
        <f>IFERROR(VLOOKUP(B89,Petróleo!N:O,2,FALSE),"")</f>
        <v>2126</v>
      </c>
      <c r="J89" s="1">
        <f>IFERROR(VLOOKUP(B89,Petróleo!P:Q,2,FALSE),"")</f>
        <v>5929</v>
      </c>
      <c r="K89" s="1">
        <f>IFERROR(VLOOKUP(B89,Petróleo!R:S,2,FALSE),"")</f>
        <v>3186</v>
      </c>
      <c r="L89" s="1">
        <f>IFERROR(VLOOKUP(B89,Petróleo!T:U,2,FALSE),"")</f>
        <v>3230</v>
      </c>
      <c r="M89" s="8">
        <f>IFERROR(VLOOKUP(B89,Petróleo!X:Y,2,FALSE),"")</f>
        <v>27090</v>
      </c>
      <c r="N89" s="8">
        <f>IFERROR(VLOOKUP(B89,Petróleo!Z:AA,2,FALSE),"")</f>
        <v>8160</v>
      </c>
      <c r="O89" s="8">
        <f>IFERROR(VLOOKUP(B89,Petróleo!AB:AC,2,FALSE),"")</f>
        <v>2250</v>
      </c>
      <c r="P89" s="8">
        <f>IFERROR(VLOOKUP(B89,Petróleo!AD:AE,2,FALSE),"")</f>
        <v>3700</v>
      </c>
      <c r="Q89" s="8">
        <f>IFERROR(VLOOKUP(B89,Petróleo!AF:AG,2,FALSE),"")</f>
        <v>1310</v>
      </c>
      <c r="R89" s="8">
        <f>IFERROR(VLOOKUP(B89,Petróleo!AH:AI,2,FALSE),"")</f>
        <v>1410</v>
      </c>
      <c r="S89" s="8">
        <f>IFERROR(VLOOKUP(B89,Petróleo!AJ:AK,2,FALSE),"")</f>
        <v>2180</v>
      </c>
      <c r="T89" s="8">
        <f>IFERROR(VLOOKUP(B89,Petróleo!AL:AM,2,FALSE),"")</f>
        <v>3170</v>
      </c>
      <c r="U89" s="8">
        <f>IFERROR(VLOOKUP(B89,Petróleo!AN:AO,2,FALSE),"")</f>
        <v>2070</v>
      </c>
      <c r="V89" s="10" t="str">
        <f>IFERROR(VLOOKUP(A89,Petróleo!AR:AT,3,FALSE),"")</f>
        <v/>
      </c>
    </row>
    <row r="90" spans="1:22" x14ac:dyDescent="0.25">
      <c r="A90" s="9" t="str">
        <f t="shared" si="1"/>
        <v>51997</v>
      </c>
      <c r="B90" s="9">
        <v>35581</v>
      </c>
      <c r="C90" s="1">
        <f>IFERROR(VLOOKUP(B90,Petróleo!A:B,2,FALSE),"")</f>
        <v>6474</v>
      </c>
      <c r="D90" s="1">
        <f>IFERROR(VLOOKUP(B90,Estoque_US!D:E,2,FALSE),"")</f>
        <v>8470</v>
      </c>
      <c r="E90" s="1">
        <f>IFERROR(VLOOKUP(B90,Petróleo!F:G,2,FALSE),"")</f>
        <v>8348</v>
      </c>
      <c r="F90" s="1">
        <f>IFERROR(VLOOKUP(B90,Petróleo!H:I,2,FALSE),"")</f>
        <v>3635</v>
      </c>
      <c r="G90" s="1">
        <f>IFERROR(VLOOKUP(B90,Petróleo!J:K,2,FALSE),"")</f>
        <v>1290</v>
      </c>
      <c r="H90" s="1">
        <f>IFERROR(VLOOKUP(B90,Petróleo!L:M,2,FALSE),"")</f>
        <v>1450</v>
      </c>
      <c r="I90" s="1">
        <f>IFERROR(VLOOKUP(B90,Petróleo!N:O,2,FALSE),"")</f>
        <v>2089</v>
      </c>
      <c r="J90" s="1">
        <f>IFERROR(VLOOKUP(B90,Petróleo!P:Q,2,FALSE),"")</f>
        <v>5937</v>
      </c>
      <c r="K90" s="1">
        <f>IFERROR(VLOOKUP(B90,Petróleo!R:S,2,FALSE),"")</f>
        <v>3206</v>
      </c>
      <c r="L90" s="1">
        <f>IFERROR(VLOOKUP(B90,Petróleo!T:U,2,FALSE),"")</f>
        <v>3275</v>
      </c>
      <c r="M90" s="8">
        <f>IFERROR(VLOOKUP(B90,Petróleo!X:Y,2,FALSE),"")</f>
        <v>26960</v>
      </c>
      <c r="N90" s="8">
        <f>IFERROR(VLOOKUP(B90,Petróleo!Z:AA,2,FALSE),"")</f>
        <v>8160</v>
      </c>
      <c r="O90" s="8">
        <f>IFERROR(VLOOKUP(B90,Petróleo!AB:AC,2,FALSE),"")</f>
        <v>2090</v>
      </c>
      <c r="P90" s="8">
        <f>IFERROR(VLOOKUP(B90,Petróleo!AD:AE,2,FALSE),"")</f>
        <v>3690</v>
      </c>
      <c r="Q90" s="8">
        <f>IFERROR(VLOOKUP(B90,Petróleo!AF:AG,2,FALSE),"")</f>
        <v>1300</v>
      </c>
      <c r="R90" s="8">
        <f>IFERROR(VLOOKUP(B90,Petróleo!AH:AI,2,FALSE),"")</f>
        <v>1420</v>
      </c>
      <c r="S90" s="8">
        <f>IFERROR(VLOOKUP(B90,Petróleo!AJ:AK,2,FALSE),"")</f>
        <v>2220</v>
      </c>
      <c r="T90" s="8">
        <f>IFERROR(VLOOKUP(B90,Petróleo!AL:AM,2,FALSE),"")</f>
        <v>3170</v>
      </c>
      <c r="U90" s="8">
        <f>IFERROR(VLOOKUP(B90,Petróleo!AN:AO,2,FALSE),"")</f>
        <v>2070</v>
      </c>
      <c r="V90" s="10" t="str">
        <f>IFERROR(VLOOKUP(A90,Petróleo!AR:AT,3,FALSE),"")</f>
        <v/>
      </c>
    </row>
    <row r="91" spans="1:22" x14ac:dyDescent="0.25">
      <c r="A91" s="9" t="str">
        <f t="shared" si="1"/>
        <v>61997</v>
      </c>
      <c r="B91" s="9">
        <v>35611</v>
      </c>
      <c r="C91" s="1">
        <f>IFERROR(VLOOKUP(B91,Petróleo!A:B,2,FALSE),"")</f>
        <v>6442</v>
      </c>
      <c r="D91" s="1">
        <f>IFERROR(VLOOKUP(B91,Estoque_US!D:E,2,FALSE),"")</f>
        <v>-7848</v>
      </c>
      <c r="E91" s="1">
        <f>IFERROR(VLOOKUP(B91,Petróleo!F:G,2,FALSE),"")</f>
        <v>8341</v>
      </c>
      <c r="F91" s="1">
        <f>IFERROR(VLOOKUP(B91,Petróleo!H:I,2,FALSE),"")</f>
        <v>3735</v>
      </c>
      <c r="G91" s="1">
        <f>IFERROR(VLOOKUP(B91,Petróleo!J:K,2,FALSE),"")</f>
        <v>589</v>
      </c>
      <c r="H91" s="1">
        <f>IFERROR(VLOOKUP(B91,Petróleo!L:M,2,FALSE),"")</f>
        <v>1450</v>
      </c>
      <c r="I91" s="1">
        <f>IFERROR(VLOOKUP(B91,Petróleo!N:O,2,FALSE),"")</f>
        <v>2153</v>
      </c>
      <c r="J91" s="1">
        <f>IFERROR(VLOOKUP(B91,Petróleo!P:Q,2,FALSE),"")</f>
        <v>5937</v>
      </c>
      <c r="K91" s="1">
        <f>IFERROR(VLOOKUP(B91,Petróleo!R:S,2,FALSE),"")</f>
        <v>3226</v>
      </c>
      <c r="L91" s="1">
        <f>IFERROR(VLOOKUP(B91,Petróleo!T:U,2,FALSE),"")</f>
        <v>3220</v>
      </c>
      <c r="M91" s="8">
        <f>IFERROR(VLOOKUP(B91,Petróleo!X:Y,2,FALSE),"")</f>
        <v>26580</v>
      </c>
      <c r="N91" s="8">
        <f>IFERROR(VLOOKUP(B91,Petróleo!Z:AA,2,FALSE),"")</f>
        <v>8160</v>
      </c>
      <c r="O91" s="8">
        <f>IFERROR(VLOOKUP(B91,Petróleo!AB:AC,2,FALSE),"")</f>
        <v>2260</v>
      </c>
      <c r="P91" s="8">
        <f>IFERROR(VLOOKUP(B91,Petróleo!AD:AE,2,FALSE),"")</f>
        <v>3700</v>
      </c>
      <c r="Q91" s="8">
        <f>IFERROR(VLOOKUP(B91,Petróleo!AF:AG,2,FALSE),"")</f>
        <v>660</v>
      </c>
      <c r="R91" s="8">
        <f>IFERROR(VLOOKUP(B91,Petróleo!AH:AI,2,FALSE),"")</f>
        <v>1430</v>
      </c>
      <c r="S91" s="8">
        <f>IFERROR(VLOOKUP(B91,Petróleo!AJ:AK,2,FALSE),"")</f>
        <v>2260</v>
      </c>
      <c r="T91" s="8">
        <f>IFERROR(VLOOKUP(B91,Petróleo!AL:AM,2,FALSE),"")</f>
        <v>3180</v>
      </c>
      <c r="U91" s="8">
        <f>IFERROR(VLOOKUP(B91,Petróleo!AN:AO,2,FALSE),"")</f>
        <v>2080</v>
      </c>
      <c r="V91" s="10" t="str">
        <f>IFERROR(VLOOKUP(A91,Petróleo!AR:AT,3,FALSE),"")</f>
        <v/>
      </c>
    </row>
    <row r="92" spans="1:22" x14ac:dyDescent="0.25">
      <c r="A92" s="9" t="str">
        <f t="shared" si="1"/>
        <v>71997</v>
      </c>
      <c r="B92" s="9">
        <v>35642</v>
      </c>
      <c r="C92" s="1">
        <f>IFERROR(VLOOKUP(B92,Petróleo!A:B,2,FALSE),"")</f>
        <v>6409</v>
      </c>
      <c r="D92" s="1">
        <f>IFERROR(VLOOKUP(B92,Estoque_US!D:E,2,FALSE),"")</f>
        <v>-9337</v>
      </c>
      <c r="E92" s="1">
        <f>IFERROR(VLOOKUP(B92,Petróleo!F:G,2,FALSE),"")</f>
        <v>8360</v>
      </c>
      <c r="F92" s="1">
        <f>IFERROR(VLOOKUP(B92,Petróleo!H:I,2,FALSE),"")</f>
        <v>3685</v>
      </c>
      <c r="G92" s="1">
        <f>IFERROR(VLOOKUP(B92,Petróleo!J:K,2,FALSE),"")</f>
        <v>589</v>
      </c>
      <c r="H92" s="1">
        <f>IFERROR(VLOOKUP(B92,Petróleo!L:M,2,FALSE),"")</f>
        <v>1450</v>
      </c>
      <c r="I92" s="1">
        <f>IFERROR(VLOOKUP(B92,Petróleo!N:O,2,FALSE),"")</f>
        <v>2144</v>
      </c>
      <c r="J92" s="1">
        <f>IFERROR(VLOOKUP(B92,Petróleo!P:Q,2,FALSE),"")</f>
        <v>5959</v>
      </c>
      <c r="K92" s="1">
        <f>IFERROR(VLOOKUP(B92,Petróleo!R:S,2,FALSE),"")</f>
        <v>3236</v>
      </c>
      <c r="L92" s="1">
        <f>IFERROR(VLOOKUP(B92,Petróleo!T:U,2,FALSE),"")</f>
        <v>3190</v>
      </c>
      <c r="M92" s="8">
        <f>IFERROR(VLOOKUP(B92,Petróleo!X:Y,2,FALSE),"")</f>
        <v>26510</v>
      </c>
      <c r="N92" s="8">
        <f>IFERROR(VLOOKUP(B92,Petróleo!Z:AA,2,FALSE),"")</f>
        <v>8160</v>
      </c>
      <c r="O92" s="8">
        <f>IFERROR(VLOOKUP(B92,Petróleo!AB:AC,2,FALSE),"")</f>
        <v>2260</v>
      </c>
      <c r="P92" s="8">
        <f>IFERROR(VLOOKUP(B92,Petróleo!AD:AE,2,FALSE),"")</f>
        <v>3680</v>
      </c>
      <c r="Q92" s="8">
        <f>IFERROR(VLOOKUP(B92,Petróleo!AF:AG,2,FALSE),"")</f>
        <v>610</v>
      </c>
      <c r="R92" s="8">
        <f>IFERROR(VLOOKUP(B92,Petróleo!AH:AI,2,FALSE),"")</f>
        <v>1440</v>
      </c>
      <c r="S92" s="8">
        <f>IFERROR(VLOOKUP(B92,Petróleo!AJ:AK,2,FALSE),"")</f>
        <v>2270</v>
      </c>
      <c r="T92" s="8">
        <f>IFERROR(VLOOKUP(B92,Petróleo!AL:AM,2,FALSE),"")</f>
        <v>3200</v>
      </c>
      <c r="U92" s="8">
        <f>IFERROR(VLOOKUP(B92,Petróleo!AN:AO,2,FALSE),"")</f>
        <v>2040</v>
      </c>
      <c r="V92" s="10" t="str">
        <f>IFERROR(VLOOKUP(A92,Petróleo!AR:AT,3,FALSE),"")</f>
        <v/>
      </c>
    </row>
    <row r="93" spans="1:22" x14ac:dyDescent="0.25">
      <c r="A93" s="9" t="str">
        <f t="shared" si="1"/>
        <v>81997</v>
      </c>
      <c r="B93" s="9">
        <v>35673</v>
      </c>
      <c r="C93" s="1">
        <f>IFERROR(VLOOKUP(B93,Petróleo!A:B,2,FALSE),"")</f>
        <v>6347</v>
      </c>
      <c r="D93" s="1">
        <f>IFERROR(VLOOKUP(B93,Estoque_US!D:E,2,FALSE),"")</f>
        <v>-1808</v>
      </c>
      <c r="E93" s="1">
        <f>IFERROR(VLOOKUP(B93,Petróleo!F:G,2,FALSE),"")</f>
        <v>8458</v>
      </c>
      <c r="F93" s="1">
        <f>IFERROR(VLOOKUP(B93,Petróleo!H:I,2,FALSE),"")</f>
        <v>3685</v>
      </c>
      <c r="G93" s="1">
        <f>IFERROR(VLOOKUP(B93,Petróleo!J:K,2,FALSE),"")</f>
        <v>1475</v>
      </c>
      <c r="H93" s="1">
        <f>IFERROR(VLOOKUP(B93,Petróleo!L:M,2,FALSE),"")</f>
        <v>1450</v>
      </c>
      <c r="I93" s="1">
        <f>IFERROR(VLOOKUP(B93,Petróleo!N:O,2,FALSE),"")</f>
        <v>2162</v>
      </c>
      <c r="J93" s="1">
        <f>IFERROR(VLOOKUP(B93,Petróleo!P:Q,2,FALSE),"")</f>
        <v>5981</v>
      </c>
      <c r="K93" s="1">
        <f>IFERROR(VLOOKUP(B93,Petróleo!R:S,2,FALSE),"")</f>
        <v>3354</v>
      </c>
      <c r="L93" s="1">
        <f>IFERROR(VLOOKUP(B93,Petróleo!T:U,2,FALSE),"")</f>
        <v>3190</v>
      </c>
      <c r="M93" s="8">
        <f>IFERROR(VLOOKUP(B93,Petróleo!X:Y,2,FALSE),"")</f>
        <v>27150</v>
      </c>
      <c r="N93" s="8">
        <f>IFERROR(VLOOKUP(B93,Petróleo!Z:AA,2,FALSE),"")</f>
        <v>8160</v>
      </c>
      <c r="O93" s="8">
        <f>IFERROR(VLOOKUP(B93,Petróleo!AB:AC,2,FALSE),"")</f>
        <v>2260</v>
      </c>
      <c r="P93" s="8">
        <f>IFERROR(VLOOKUP(B93,Petróleo!AD:AE,2,FALSE),"")</f>
        <v>3670</v>
      </c>
      <c r="Q93" s="8">
        <f>IFERROR(VLOOKUP(B93,Petróleo!AF:AG,2,FALSE),"")</f>
        <v>1250</v>
      </c>
      <c r="R93" s="8">
        <f>IFERROR(VLOOKUP(B93,Petróleo!AH:AI,2,FALSE),"")</f>
        <v>1450</v>
      </c>
      <c r="S93" s="8">
        <f>IFERROR(VLOOKUP(B93,Petróleo!AJ:AK,2,FALSE),"")</f>
        <v>2200</v>
      </c>
      <c r="T93" s="8">
        <f>IFERROR(VLOOKUP(B93,Petróleo!AL:AM,2,FALSE),"")</f>
        <v>3220</v>
      </c>
      <c r="U93" s="8">
        <f>IFERROR(VLOOKUP(B93,Petróleo!AN:AO,2,FALSE),"")</f>
        <v>2070</v>
      </c>
      <c r="V93" s="10" t="str">
        <f>IFERROR(VLOOKUP(A93,Petróleo!AR:AT,3,FALSE),"")</f>
        <v/>
      </c>
    </row>
    <row r="94" spans="1:22" x14ac:dyDescent="0.25">
      <c r="A94" s="9" t="str">
        <f t="shared" si="1"/>
        <v>91997</v>
      </c>
      <c r="B94" s="9">
        <v>35703</v>
      </c>
      <c r="C94" s="1">
        <f>IFERROR(VLOOKUP(B94,Petróleo!A:B,2,FALSE),"")</f>
        <v>6486</v>
      </c>
      <c r="D94" s="1">
        <f>IFERROR(VLOOKUP(B94,Estoque_US!D:E,2,FALSE),"")</f>
        <v>-4853</v>
      </c>
      <c r="E94" s="1">
        <f>IFERROR(VLOOKUP(B94,Petróleo!F:G,2,FALSE),"")</f>
        <v>8463</v>
      </c>
      <c r="F94" s="1">
        <f>IFERROR(VLOOKUP(B94,Petróleo!H:I,2,FALSE),"")</f>
        <v>3485</v>
      </c>
      <c r="G94" s="1">
        <f>IFERROR(VLOOKUP(B94,Petróleo!J:K,2,FALSE),"")</f>
        <v>1689</v>
      </c>
      <c r="H94" s="1">
        <f>IFERROR(VLOOKUP(B94,Petróleo!L:M,2,FALSE),"")</f>
        <v>1450</v>
      </c>
      <c r="I94" s="1">
        <f>IFERROR(VLOOKUP(B94,Petróleo!N:O,2,FALSE),"")</f>
        <v>2117</v>
      </c>
      <c r="J94" s="1">
        <f>IFERROR(VLOOKUP(B94,Petróleo!P:Q,2,FALSE),"")</f>
        <v>5994</v>
      </c>
      <c r="K94" s="1">
        <f>IFERROR(VLOOKUP(B94,Petróleo!R:S,2,FALSE),"")</f>
        <v>3394</v>
      </c>
      <c r="L94" s="1">
        <f>IFERROR(VLOOKUP(B94,Petróleo!T:U,2,FALSE),"")</f>
        <v>3195</v>
      </c>
      <c r="M94" s="8">
        <f>IFERROR(VLOOKUP(B94,Petróleo!X:Y,2,FALSE),"")</f>
        <v>27540</v>
      </c>
      <c r="N94" s="8">
        <f>IFERROR(VLOOKUP(B94,Petróleo!Z:AA,2,FALSE),"")</f>
        <v>8190</v>
      </c>
      <c r="O94" s="8">
        <f>IFERROR(VLOOKUP(B94,Petróleo!AB:AC,2,FALSE),"")</f>
        <v>2260</v>
      </c>
      <c r="P94" s="8">
        <f>IFERROR(VLOOKUP(B94,Petróleo!AD:AE,2,FALSE),"")</f>
        <v>3630</v>
      </c>
      <c r="Q94" s="8">
        <f>IFERROR(VLOOKUP(B94,Petróleo!AF:AG,2,FALSE),"")</f>
        <v>1550</v>
      </c>
      <c r="R94" s="8">
        <f>IFERROR(VLOOKUP(B94,Petróleo!AH:AI,2,FALSE),"")</f>
        <v>1440</v>
      </c>
      <c r="S94" s="8">
        <f>IFERROR(VLOOKUP(B94,Petróleo!AJ:AK,2,FALSE),"")</f>
        <v>2240</v>
      </c>
      <c r="T94" s="8">
        <f>IFERROR(VLOOKUP(B94,Petróleo!AL:AM,2,FALSE),"")</f>
        <v>3270</v>
      </c>
      <c r="U94" s="8">
        <f>IFERROR(VLOOKUP(B94,Petróleo!AN:AO,2,FALSE),"")</f>
        <v>2070</v>
      </c>
      <c r="V94" s="10" t="str">
        <f>IFERROR(VLOOKUP(A94,Petróleo!AR:AT,3,FALSE),"")</f>
        <v/>
      </c>
    </row>
    <row r="95" spans="1:22" x14ac:dyDescent="0.25">
      <c r="A95" s="9" t="str">
        <f t="shared" si="1"/>
        <v>101997</v>
      </c>
      <c r="B95" s="9">
        <v>35734</v>
      </c>
      <c r="C95" s="1">
        <f>IFERROR(VLOOKUP(B95,Petróleo!A:B,2,FALSE),"")</f>
        <v>6467</v>
      </c>
      <c r="D95" s="1">
        <f>IFERROR(VLOOKUP(B95,Estoque_US!D:E,2,FALSE),"")</f>
        <v>9782</v>
      </c>
      <c r="E95" s="1">
        <f>IFERROR(VLOOKUP(B95,Petróleo!F:G,2,FALSE),"")</f>
        <v>8463</v>
      </c>
      <c r="F95" s="1">
        <f>IFERROR(VLOOKUP(B95,Petróleo!H:I,2,FALSE),"")</f>
        <v>3635</v>
      </c>
      <c r="G95" s="1">
        <f>IFERROR(VLOOKUP(B95,Petróleo!J:K,2,FALSE),"")</f>
        <v>1582</v>
      </c>
      <c r="H95" s="1">
        <f>IFERROR(VLOOKUP(B95,Petróleo!L:M,2,FALSE),"")</f>
        <v>1450</v>
      </c>
      <c r="I95" s="1">
        <f>IFERROR(VLOOKUP(B95,Petróleo!N:O,2,FALSE),"")</f>
        <v>2208</v>
      </c>
      <c r="J95" s="1">
        <f>IFERROR(VLOOKUP(B95,Petróleo!P:Q,2,FALSE),"")</f>
        <v>5990</v>
      </c>
      <c r="K95" s="1">
        <f>IFERROR(VLOOKUP(B95,Petróleo!R:S,2,FALSE),"")</f>
        <v>3394</v>
      </c>
      <c r="L95" s="1">
        <f>IFERROR(VLOOKUP(B95,Petróleo!T:U,2,FALSE),"")</f>
        <v>3195</v>
      </c>
      <c r="M95" s="8">
        <f>IFERROR(VLOOKUP(B95,Petróleo!X:Y,2,FALSE),"")</f>
        <v>27840</v>
      </c>
      <c r="N95" s="8">
        <f>IFERROR(VLOOKUP(B95,Petróleo!Z:AA,2,FALSE),"")</f>
        <v>8270</v>
      </c>
      <c r="O95" s="8">
        <f>IFERROR(VLOOKUP(B95,Petróleo!AB:AC,2,FALSE),"")</f>
        <v>2250</v>
      </c>
      <c r="P95" s="8">
        <f>IFERROR(VLOOKUP(B95,Petróleo!AD:AE,2,FALSE),"")</f>
        <v>3700</v>
      </c>
      <c r="Q95" s="8">
        <f>IFERROR(VLOOKUP(B95,Petróleo!AF:AG,2,FALSE),"")</f>
        <v>1620</v>
      </c>
      <c r="R95" s="8">
        <f>IFERROR(VLOOKUP(B95,Petróleo!AH:AI,2,FALSE),"")</f>
        <v>1440</v>
      </c>
      <c r="S95" s="8">
        <f>IFERROR(VLOOKUP(B95,Petróleo!AJ:AK,2,FALSE),"")</f>
        <v>2260</v>
      </c>
      <c r="T95" s="8">
        <f>IFERROR(VLOOKUP(B95,Petróleo!AL:AM,2,FALSE),"")</f>
        <v>3310</v>
      </c>
      <c r="U95" s="8">
        <f>IFERROR(VLOOKUP(B95,Petróleo!AN:AO,2,FALSE),"")</f>
        <v>2090</v>
      </c>
      <c r="V95" s="10" t="str">
        <f>IFERROR(VLOOKUP(A95,Petróleo!AR:AT,3,FALSE),"")</f>
        <v/>
      </c>
    </row>
    <row r="96" spans="1:22" x14ac:dyDescent="0.25">
      <c r="A96" s="9" t="str">
        <f t="shared" si="1"/>
        <v>111997</v>
      </c>
      <c r="B96" s="9">
        <v>35764</v>
      </c>
      <c r="C96" s="1">
        <f>IFERROR(VLOOKUP(B96,Petróleo!A:B,2,FALSE),"")</f>
        <v>6459</v>
      </c>
      <c r="D96" s="1">
        <f>IFERROR(VLOOKUP(B96,Estoque_US!D:E,2,FALSE),"")</f>
        <v>10700</v>
      </c>
      <c r="E96" s="1">
        <f>IFERROR(VLOOKUP(B96,Petróleo!F:G,2,FALSE),"")</f>
        <v>8414</v>
      </c>
      <c r="F96" s="1">
        <f>IFERROR(VLOOKUP(B96,Petróleo!H:I,2,FALSE),"")</f>
        <v>3685</v>
      </c>
      <c r="G96" s="1">
        <f>IFERROR(VLOOKUP(B96,Petróleo!J:K,2,FALSE),"")</f>
        <v>1353</v>
      </c>
      <c r="H96" s="1">
        <f>IFERROR(VLOOKUP(B96,Petróleo!L:M,2,FALSE),"")</f>
        <v>1450</v>
      </c>
      <c r="I96" s="1">
        <f>IFERROR(VLOOKUP(B96,Petróleo!N:O,2,FALSE),"")</f>
        <v>2171</v>
      </c>
      <c r="J96" s="1">
        <f>IFERROR(VLOOKUP(B96,Petróleo!P:Q,2,FALSE),"")</f>
        <v>5981</v>
      </c>
      <c r="K96" s="1">
        <f>IFERROR(VLOOKUP(B96,Petróleo!R:S,2,FALSE),"")</f>
        <v>3424</v>
      </c>
      <c r="L96" s="1">
        <f>IFERROR(VLOOKUP(B96,Petróleo!T:U,2,FALSE),"")</f>
        <v>3158</v>
      </c>
      <c r="M96" s="8">
        <f>IFERROR(VLOOKUP(B96,Petróleo!X:Y,2,FALSE),"")</f>
        <v>27750</v>
      </c>
      <c r="N96" s="8">
        <f>IFERROR(VLOOKUP(B96,Petróleo!Z:AA,2,FALSE),"")</f>
        <v>8370</v>
      </c>
      <c r="O96" s="8">
        <f>IFERROR(VLOOKUP(B96,Petróleo!AB:AC,2,FALSE),"")</f>
        <v>2260</v>
      </c>
      <c r="P96" s="8">
        <f>IFERROR(VLOOKUP(B96,Petróleo!AD:AE,2,FALSE),"")</f>
        <v>3650</v>
      </c>
      <c r="Q96" s="8">
        <f>IFERROR(VLOOKUP(B96,Petróleo!AF:AG,2,FALSE),"")</f>
        <v>1400</v>
      </c>
      <c r="R96" s="8">
        <f>IFERROR(VLOOKUP(B96,Petróleo!AH:AI,2,FALSE),"")</f>
        <v>1440</v>
      </c>
      <c r="S96" s="8">
        <f>IFERROR(VLOOKUP(B96,Petróleo!AJ:AK,2,FALSE),"")</f>
        <v>2260</v>
      </c>
      <c r="T96" s="8">
        <f>IFERROR(VLOOKUP(B96,Petróleo!AL:AM,2,FALSE),"")</f>
        <v>3340</v>
      </c>
      <c r="U96" s="8">
        <f>IFERROR(VLOOKUP(B96,Petróleo!AN:AO,2,FALSE),"")</f>
        <v>2110</v>
      </c>
      <c r="V96" s="10" t="str">
        <f>IFERROR(VLOOKUP(A96,Petróleo!AR:AT,3,FALSE),"")</f>
        <v/>
      </c>
    </row>
    <row r="97" spans="1:22" x14ac:dyDescent="0.25">
      <c r="A97" s="9" t="str">
        <f t="shared" si="1"/>
        <v>121997</v>
      </c>
      <c r="B97" s="9">
        <v>35795</v>
      </c>
      <c r="C97" s="1">
        <f>IFERROR(VLOOKUP(B97,Petróleo!A:B,2,FALSE),"")</f>
        <v>6531</v>
      </c>
      <c r="D97" s="1">
        <f>IFERROR(VLOOKUP(B97,Estoque_US!D:E,2,FALSE),"")</f>
        <v>-9483</v>
      </c>
      <c r="E97" s="1">
        <f>IFERROR(VLOOKUP(B97,Petróleo!F:G,2,FALSE),"")</f>
        <v>8521</v>
      </c>
      <c r="F97" s="1">
        <f>IFERROR(VLOOKUP(B97,Petróleo!H:I,2,FALSE),"")</f>
        <v>3685</v>
      </c>
      <c r="G97" s="1">
        <f>IFERROR(VLOOKUP(B97,Petróleo!J:K,2,FALSE),"")</f>
        <v>760</v>
      </c>
      <c r="H97" s="1">
        <f>IFERROR(VLOOKUP(B97,Petróleo!L:M,2,FALSE),"")</f>
        <v>1450</v>
      </c>
      <c r="I97" s="1">
        <f>IFERROR(VLOOKUP(B97,Petróleo!N:O,2,FALSE),"")</f>
        <v>2135</v>
      </c>
      <c r="J97" s="1">
        <f>IFERROR(VLOOKUP(B97,Petróleo!P:Q,2,FALSE),"")</f>
        <v>5929</v>
      </c>
      <c r="K97" s="1">
        <f>IFERROR(VLOOKUP(B97,Petróleo!R:S,2,FALSE),"")</f>
        <v>3453</v>
      </c>
      <c r="L97" s="1">
        <f>IFERROR(VLOOKUP(B97,Petróleo!T:U,2,FALSE),"")</f>
        <v>3090</v>
      </c>
      <c r="M97" s="8">
        <f>IFERROR(VLOOKUP(B97,Petróleo!X:Y,2,FALSE),"")</f>
        <v>27420</v>
      </c>
      <c r="N97" s="8">
        <f>IFERROR(VLOOKUP(B97,Petróleo!Z:AA,2,FALSE),"")</f>
        <v>8500</v>
      </c>
      <c r="O97" s="8">
        <f>IFERROR(VLOOKUP(B97,Petróleo!AB:AC,2,FALSE),"")</f>
        <v>2280</v>
      </c>
      <c r="P97" s="8">
        <f>IFERROR(VLOOKUP(B97,Petróleo!AD:AE,2,FALSE),"")</f>
        <v>3700</v>
      </c>
      <c r="Q97" s="8">
        <f>IFERROR(VLOOKUP(B97,Petróleo!AF:AG,2,FALSE),"")</f>
        <v>770</v>
      </c>
      <c r="R97" s="8">
        <f>IFERROR(VLOOKUP(B97,Petróleo!AH:AI,2,FALSE),"")</f>
        <v>1450</v>
      </c>
      <c r="S97" s="8">
        <f>IFERROR(VLOOKUP(B97,Petróleo!AJ:AK,2,FALSE),"")</f>
        <v>2260</v>
      </c>
      <c r="T97" s="8">
        <f>IFERROR(VLOOKUP(B97,Petróleo!AL:AM,2,FALSE),"")</f>
        <v>3400</v>
      </c>
      <c r="U97" s="8">
        <f>IFERROR(VLOOKUP(B97,Petróleo!AN:AO,2,FALSE),"")</f>
        <v>2150</v>
      </c>
      <c r="V97" s="10" t="str">
        <f>IFERROR(VLOOKUP(A97,Petróleo!AR:AT,3,FALSE),"")</f>
        <v/>
      </c>
    </row>
    <row r="98" spans="1:22" x14ac:dyDescent="0.25">
      <c r="A98" s="9" t="str">
        <f t="shared" si="1"/>
        <v>11998</v>
      </c>
      <c r="B98" s="9">
        <v>35826</v>
      </c>
      <c r="C98" s="1">
        <f>IFERROR(VLOOKUP(B98,Petróleo!A:B,2,FALSE),"")</f>
        <v>6541</v>
      </c>
      <c r="D98" s="1">
        <f>IFERROR(VLOOKUP(B98,Estoque_US!D:E,2,FALSE),"")</f>
        <v>8795</v>
      </c>
      <c r="E98" s="1">
        <f>IFERROR(VLOOKUP(B98,Petróleo!F:G,2,FALSE),"")</f>
        <v>8765</v>
      </c>
      <c r="F98" s="1">
        <f>IFERROR(VLOOKUP(B98,Petróleo!H:I,2,FALSE),"")</f>
        <v>3635</v>
      </c>
      <c r="G98" s="1">
        <f>IFERROR(VLOOKUP(B98,Petróleo!J:K,2,FALSE),"")</f>
        <v>1261</v>
      </c>
      <c r="H98" s="1">
        <f>IFERROR(VLOOKUP(B98,Petróleo!L:M,2,FALSE),"")</f>
        <v>1463</v>
      </c>
      <c r="I98" s="1">
        <f>IFERROR(VLOOKUP(B98,Petróleo!N:O,2,FALSE),"")</f>
        <v>2218</v>
      </c>
      <c r="J98" s="1">
        <f>IFERROR(VLOOKUP(B98,Petróleo!P:Q,2,FALSE),"")</f>
        <v>5894</v>
      </c>
      <c r="K98" s="1">
        <f>IFERROR(VLOOKUP(B98,Petróleo!R:S,2,FALSE),"")</f>
        <v>3440</v>
      </c>
      <c r="L98" s="1">
        <f>IFERROR(VLOOKUP(B98,Petróleo!T:U,2,FALSE),"")</f>
        <v>3240</v>
      </c>
      <c r="M98" s="8">
        <f>IFERROR(VLOOKUP(B98,Petróleo!X:Y,2,FALSE),"")</f>
        <v>28020</v>
      </c>
      <c r="N98" s="8">
        <f>IFERROR(VLOOKUP(B98,Petróleo!Z:AA,2,FALSE),"")</f>
        <v>8640</v>
      </c>
      <c r="O98" s="8">
        <f>IFERROR(VLOOKUP(B98,Petróleo!AB:AC,2,FALSE),"")</f>
        <v>2350</v>
      </c>
      <c r="P98" s="8">
        <f>IFERROR(VLOOKUP(B98,Petróleo!AD:AE,2,FALSE),"")</f>
        <v>3700</v>
      </c>
      <c r="Q98" s="8">
        <f>IFERROR(VLOOKUP(B98,Petróleo!AF:AG,2,FALSE),"")</f>
        <v>1150</v>
      </c>
      <c r="R98" s="8">
        <f>IFERROR(VLOOKUP(B98,Petróleo!AH:AI,2,FALSE),"")</f>
        <v>1450</v>
      </c>
      <c r="S98" s="8">
        <f>IFERROR(VLOOKUP(B98,Petróleo!AJ:AK,2,FALSE),"")</f>
        <v>2210</v>
      </c>
      <c r="T98" s="8">
        <f>IFERROR(VLOOKUP(B98,Petróleo!AL:AM,2,FALSE),"")</f>
        <v>3410</v>
      </c>
      <c r="U98" s="8">
        <f>IFERROR(VLOOKUP(B98,Petróleo!AN:AO,2,FALSE),"")</f>
        <v>2190</v>
      </c>
      <c r="V98" s="10" t="str">
        <f>IFERROR(VLOOKUP(A98,Petróleo!AR:AT,3,FALSE),"")</f>
        <v/>
      </c>
    </row>
    <row r="99" spans="1:22" x14ac:dyDescent="0.25">
      <c r="A99" s="9" t="str">
        <f t="shared" si="1"/>
        <v>21998</v>
      </c>
      <c r="B99" s="9">
        <v>35854</v>
      </c>
      <c r="C99" s="1">
        <f>IFERROR(VLOOKUP(B99,Petróleo!A:B,2,FALSE),"")</f>
        <v>6476</v>
      </c>
      <c r="D99" s="1">
        <f>IFERROR(VLOOKUP(B99,Estoque_US!D:E,2,FALSE),"")</f>
        <v>2978</v>
      </c>
      <c r="E99" s="1">
        <f>IFERROR(VLOOKUP(B99,Petróleo!F:G,2,FALSE),"")</f>
        <v>8760</v>
      </c>
      <c r="F99" s="1">
        <f>IFERROR(VLOOKUP(B99,Petróleo!H:I,2,FALSE),"")</f>
        <v>3635</v>
      </c>
      <c r="G99" s="1">
        <f>IFERROR(VLOOKUP(B99,Petróleo!J:K,2,FALSE),"")</f>
        <v>1703</v>
      </c>
      <c r="H99" s="1">
        <f>IFERROR(VLOOKUP(B99,Petróleo!L:M,2,FALSE),"")</f>
        <v>1463</v>
      </c>
      <c r="I99" s="1">
        <f>IFERROR(VLOOKUP(B99,Petróleo!N:O,2,FALSE),"")</f>
        <v>2263</v>
      </c>
      <c r="J99" s="1">
        <f>IFERROR(VLOOKUP(B99,Petróleo!P:Q,2,FALSE),"")</f>
        <v>5912</v>
      </c>
      <c r="K99" s="1">
        <f>IFERROR(VLOOKUP(B99,Petróleo!R:S,2,FALSE),"")</f>
        <v>3410</v>
      </c>
      <c r="L99" s="1">
        <f>IFERROR(VLOOKUP(B99,Petróleo!T:U,2,FALSE),"")</f>
        <v>3155</v>
      </c>
      <c r="M99" s="8">
        <f>IFERROR(VLOOKUP(B99,Petróleo!X:Y,2,FALSE),"")</f>
        <v>28760</v>
      </c>
      <c r="N99" s="8">
        <f>IFERROR(VLOOKUP(B99,Petróleo!Z:AA,2,FALSE),"")</f>
        <v>8700</v>
      </c>
      <c r="O99" s="8">
        <f>IFERROR(VLOOKUP(B99,Petróleo!AB:AC,2,FALSE),"")</f>
        <v>2350</v>
      </c>
      <c r="P99" s="8">
        <f>IFERROR(VLOOKUP(B99,Petróleo!AD:AE,2,FALSE),"")</f>
        <v>3700</v>
      </c>
      <c r="Q99" s="8">
        <f>IFERROR(VLOOKUP(B99,Petróleo!AF:AG,2,FALSE),"")</f>
        <v>1700</v>
      </c>
      <c r="R99" s="8">
        <f>IFERROR(VLOOKUP(B99,Petróleo!AH:AI,2,FALSE),"")</f>
        <v>1470</v>
      </c>
      <c r="S99" s="8">
        <f>IFERROR(VLOOKUP(B99,Petróleo!AJ:AK,2,FALSE),"")</f>
        <v>2270</v>
      </c>
      <c r="T99" s="8">
        <f>IFERROR(VLOOKUP(B99,Petróleo!AL:AM,2,FALSE),"")</f>
        <v>3450</v>
      </c>
      <c r="U99" s="8">
        <f>IFERROR(VLOOKUP(B99,Petróleo!AN:AO,2,FALSE),"")</f>
        <v>2200</v>
      </c>
      <c r="V99" s="10" t="str">
        <f>IFERROR(VLOOKUP(A99,Petróleo!AR:AT,3,FALSE),"")</f>
        <v/>
      </c>
    </row>
    <row r="100" spans="1:22" x14ac:dyDescent="0.25">
      <c r="A100" s="9" t="str">
        <f t="shared" si="1"/>
        <v>31998</v>
      </c>
      <c r="B100" s="9">
        <v>35885</v>
      </c>
      <c r="C100" s="1">
        <f>IFERROR(VLOOKUP(B100,Petróleo!A:B,2,FALSE),"")</f>
        <v>6408</v>
      </c>
      <c r="D100" s="1">
        <f>IFERROR(VLOOKUP(B100,Estoque_US!D:E,2,FALSE),"")</f>
        <v>5085</v>
      </c>
      <c r="E100" s="1">
        <f>IFERROR(VLOOKUP(B100,Petróleo!F:G,2,FALSE),"")</f>
        <v>8460</v>
      </c>
      <c r="F100" s="1">
        <f>IFERROR(VLOOKUP(B100,Petróleo!H:I,2,FALSE),"")</f>
        <v>3635</v>
      </c>
      <c r="G100" s="1">
        <f>IFERROR(VLOOKUP(B100,Petróleo!J:K,2,FALSE),"")</f>
        <v>1825</v>
      </c>
      <c r="H100" s="1">
        <f>IFERROR(VLOOKUP(B100,Petróleo!L:M,2,FALSE),"")</f>
        <v>1463</v>
      </c>
      <c r="I100" s="1">
        <f>IFERROR(VLOOKUP(B100,Petróleo!N:O,2,FALSE),"")</f>
        <v>2380</v>
      </c>
      <c r="J100" s="1">
        <f>IFERROR(VLOOKUP(B100,Petróleo!P:Q,2,FALSE),"")</f>
        <v>5877</v>
      </c>
      <c r="K100" s="1">
        <f>IFERROR(VLOOKUP(B100,Petróleo!R:S,2,FALSE),"")</f>
        <v>3410</v>
      </c>
      <c r="L100" s="1">
        <f>IFERROR(VLOOKUP(B100,Petróleo!T:U,2,FALSE),"")</f>
        <v>3170</v>
      </c>
      <c r="M100" s="8">
        <f>IFERROR(VLOOKUP(B100,Petróleo!X:Y,2,FALSE),"")</f>
        <v>28820</v>
      </c>
      <c r="N100" s="8">
        <f>IFERROR(VLOOKUP(B100,Petróleo!Z:AA,2,FALSE),"")</f>
        <v>8620</v>
      </c>
      <c r="O100" s="8">
        <f>IFERROR(VLOOKUP(B100,Petróleo!AB:AC,2,FALSE),"")</f>
        <v>2400</v>
      </c>
      <c r="P100" s="8">
        <f>IFERROR(VLOOKUP(B100,Petróleo!AD:AE,2,FALSE),"")</f>
        <v>3600</v>
      </c>
      <c r="Q100" s="8">
        <f>IFERROR(VLOOKUP(B100,Petróleo!AF:AG,2,FALSE),"")</f>
        <v>1890</v>
      </c>
      <c r="R100" s="8">
        <f>IFERROR(VLOOKUP(B100,Petróleo!AH:AI,2,FALSE),"")</f>
        <v>1460</v>
      </c>
      <c r="S100" s="8">
        <f>IFERROR(VLOOKUP(B100,Petróleo!AJ:AK,2,FALSE),"")</f>
        <v>2280</v>
      </c>
      <c r="T100" s="8">
        <f>IFERROR(VLOOKUP(B100,Petróleo!AL:AM,2,FALSE),"")</f>
        <v>3400</v>
      </c>
      <c r="U100" s="8">
        <f>IFERROR(VLOOKUP(B100,Petróleo!AN:AO,2,FALSE),"")</f>
        <v>2200</v>
      </c>
      <c r="V100" s="10" t="str">
        <f>IFERROR(VLOOKUP(A100,Petróleo!AR:AT,3,FALSE),"")</f>
        <v/>
      </c>
    </row>
    <row r="101" spans="1:22" x14ac:dyDescent="0.25">
      <c r="A101" s="9" t="str">
        <f t="shared" si="1"/>
        <v>41998</v>
      </c>
      <c r="B101" s="9">
        <v>35915</v>
      </c>
      <c r="C101" s="1">
        <f>IFERROR(VLOOKUP(B101,Petróleo!A:B,2,FALSE),"")</f>
        <v>6483</v>
      </c>
      <c r="D101" s="1">
        <f>IFERROR(VLOOKUP(B101,Estoque_US!D:E,2,FALSE),"")</f>
        <v>12207</v>
      </c>
      <c r="E101" s="1">
        <f>IFERROR(VLOOKUP(B101,Petróleo!F:G,2,FALSE),"")</f>
        <v>8585</v>
      </c>
      <c r="F101" s="1">
        <f>IFERROR(VLOOKUP(B101,Petróleo!H:I,2,FALSE),"")</f>
        <v>3835</v>
      </c>
      <c r="G101" s="1">
        <f>IFERROR(VLOOKUP(B101,Petróleo!J:K,2,FALSE),"")</f>
        <v>1985</v>
      </c>
      <c r="H101" s="1">
        <f>IFERROR(VLOOKUP(B101,Petróleo!L:M,2,FALSE),"")</f>
        <v>1412</v>
      </c>
      <c r="I101" s="1">
        <f>IFERROR(VLOOKUP(B101,Petróleo!N:O,2,FALSE),"")</f>
        <v>2238</v>
      </c>
      <c r="J101" s="1">
        <f>IFERROR(VLOOKUP(B101,Petróleo!P:Q,2,FALSE),"")</f>
        <v>5792</v>
      </c>
      <c r="K101" s="1">
        <f>IFERROR(VLOOKUP(B101,Petróleo!R:S,2,FALSE),"")</f>
        <v>3240</v>
      </c>
      <c r="L101" s="1">
        <f>IFERROR(VLOOKUP(B101,Petróleo!T:U,2,FALSE),"")</f>
        <v>3140</v>
      </c>
      <c r="M101" s="8">
        <f>IFERROR(VLOOKUP(B101,Petróleo!X:Y,2,FALSE),"")</f>
        <v>28140</v>
      </c>
      <c r="N101" s="8">
        <f>IFERROR(VLOOKUP(B101,Petróleo!Z:AA,2,FALSE),"")</f>
        <v>8400</v>
      </c>
      <c r="O101" s="8">
        <f>IFERROR(VLOOKUP(B101,Petróleo!AB:AC,2,FALSE),"")</f>
        <v>2280</v>
      </c>
      <c r="P101" s="8">
        <f>IFERROR(VLOOKUP(B101,Petróleo!AD:AE,2,FALSE),"")</f>
        <v>3750</v>
      </c>
      <c r="Q101" s="8">
        <f>IFERROR(VLOOKUP(B101,Petróleo!AF:AG,2,FALSE),"")</f>
        <v>2040</v>
      </c>
      <c r="R101" s="8">
        <f>IFERROR(VLOOKUP(B101,Petróleo!AH:AI,2,FALSE),"")</f>
        <v>1380</v>
      </c>
      <c r="S101" s="8">
        <f>IFERROR(VLOOKUP(B101,Petróleo!AJ:AK,2,FALSE),"")</f>
        <v>2160</v>
      </c>
      <c r="T101" s="8">
        <f>IFERROR(VLOOKUP(B101,Petróleo!AL:AM,2,FALSE),"")</f>
        <v>3200</v>
      </c>
      <c r="U101" s="8">
        <f>IFERROR(VLOOKUP(B101,Petróleo!AN:AO,2,FALSE),"")</f>
        <v>2070</v>
      </c>
      <c r="V101" s="10" t="str">
        <f>IFERROR(VLOOKUP(A101,Petróleo!AR:AT,3,FALSE),"")</f>
        <v/>
      </c>
    </row>
    <row r="102" spans="1:22" x14ac:dyDescent="0.25">
      <c r="A102" s="9" t="str">
        <f t="shared" si="1"/>
        <v>51998</v>
      </c>
      <c r="B102" s="9">
        <v>35946</v>
      </c>
      <c r="C102" s="1">
        <f>IFERROR(VLOOKUP(B102,Petróleo!A:B,2,FALSE),"")</f>
        <v>6347</v>
      </c>
      <c r="D102" s="1">
        <f>IFERROR(VLOOKUP(B102,Estoque_US!D:E,2,FALSE),"")</f>
        <v>5226</v>
      </c>
      <c r="E102" s="1">
        <f>IFERROR(VLOOKUP(B102,Petróleo!F:G,2,FALSE),"")</f>
        <v>8625</v>
      </c>
      <c r="F102" s="1">
        <f>IFERROR(VLOOKUP(B102,Petróleo!H:I,2,FALSE),"")</f>
        <v>3635</v>
      </c>
      <c r="G102" s="1">
        <f>IFERROR(VLOOKUP(B102,Petróleo!J:K,2,FALSE),"")</f>
        <v>2245</v>
      </c>
      <c r="H102" s="1">
        <f>IFERROR(VLOOKUP(B102,Petróleo!L:M,2,FALSE),"")</f>
        <v>1372</v>
      </c>
      <c r="I102" s="1">
        <f>IFERROR(VLOOKUP(B102,Petróleo!N:O,2,FALSE),"")</f>
        <v>2230</v>
      </c>
      <c r="J102" s="1">
        <f>IFERROR(VLOOKUP(B102,Petróleo!P:Q,2,FALSE),"")</f>
        <v>5707</v>
      </c>
      <c r="K102" s="1">
        <f>IFERROR(VLOOKUP(B102,Petróleo!R:S,2,FALSE),"")</f>
        <v>3240</v>
      </c>
      <c r="L102" s="1">
        <f>IFERROR(VLOOKUP(B102,Petróleo!T:U,2,FALSE),"")</f>
        <v>3210</v>
      </c>
      <c r="M102" s="8">
        <f>IFERROR(VLOOKUP(B102,Petróleo!X:Y,2,FALSE),"")</f>
        <v>28120</v>
      </c>
      <c r="N102" s="8">
        <f>IFERROR(VLOOKUP(B102,Petróleo!Z:AA,2,FALSE),"")</f>
        <v>8440</v>
      </c>
      <c r="O102" s="8">
        <f>IFERROR(VLOOKUP(B102,Petróleo!AB:AC,2,FALSE),"")</f>
        <v>2260</v>
      </c>
      <c r="P102" s="8">
        <f>IFERROR(VLOOKUP(B102,Petróleo!AD:AE,2,FALSE),"")</f>
        <v>3610</v>
      </c>
      <c r="Q102" s="8">
        <f>IFERROR(VLOOKUP(B102,Petróleo!AF:AG,2,FALSE),"")</f>
        <v>2130</v>
      </c>
      <c r="R102" s="8">
        <f>IFERROR(VLOOKUP(B102,Petróleo!AH:AI,2,FALSE),"")</f>
        <v>1400</v>
      </c>
      <c r="S102" s="8">
        <f>IFERROR(VLOOKUP(B102,Petróleo!AJ:AK,2,FALSE),"")</f>
        <v>2150</v>
      </c>
      <c r="T102" s="8">
        <f>IFERROR(VLOOKUP(B102,Petróleo!AL:AM,2,FALSE),"")</f>
        <v>3200</v>
      </c>
      <c r="U102" s="8">
        <f>IFERROR(VLOOKUP(B102,Petróleo!AN:AO,2,FALSE),"")</f>
        <v>2090</v>
      </c>
      <c r="V102" s="10" t="str">
        <f>IFERROR(VLOOKUP(A102,Petróleo!AR:AT,3,FALSE),"")</f>
        <v/>
      </c>
    </row>
    <row r="103" spans="1:22" x14ac:dyDescent="0.25">
      <c r="A103" s="9" t="str">
        <f t="shared" si="1"/>
        <v>61998</v>
      </c>
      <c r="B103" s="9">
        <v>35976</v>
      </c>
      <c r="C103" s="1">
        <f>IFERROR(VLOOKUP(B103,Petróleo!A:B,2,FALSE),"")</f>
        <v>6267</v>
      </c>
      <c r="D103" s="1">
        <f>IFERROR(VLOOKUP(B103,Estoque_US!D:E,2,FALSE),"")</f>
        <v>-3840</v>
      </c>
      <c r="E103" s="1">
        <f>IFERROR(VLOOKUP(B103,Petróleo!F:G,2,FALSE),"")</f>
        <v>8325</v>
      </c>
      <c r="F103" s="1">
        <f>IFERROR(VLOOKUP(B103,Petróleo!H:I,2,FALSE),"")</f>
        <v>3835</v>
      </c>
      <c r="G103" s="1">
        <f>IFERROR(VLOOKUP(B103,Petróleo!J:K,2,FALSE),"")</f>
        <v>1920</v>
      </c>
      <c r="H103" s="1">
        <f>IFERROR(VLOOKUP(B103,Petróleo!L:M,2,FALSE),"")</f>
        <v>1372</v>
      </c>
      <c r="I103" s="1">
        <f>IFERROR(VLOOKUP(B103,Petróleo!N:O,2,FALSE),"")</f>
        <v>2210</v>
      </c>
      <c r="J103" s="1">
        <f>IFERROR(VLOOKUP(B103,Petróleo!P:Q,2,FALSE),"")</f>
        <v>5843</v>
      </c>
      <c r="K103" s="1">
        <f>IFERROR(VLOOKUP(B103,Petróleo!R:S,2,FALSE),"")</f>
        <v>3210</v>
      </c>
      <c r="L103" s="1">
        <f>IFERROR(VLOOKUP(B103,Petróleo!T:U,2,FALSE),"")</f>
        <v>3260</v>
      </c>
      <c r="M103" s="8">
        <f>IFERROR(VLOOKUP(B103,Petróleo!X:Y,2,FALSE),"")</f>
        <v>27930</v>
      </c>
      <c r="N103" s="8">
        <f>IFERROR(VLOOKUP(B103,Petróleo!Z:AA,2,FALSE),"")</f>
        <v>8440</v>
      </c>
      <c r="O103" s="8">
        <f>IFERROR(VLOOKUP(B103,Petróleo!AB:AC,2,FALSE),"")</f>
        <v>2260</v>
      </c>
      <c r="P103" s="8">
        <f>IFERROR(VLOOKUP(B103,Petróleo!AD:AE,2,FALSE),"")</f>
        <v>3690</v>
      </c>
      <c r="Q103" s="8">
        <f>IFERROR(VLOOKUP(B103,Petróleo!AF:AG,2,FALSE),"")</f>
        <v>1950</v>
      </c>
      <c r="R103" s="8">
        <f>IFERROR(VLOOKUP(B103,Petróleo!AH:AI,2,FALSE),"")</f>
        <v>1390</v>
      </c>
      <c r="S103" s="8">
        <f>IFERROR(VLOOKUP(B103,Petróleo!AJ:AK,2,FALSE),"")</f>
        <v>2150</v>
      </c>
      <c r="T103" s="8">
        <f>IFERROR(VLOOKUP(B103,Petróleo!AL:AM,2,FALSE),"")</f>
        <v>3140</v>
      </c>
      <c r="U103" s="8">
        <f>IFERROR(VLOOKUP(B103,Petróleo!AN:AO,2,FALSE),"")</f>
        <v>2080</v>
      </c>
      <c r="V103" s="10" t="str">
        <f>IFERROR(VLOOKUP(A103,Petróleo!AR:AT,3,FALSE),"")</f>
        <v/>
      </c>
    </row>
    <row r="104" spans="1:22" x14ac:dyDescent="0.25">
      <c r="A104" s="9" t="str">
        <f t="shared" si="1"/>
        <v>71998</v>
      </c>
      <c r="B104" s="9">
        <v>36007</v>
      </c>
      <c r="C104" s="1">
        <f>IFERROR(VLOOKUP(B104,Petróleo!A:B,2,FALSE),"")</f>
        <v>6194</v>
      </c>
      <c r="D104" s="1">
        <f>IFERROR(VLOOKUP(B104,Estoque_US!D:E,2,FALSE),"")</f>
        <v>531</v>
      </c>
      <c r="E104" s="1">
        <f>IFERROR(VLOOKUP(B104,Petróleo!F:G,2,FALSE),"")</f>
        <v>8275</v>
      </c>
      <c r="F104" s="1">
        <f>IFERROR(VLOOKUP(B104,Petróleo!H:I,2,FALSE),"")</f>
        <v>3585</v>
      </c>
      <c r="G104" s="1">
        <f>IFERROR(VLOOKUP(B104,Petróleo!J:K,2,FALSE),"")</f>
        <v>2355</v>
      </c>
      <c r="H104" s="1">
        <f>IFERROR(VLOOKUP(B104,Petróleo!L:M,2,FALSE),"")</f>
        <v>1372</v>
      </c>
      <c r="I104" s="1">
        <f>IFERROR(VLOOKUP(B104,Petróleo!N:O,2,FALSE),"")</f>
        <v>2160</v>
      </c>
      <c r="J104" s="1">
        <f>IFERROR(VLOOKUP(B104,Petróleo!P:Q,2,FALSE),"")</f>
        <v>5839</v>
      </c>
      <c r="K104" s="1">
        <f>IFERROR(VLOOKUP(B104,Petróleo!R:S,2,FALSE),"")</f>
        <v>3070</v>
      </c>
      <c r="L104" s="1">
        <f>IFERROR(VLOOKUP(B104,Petróleo!T:U,2,FALSE),"")</f>
        <v>3200</v>
      </c>
      <c r="M104" s="8">
        <f>IFERROR(VLOOKUP(B104,Petróleo!X:Y,2,FALSE),"")</f>
        <v>27550</v>
      </c>
      <c r="N104" s="8">
        <f>IFERROR(VLOOKUP(B104,Petróleo!Z:AA,2,FALSE),"")</f>
        <v>8200</v>
      </c>
      <c r="O104" s="8">
        <f>IFERROR(VLOOKUP(B104,Petróleo!AB:AC,2,FALSE),"")</f>
        <v>2220</v>
      </c>
      <c r="P104" s="8">
        <f>IFERROR(VLOOKUP(B104,Petróleo!AD:AE,2,FALSE),"")</f>
        <v>3550</v>
      </c>
      <c r="Q104" s="8">
        <f>IFERROR(VLOOKUP(B104,Petróleo!AF:AG,2,FALSE),"")</f>
        <v>2270</v>
      </c>
      <c r="R104" s="8">
        <f>IFERROR(VLOOKUP(B104,Petróleo!AH:AI,2,FALSE),"")</f>
        <v>1340</v>
      </c>
      <c r="S104" s="8">
        <f>IFERROR(VLOOKUP(B104,Petróleo!AJ:AK,2,FALSE),"")</f>
        <v>2100</v>
      </c>
      <c r="T104" s="8">
        <f>IFERROR(VLOOKUP(B104,Petróleo!AL:AM,2,FALSE),"")</f>
        <v>3020</v>
      </c>
      <c r="U104" s="8">
        <f>IFERROR(VLOOKUP(B104,Petróleo!AN:AO,2,FALSE),"")</f>
        <v>2040</v>
      </c>
      <c r="V104" s="10" t="str">
        <f>IFERROR(VLOOKUP(A104,Petróleo!AR:AT,3,FALSE),"")</f>
        <v/>
      </c>
    </row>
    <row r="105" spans="1:22" x14ac:dyDescent="0.25">
      <c r="A105" s="9" t="str">
        <f t="shared" si="1"/>
        <v>81998</v>
      </c>
      <c r="B105" s="9">
        <v>36038</v>
      </c>
      <c r="C105" s="1">
        <f>IFERROR(VLOOKUP(B105,Petróleo!A:B,2,FALSE),"")</f>
        <v>6203</v>
      </c>
      <c r="D105" s="1">
        <f>IFERROR(VLOOKUP(B105,Estoque_US!D:E,2,FALSE),"")</f>
        <v>-6766</v>
      </c>
      <c r="E105" s="1">
        <f>IFERROR(VLOOKUP(B105,Petróleo!F:G,2,FALSE),"")</f>
        <v>8225</v>
      </c>
      <c r="F105" s="1">
        <f>IFERROR(VLOOKUP(B105,Petróleo!H:I,2,FALSE),"")</f>
        <v>3435</v>
      </c>
      <c r="G105" s="1">
        <f>IFERROR(VLOOKUP(B105,Petróleo!J:K,2,FALSE),"")</f>
        <v>2555</v>
      </c>
      <c r="H105" s="1">
        <f>IFERROR(VLOOKUP(B105,Petróleo!L:M,2,FALSE),"")</f>
        <v>1352</v>
      </c>
      <c r="I105" s="1">
        <f>IFERROR(VLOOKUP(B105,Petróleo!N:O,2,FALSE),"")</f>
        <v>2010</v>
      </c>
      <c r="J105" s="1">
        <f>IFERROR(VLOOKUP(B105,Petróleo!P:Q,2,FALSE),"")</f>
        <v>5826</v>
      </c>
      <c r="K105" s="1">
        <f>IFERROR(VLOOKUP(B105,Petróleo!R:S,2,FALSE),"")</f>
        <v>2990</v>
      </c>
      <c r="L105" s="1">
        <f>IFERROR(VLOOKUP(B105,Petróleo!T:U,2,FALSE),"")</f>
        <v>3180</v>
      </c>
      <c r="M105" s="8">
        <f>IFERROR(VLOOKUP(B105,Petróleo!X:Y,2,FALSE),"")</f>
        <v>27170</v>
      </c>
      <c r="N105" s="8">
        <f>IFERROR(VLOOKUP(B105,Petróleo!Z:AA,2,FALSE),"")</f>
        <v>8110</v>
      </c>
      <c r="O105" s="8">
        <f>IFERROR(VLOOKUP(B105,Petróleo!AB:AC,2,FALSE),"")</f>
        <v>2180</v>
      </c>
      <c r="P105" s="8">
        <f>IFERROR(VLOOKUP(B105,Petróleo!AD:AE,2,FALSE),"")</f>
        <v>3440</v>
      </c>
      <c r="Q105" s="8">
        <f>IFERROR(VLOOKUP(B105,Petróleo!AF:AG,2,FALSE),"")</f>
        <v>2400</v>
      </c>
      <c r="R105" s="8">
        <f>IFERROR(VLOOKUP(B105,Petróleo!AH:AI,2,FALSE),"")</f>
        <v>1340</v>
      </c>
      <c r="S105" s="8">
        <f>IFERROR(VLOOKUP(B105,Petróleo!AJ:AK,2,FALSE),"")</f>
        <v>1930</v>
      </c>
      <c r="T105" s="8">
        <f>IFERROR(VLOOKUP(B105,Petróleo!AL:AM,2,FALSE),"")</f>
        <v>2960</v>
      </c>
      <c r="U105" s="8">
        <f>IFERROR(VLOOKUP(B105,Petróleo!AN:AO,2,FALSE),"")</f>
        <v>2030</v>
      </c>
      <c r="V105" s="10" t="str">
        <f>IFERROR(VLOOKUP(A105,Petróleo!AR:AT,3,FALSE),"")</f>
        <v/>
      </c>
    </row>
    <row r="106" spans="1:22" x14ac:dyDescent="0.25">
      <c r="A106" s="9" t="str">
        <f t="shared" si="1"/>
        <v>91998</v>
      </c>
      <c r="B106" s="9">
        <v>36068</v>
      </c>
      <c r="C106" s="1">
        <f>IFERROR(VLOOKUP(B106,Petróleo!A:B,2,FALSE),"")</f>
        <v>5789</v>
      </c>
      <c r="D106" s="1">
        <f>IFERROR(VLOOKUP(B106,Estoque_US!D:E,2,FALSE),"")</f>
        <v>-17578</v>
      </c>
      <c r="E106" s="1">
        <f>IFERROR(VLOOKUP(B106,Petróleo!F:G,2,FALSE),"")</f>
        <v>8173</v>
      </c>
      <c r="F106" s="1">
        <f>IFERROR(VLOOKUP(B106,Petróleo!H:I,2,FALSE),"")</f>
        <v>3685</v>
      </c>
      <c r="G106" s="1">
        <f>IFERROR(VLOOKUP(B106,Petróleo!J:K,2,FALSE),"")</f>
        <v>2555</v>
      </c>
      <c r="H106" s="1">
        <f>IFERROR(VLOOKUP(B106,Petróleo!L:M,2,FALSE),"")</f>
        <v>1347</v>
      </c>
      <c r="I106" s="1">
        <f>IFERROR(VLOOKUP(B106,Petróleo!N:O,2,FALSE),"")</f>
        <v>2010</v>
      </c>
      <c r="J106" s="1">
        <f>IFERROR(VLOOKUP(B106,Petróleo!P:Q,2,FALSE),"")</f>
        <v>5852</v>
      </c>
      <c r="K106" s="1">
        <f>IFERROR(VLOOKUP(B106,Petróleo!R:S,2,FALSE),"")</f>
        <v>2940</v>
      </c>
      <c r="L106" s="1">
        <f>IFERROR(VLOOKUP(B106,Petróleo!T:U,2,FALSE),"")</f>
        <v>3216</v>
      </c>
      <c r="M106" s="8">
        <f>IFERROR(VLOOKUP(B106,Petróleo!X:Y,2,FALSE),"")</f>
        <v>26870</v>
      </c>
      <c r="N106" s="8">
        <f>IFERROR(VLOOKUP(B106,Petróleo!Z:AA,2,FALSE),"")</f>
        <v>7950</v>
      </c>
      <c r="O106" s="8">
        <f>IFERROR(VLOOKUP(B106,Petróleo!AB:AC,2,FALSE),"")</f>
        <v>2160</v>
      </c>
      <c r="P106" s="8">
        <f>IFERROR(VLOOKUP(B106,Petróleo!AD:AE,2,FALSE),"")</f>
        <v>3500</v>
      </c>
      <c r="Q106" s="8">
        <f>IFERROR(VLOOKUP(B106,Petróleo!AF:AG,2,FALSE),"")</f>
        <v>2300</v>
      </c>
      <c r="R106" s="8">
        <f>IFERROR(VLOOKUP(B106,Petróleo!AH:AI,2,FALSE),"")</f>
        <v>1340</v>
      </c>
      <c r="S106" s="8">
        <f>IFERROR(VLOOKUP(B106,Petróleo!AJ:AK,2,FALSE),"")</f>
        <v>1980</v>
      </c>
      <c r="T106" s="8">
        <f>IFERROR(VLOOKUP(B106,Petróleo!AL:AM,2,FALSE),"")</f>
        <v>2920</v>
      </c>
      <c r="U106" s="8">
        <f>IFERROR(VLOOKUP(B106,Petróleo!AN:AO,2,FALSE),"")</f>
        <v>1980</v>
      </c>
      <c r="V106" s="10" t="str">
        <f>IFERROR(VLOOKUP(A106,Petróleo!AR:AT,3,FALSE),"")</f>
        <v/>
      </c>
    </row>
    <row r="107" spans="1:22" x14ac:dyDescent="0.25">
      <c r="A107" s="9" t="str">
        <f t="shared" si="1"/>
        <v>101998</v>
      </c>
      <c r="B107" s="9">
        <v>36099</v>
      </c>
      <c r="C107" s="1">
        <f>IFERROR(VLOOKUP(B107,Petróleo!A:B,2,FALSE),"")</f>
        <v>6143</v>
      </c>
      <c r="D107" s="1">
        <f>IFERROR(VLOOKUP(B107,Estoque_US!D:E,2,FALSE),"")</f>
        <v>20556</v>
      </c>
      <c r="E107" s="1">
        <f>IFERROR(VLOOKUP(B107,Petróleo!F:G,2,FALSE),"")</f>
        <v>8220</v>
      </c>
      <c r="F107" s="1">
        <f>IFERROR(VLOOKUP(B107,Petróleo!H:I,2,FALSE),"")</f>
        <v>3485</v>
      </c>
      <c r="G107" s="1">
        <f>IFERROR(VLOOKUP(B107,Petróleo!J:K,2,FALSE),"")</f>
        <v>2555</v>
      </c>
      <c r="H107" s="1">
        <f>IFERROR(VLOOKUP(B107,Petróleo!L:M,2,FALSE),"")</f>
        <v>1347</v>
      </c>
      <c r="I107" s="1">
        <f>IFERROR(VLOOKUP(B107,Petróleo!N:O,2,FALSE),"")</f>
        <v>1960</v>
      </c>
      <c r="J107" s="1">
        <f>IFERROR(VLOOKUP(B107,Petróleo!P:Q,2,FALSE),"")</f>
        <v>5894</v>
      </c>
      <c r="K107" s="1">
        <f>IFERROR(VLOOKUP(B107,Petróleo!R:S,2,FALSE),"")</f>
        <v>2990</v>
      </c>
      <c r="L107" s="1">
        <f>IFERROR(VLOOKUP(B107,Petróleo!T:U,2,FALSE),"")</f>
        <v>3150</v>
      </c>
      <c r="M107" s="8">
        <f>IFERROR(VLOOKUP(B107,Petróleo!X:Y,2,FALSE),"")</f>
        <v>26880</v>
      </c>
      <c r="N107" s="8">
        <f>IFERROR(VLOOKUP(B107,Petróleo!Z:AA,2,FALSE),"")</f>
        <v>8050</v>
      </c>
      <c r="O107" s="8">
        <f>IFERROR(VLOOKUP(B107,Petróleo!AB:AC,2,FALSE),"")</f>
        <v>2160</v>
      </c>
      <c r="P107" s="8">
        <f>IFERROR(VLOOKUP(B107,Petróleo!AD:AE,2,FALSE),"")</f>
        <v>3450</v>
      </c>
      <c r="Q107" s="8">
        <f>IFERROR(VLOOKUP(B107,Petróleo!AF:AG,2,FALSE),"")</f>
        <v>2350</v>
      </c>
      <c r="R107" s="8">
        <f>IFERROR(VLOOKUP(B107,Petróleo!AH:AI,2,FALSE),"")</f>
        <v>1350</v>
      </c>
      <c r="S107" s="8">
        <f>IFERROR(VLOOKUP(B107,Petróleo!AJ:AK,2,FALSE),"")</f>
        <v>1880</v>
      </c>
      <c r="T107" s="8">
        <f>IFERROR(VLOOKUP(B107,Petróleo!AL:AM,2,FALSE),"")</f>
        <v>2910</v>
      </c>
      <c r="U107" s="8">
        <f>IFERROR(VLOOKUP(B107,Petróleo!AN:AO,2,FALSE),"")</f>
        <v>1950</v>
      </c>
      <c r="V107" s="10" t="str">
        <f>IFERROR(VLOOKUP(A107,Petróleo!AR:AT,3,FALSE),"")</f>
        <v/>
      </c>
    </row>
    <row r="108" spans="1:22" x14ac:dyDescent="0.25">
      <c r="A108" s="9" t="str">
        <f t="shared" si="1"/>
        <v>111998</v>
      </c>
      <c r="B108" s="9">
        <v>36129</v>
      </c>
      <c r="C108" s="1">
        <f>IFERROR(VLOOKUP(B108,Petróleo!A:B,2,FALSE),"")</f>
        <v>6140</v>
      </c>
      <c r="D108" s="1">
        <f>IFERROR(VLOOKUP(B108,Estoque_US!D:E,2,FALSE),"")</f>
        <v>-3771</v>
      </c>
      <c r="E108" s="1">
        <f>IFERROR(VLOOKUP(B108,Petróleo!F:G,2,FALSE),"")</f>
        <v>8170</v>
      </c>
      <c r="F108" s="1">
        <f>IFERROR(VLOOKUP(B108,Petróleo!H:I,2,FALSE),"")</f>
        <v>3635</v>
      </c>
      <c r="G108" s="1">
        <f>IFERROR(VLOOKUP(B108,Petróleo!J:K,2,FALSE),"")</f>
        <v>2505</v>
      </c>
      <c r="H108" s="1">
        <f>IFERROR(VLOOKUP(B108,Petróleo!L:M,2,FALSE),"")</f>
        <v>1362</v>
      </c>
      <c r="I108" s="1">
        <f>IFERROR(VLOOKUP(B108,Petróleo!N:O,2,FALSE),"")</f>
        <v>2060</v>
      </c>
      <c r="J108" s="1">
        <f>IFERROR(VLOOKUP(B108,Petróleo!P:Q,2,FALSE),"")</f>
        <v>5860</v>
      </c>
      <c r="K108" s="1">
        <f>IFERROR(VLOOKUP(B108,Petróleo!R:S,2,FALSE),"")</f>
        <v>3040</v>
      </c>
      <c r="L108" s="1">
        <f>IFERROR(VLOOKUP(B108,Petróleo!T:U,2,FALSE),"")</f>
        <v>3240</v>
      </c>
      <c r="M108" s="8">
        <f>IFERROR(VLOOKUP(B108,Petróleo!X:Y,2,FALSE),"")</f>
        <v>27420</v>
      </c>
      <c r="N108" s="8">
        <f>IFERROR(VLOOKUP(B108,Petróleo!Z:AA,2,FALSE),"")</f>
        <v>8080</v>
      </c>
      <c r="O108" s="8">
        <f>IFERROR(VLOOKUP(B108,Petróleo!AB:AC,2,FALSE),"")</f>
        <v>2160</v>
      </c>
      <c r="P108" s="8">
        <f>IFERROR(VLOOKUP(B108,Petróleo!AD:AE,2,FALSE),"")</f>
        <v>3560</v>
      </c>
      <c r="Q108" s="8">
        <f>IFERROR(VLOOKUP(B108,Petróleo!AF:AG,2,FALSE),"")</f>
        <v>2420</v>
      </c>
      <c r="R108" s="8">
        <f>IFERROR(VLOOKUP(B108,Petróleo!AH:AI,2,FALSE),"")</f>
        <v>1360</v>
      </c>
      <c r="S108" s="8">
        <f>IFERROR(VLOOKUP(B108,Petróleo!AJ:AK,2,FALSE),"")</f>
        <v>2010</v>
      </c>
      <c r="T108" s="8">
        <f>IFERROR(VLOOKUP(B108,Petróleo!AL:AM,2,FALSE),"")</f>
        <v>3060</v>
      </c>
      <c r="U108" s="8">
        <f>IFERROR(VLOOKUP(B108,Petróleo!AN:AO,2,FALSE),"")</f>
        <v>1980</v>
      </c>
      <c r="V108" s="10" t="str">
        <f>IFERROR(VLOOKUP(A108,Petróleo!AR:AT,3,FALSE),"")</f>
        <v/>
      </c>
    </row>
    <row r="109" spans="1:22" x14ac:dyDescent="0.25">
      <c r="A109" s="9" t="str">
        <f t="shared" si="1"/>
        <v>121998</v>
      </c>
      <c r="B109" s="9">
        <v>36160</v>
      </c>
      <c r="C109" s="1">
        <f>IFERROR(VLOOKUP(B109,Petróleo!A:B,2,FALSE),"")</f>
        <v>6043</v>
      </c>
      <c r="D109" s="1">
        <f>IFERROR(VLOOKUP(B109,Estoque_US!D:E,2,FALSE),"")</f>
        <v>807</v>
      </c>
      <c r="E109" s="1">
        <f>IFERROR(VLOOKUP(B109,Petróleo!F:G,2,FALSE),"")</f>
        <v>8110</v>
      </c>
      <c r="F109" s="1">
        <f>IFERROR(VLOOKUP(B109,Petróleo!H:I,2,FALSE),"")</f>
        <v>3585</v>
      </c>
      <c r="G109" s="1">
        <f>IFERROR(VLOOKUP(B109,Petróleo!J:K,2,FALSE),"")</f>
        <v>2305</v>
      </c>
      <c r="H109" s="1">
        <f>IFERROR(VLOOKUP(B109,Petróleo!L:M,2,FALSE),"")</f>
        <v>1362</v>
      </c>
      <c r="I109" s="1">
        <f>IFERROR(VLOOKUP(B109,Petróleo!N:O,2,FALSE),"")</f>
        <v>2110</v>
      </c>
      <c r="J109" s="1">
        <f>IFERROR(VLOOKUP(B109,Petróleo!P:Q,2,FALSE),"")</f>
        <v>5954</v>
      </c>
      <c r="K109" s="1">
        <f>IFERROR(VLOOKUP(B109,Petróleo!R:S,2,FALSE),"")</f>
        <v>3040</v>
      </c>
      <c r="L109" s="1">
        <f>IFERROR(VLOOKUP(B109,Petróleo!T:U,2,FALSE),"")</f>
        <v>3215</v>
      </c>
      <c r="M109" s="8">
        <f>IFERROR(VLOOKUP(B109,Petróleo!X:Y,2,FALSE),"")</f>
        <v>27330</v>
      </c>
      <c r="N109" s="8">
        <f>IFERROR(VLOOKUP(B109,Petróleo!Z:AA,2,FALSE),"")</f>
        <v>8080</v>
      </c>
      <c r="O109" s="8">
        <f>IFERROR(VLOOKUP(B109,Petróleo!AB:AC,2,FALSE),"")</f>
        <v>2170</v>
      </c>
      <c r="P109" s="8">
        <f>IFERROR(VLOOKUP(B109,Petróleo!AD:AE,2,FALSE),"")</f>
        <v>3550</v>
      </c>
      <c r="Q109" s="8">
        <f>IFERROR(VLOOKUP(B109,Petróleo!AF:AG,2,FALSE),"")</f>
        <v>2380</v>
      </c>
      <c r="R109" s="8">
        <f>IFERROR(VLOOKUP(B109,Petróleo!AH:AI,2,FALSE),"")</f>
        <v>1360</v>
      </c>
      <c r="S109" s="8">
        <f>IFERROR(VLOOKUP(B109,Petróleo!AJ:AK,2,FALSE),"")</f>
        <v>2020</v>
      </c>
      <c r="T109" s="8">
        <f>IFERROR(VLOOKUP(B109,Petróleo!AL:AM,2,FALSE),"")</f>
        <v>3000</v>
      </c>
      <c r="U109" s="8">
        <f>IFERROR(VLOOKUP(B109,Petróleo!AN:AO,2,FALSE),"")</f>
        <v>1980</v>
      </c>
      <c r="V109" s="10" t="str">
        <f>IFERROR(VLOOKUP(A109,Petróleo!AR:AT,3,FALSE),"")</f>
        <v/>
      </c>
    </row>
    <row r="110" spans="1:22" x14ac:dyDescent="0.25">
      <c r="A110" s="9" t="str">
        <f t="shared" si="1"/>
        <v>11999</v>
      </c>
      <c r="B110" s="9">
        <v>36191</v>
      </c>
      <c r="C110" s="1">
        <f>IFERROR(VLOOKUP(B110,Petróleo!A:B,2,FALSE),"")</f>
        <v>5963</v>
      </c>
      <c r="D110" s="1">
        <f>IFERROR(VLOOKUP(B110,Estoque_US!D:E,2,FALSE),"")</f>
        <v>-4220</v>
      </c>
      <c r="E110" s="1">
        <f>IFERROR(VLOOKUP(B110,Petróleo!F:G,2,FALSE),"")</f>
        <v>8065</v>
      </c>
      <c r="F110" s="1">
        <f>IFERROR(VLOOKUP(B110,Petróleo!H:I,2,FALSE),"")</f>
        <v>3665</v>
      </c>
      <c r="G110" s="1">
        <f>IFERROR(VLOOKUP(B110,Petróleo!J:K,2,FALSE),"")</f>
        <v>2515</v>
      </c>
      <c r="H110" s="1">
        <f>IFERROR(VLOOKUP(B110,Petróleo!L:M,2,FALSE),"")</f>
        <v>1360</v>
      </c>
      <c r="I110" s="1">
        <f>IFERROR(VLOOKUP(B110,Petróleo!N:O,2,FALSE),"")</f>
        <v>2080</v>
      </c>
      <c r="J110" s="1">
        <f>IFERROR(VLOOKUP(B110,Petróleo!P:Q,2,FALSE),"")</f>
        <v>5962</v>
      </c>
      <c r="K110" s="1">
        <f>IFERROR(VLOOKUP(B110,Petróleo!R:S,2,FALSE),"")</f>
        <v>3019</v>
      </c>
      <c r="L110" s="1">
        <f>IFERROR(VLOOKUP(B110,Petróleo!T:U,2,FALSE),"")</f>
        <v>3219</v>
      </c>
      <c r="M110" s="8">
        <f>IFERROR(VLOOKUP(B110,Petróleo!X:Y,2,FALSE),"")</f>
        <v>26050</v>
      </c>
      <c r="N110" s="8">
        <f>IFERROR(VLOOKUP(B110,Petróleo!Z:AA,2,FALSE),"")</f>
        <v>7700</v>
      </c>
      <c r="O110" s="8">
        <f>IFERROR(VLOOKUP(B110,Petróleo!AB:AC,2,FALSE),"")</f>
        <v>2080</v>
      </c>
      <c r="P110" s="8">
        <f>IFERROR(VLOOKUP(B110,Petróleo!AD:AE,2,FALSE),"")</f>
        <v>3450</v>
      </c>
      <c r="Q110" s="8">
        <f>IFERROR(VLOOKUP(B110,Petróleo!AF:AG,2,FALSE),"")</f>
        <v>2180</v>
      </c>
      <c r="R110" s="8">
        <f>IFERROR(VLOOKUP(B110,Petróleo!AH:AI,2,FALSE),"")</f>
        <v>1360</v>
      </c>
      <c r="S110" s="8">
        <f>IFERROR(VLOOKUP(B110,Petróleo!AJ:AK,2,FALSE),"")</f>
        <v>1920</v>
      </c>
      <c r="T110" s="8">
        <f>IFERROR(VLOOKUP(B110,Petróleo!AL:AM,2,FALSE),"")</f>
        <v>2780</v>
      </c>
      <c r="U110" s="8">
        <f>IFERROR(VLOOKUP(B110,Petróleo!AN:AO,2,FALSE),"")</f>
        <v>1900</v>
      </c>
      <c r="V110" s="10" t="str">
        <f>IFERROR(VLOOKUP(A110,Petróleo!AR:AT,3,FALSE),"")</f>
        <v/>
      </c>
    </row>
    <row r="111" spans="1:22" x14ac:dyDescent="0.25">
      <c r="A111" s="9" t="str">
        <f t="shared" si="1"/>
        <v>21999</v>
      </c>
      <c r="B111" s="9">
        <v>36219</v>
      </c>
      <c r="C111" s="1">
        <f>IFERROR(VLOOKUP(B111,Petróleo!A:B,2,FALSE),"")</f>
        <v>5966</v>
      </c>
      <c r="D111" s="1">
        <f>IFERROR(VLOOKUP(B111,Estoque_US!D:E,2,FALSE),"")</f>
        <v>-1287</v>
      </c>
      <c r="E111" s="1">
        <f>IFERROR(VLOOKUP(B111,Petróleo!F:G,2,FALSE),"")</f>
        <v>8165</v>
      </c>
      <c r="F111" s="1">
        <f>IFERROR(VLOOKUP(B111,Petróleo!H:I,2,FALSE),"")</f>
        <v>3925</v>
      </c>
      <c r="G111" s="1">
        <f>IFERROR(VLOOKUP(B111,Petróleo!J:K,2,FALSE),"")</f>
        <v>2655</v>
      </c>
      <c r="H111" s="1">
        <f>IFERROR(VLOOKUP(B111,Petróleo!L:M,2,FALSE),"")</f>
        <v>1360</v>
      </c>
      <c r="I111" s="1">
        <f>IFERROR(VLOOKUP(B111,Petróleo!N:O,2,FALSE),"")</f>
        <v>2010</v>
      </c>
      <c r="J111" s="1">
        <f>IFERROR(VLOOKUP(B111,Petróleo!P:Q,2,FALSE),"")</f>
        <v>5897</v>
      </c>
      <c r="K111" s="1">
        <f>IFERROR(VLOOKUP(B111,Petróleo!R:S,2,FALSE),"")</f>
        <v>2999</v>
      </c>
      <c r="L111" s="1">
        <f>IFERROR(VLOOKUP(B111,Petróleo!T:U,2,FALSE),"")</f>
        <v>3224</v>
      </c>
      <c r="M111" s="8">
        <f>IFERROR(VLOOKUP(B111,Petróleo!X:Y,2,FALSE),"")</f>
        <v>27750</v>
      </c>
      <c r="N111" s="8">
        <f>IFERROR(VLOOKUP(B111,Petróleo!Z:AA,2,FALSE),"")</f>
        <v>8110</v>
      </c>
      <c r="O111" s="8">
        <f>IFERROR(VLOOKUP(B111,Petróleo!AB:AC,2,FALSE),"")</f>
        <v>2160</v>
      </c>
      <c r="P111" s="8">
        <f>IFERROR(VLOOKUP(B111,Petróleo!AD:AE,2,FALSE),"")</f>
        <v>3810</v>
      </c>
      <c r="Q111" s="8">
        <f>IFERROR(VLOOKUP(B111,Petróleo!AF:AG,2,FALSE),"")</f>
        <v>2600</v>
      </c>
      <c r="R111" s="8">
        <f>IFERROR(VLOOKUP(B111,Petróleo!AH:AI,2,FALSE),"")</f>
        <v>1350</v>
      </c>
      <c r="S111" s="8">
        <f>IFERROR(VLOOKUP(B111,Petróleo!AJ:AK,2,FALSE),"")</f>
        <v>2040</v>
      </c>
      <c r="T111" s="8">
        <f>IFERROR(VLOOKUP(B111,Petróleo!AL:AM,2,FALSE),"")</f>
        <v>2900</v>
      </c>
      <c r="U111" s="8">
        <f>IFERROR(VLOOKUP(B111,Petróleo!AN:AO,2,FALSE),"")</f>
        <v>1990</v>
      </c>
      <c r="V111" s="10" t="str">
        <f>IFERROR(VLOOKUP(A111,Petróleo!AR:AT,3,FALSE),"")</f>
        <v/>
      </c>
    </row>
    <row r="112" spans="1:22" x14ac:dyDescent="0.25">
      <c r="A112" s="9" t="str">
        <f t="shared" si="1"/>
        <v>31999</v>
      </c>
      <c r="B112" s="9">
        <v>36250</v>
      </c>
      <c r="C112" s="1">
        <f>IFERROR(VLOOKUP(B112,Petróleo!A:B,2,FALSE),"")</f>
        <v>5883</v>
      </c>
      <c r="D112" s="1">
        <f>IFERROR(VLOOKUP(B112,Estoque_US!D:E,2,FALSE),"")</f>
        <v>13093</v>
      </c>
      <c r="E112" s="1">
        <f>IFERROR(VLOOKUP(B112,Petróleo!F:G,2,FALSE),"")</f>
        <v>8220</v>
      </c>
      <c r="F112" s="1">
        <f>IFERROR(VLOOKUP(B112,Petróleo!H:I,2,FALSE),"")</f>
        <v>3795</v>
      </c>
      <c r="G112" s="1">
        <f>IFERROR(VLOOKUP(B112,Petróleo!J:K,2,FALSE),"")</f>
        <v>2430</v>
      </c>
      <c r="H112" s="1">
        <f>IFERROR(VLOOKUP(B112,Petróleo!L:M,2,FALSE),"")</f>
        <v>1360</v>
      </c>
      <c r="I112" s="1">
        <f>IFERROR(VLOOKUP(B112,Petróleo!N:O,2,FALSE),"")</f>
        <v>2160</v>
      </c>
      <c r="J112" s="1">
        <f>IFERROR(VLOOKUP(B112,Petróleo!P:Q,2,FALSE),"")</f>
        <v>6024</v>
      </c>
      <c r="K112" s="1">
        <f>IFERROR(VLOOKUP(B112,Petróleo!R:S,2,FALSE),"")</f>
        <v>2960</v>
      </c>
      <c r="L112" s="1">
        <f>IFERROR(VLOOKUP(B112,Petróleo!T:U,2,FALSE),"")</f>
        <v>3204</v>
      </c>
      <c r="M112" s="8">
        <f>IFERROR(VLOOKUP(B112,Petróleo!X:Y,2,FALSE),"")</f>
        <v>27740</v>
      </c>
      <c r="N112" s="8">
        <f>IFERROR(VLOOKUP(B112,Petróleo!Z:AA,2,FALSE),"")</f>
        <v>8160</v>
      </c>
      <c r="O112" s="8">
        <f>IFERROR(VLOOKUP(B112,Petróleo!AB:AC,2,FALSE),"")</f>
        <v>2160</v>
      </c>
      <c r="P112" s="8">
        <f>IFERROR(VLOOKUP(B112,Petróleo!AD:AE,2,FALSE),"")</f>
        <v>3710</v>
      </c>
      <c r="Q112" s="8">
        <f>IFERROR(VLOOKUP(B112,Petróleo!AF:AG,2,FALSE),"")</f>
        <v>2640</v>
      </c>
      <c r="R112" s="8">
        <f>IFERROR(VLOOKUP(B112,Petróleo!AH:AI,2,FALSE),"")</f>
        <v>1350</v>
      </c>
      <c r="S112" s="8">
        <f>IFERROR(VLOOKUP(B112,Petróleo!AJ:AK,2,FALSE),"")</f>
        <v>2050</v>
      </c>
      <c r="T112" s="8">
        <f>IFERROR(VLOOKUP(B112,Petróleo!AL:AM,2,FALSE),"")</f>
        <v>2880</v>
      </c>
      <c r="U112" s="8">
        <f>IFERROR(VLOOKUP(B112,Petróleo!AN:AO,2,FALSE),"")</f>
        <v>1980</v>
      </c>
      <c r="V112" s="10" t="str">
        <f>IFERROR(VLOOKUP(A112,Petróleo!AR:AT,3,FALSE),"")</f>
        <v/>
      </c>
    </row>
    <row r="113" spans="1:22" x14ac:dyDescent="0.25">
      <c r="A113" s="9" t="str">
        <f t="shared" si="1"/>
        <v>41999</v>
      </c>
      <c r="B113" s="9">
        <v>36280</v>
      </c>
      <c r="C113" s="1">
        <f>IFERROR(VLOOKUP(B113,Petróleo!A:B,2,FALSE),"")</f>
        <v>5887</v>
      </c>
      <c r="D113" s="1">
        <f>IFERROR(VLOOKUP(B113,Estoque_US!D:E,2,FALSE),"")</f>
        <v>-8369</v>
      </c>
      <c r="E113" s="1">
        <f>IFERROR(VLOOKUP(B113,Petróleo!F:G,2,FALSE),"")</f>
        <v>7665</v>
      </c>
      <c r="F113" s="1">
        <f>IFERROR(VLOOKUP(B113,Petróleo!H:I,2,FALSE),"")</f>
        <v>3485</v>
      </c>
      <c r="G113" s="1">
        <f>IFERROR(VLOOKUP(B113,Petróleo!J:K,2,FALSE),"")</f>
        <v>2655</v>
      </c>
      <c r="H113" s="1">
        <f>IFERROR(VLOOKUP(B113,Petróleo!L:M,2,FALSE),"")</f>
        <v>1320</v>
      </c>
      <c r="I113" s="1">
        <f>IFERROR(VLOOKUP(B113,Petróleo!N:O,2,FALSE),"")</f>
        <v>2160</v>
      </c>
      <c r="J113" s="1">
        <f>IFERROR(VLOOKUP(B113,Petróleo!P:Q,2,FALSE),"")</f>
        <v>6021</v>
      </c>
      <c r="K113" s="1">
        <f>IFERROR(VLOOKUP(B113,Petróleo!R:S,2,FALSE),"")</f>
        <v>2800</v>
      </c>
      <c r="L113" s="1">
        <f>IFERROR(VLOOKUP(B113,Petróleo!T:U,2,FALSE),"")</f>
        <v>3179</v>
      </c>
      <c r="M113" s="8">
        <f>IFERROR(VLOOKUP(B113,Petróleo!X:Y,2,FALSE),"")</f>
        <v>26330</v>
      </c>
      <c r="N113" s="8">
        <f>IFERROR(VLOOKUP(B113,Petróleo!Z:AA,2,FALSE),"")</f>
        <v>7640</v>
      </c>
      <c r="O113" s="8">
        <f>IFERROR(VLOOKUP(B113,Petróleo!AB:AC,2,FALSE),"")</f>
        <v>2060</v>
      </c>
      <c r="P113" s="8">
        <f>IFERROR(VLOOKUP(B113,Petróleo!AD:AE,2,FALSE),"")</f>
        <v>3480</v>
      </c>
      <c r="Q113" s="8">
        <f>IFERROR(VLOOKUP(B113,Petróleo!AF:AG,2,FALSE),"")</f>
        <v>2600</v>
      </c>
      <c r="R113" s="8">
        <f>IFERROR(VLOOKUP(B113,Petróleo!AH:AI,2,FALSE),"")</f>
        <v>1300</v>
      </c>
      <c r="S113" s="8">
        <f>IFERROR(VLOOKUP(B113,Petróleo!AJ:AK,2,FALSE),"")</f>
        <v>1970</v>
      </c>
      <c r="T113" s="8">
        <f>IFERROR(VLOOKUP(B113,Petróleo!AL:AM,2,FALSE),"")</f>
        <v>2760</v>
      </c>
      <c r="U113" s="8">
        <f>IFERROR(VLOOKUP(B113,Petróleo!AN:AO,2,FALSE),"")</f>
        <v>1810</v>
      </c>
      <c r="V113" s="10" t="str">
        <f>IFERROR(VLOOKUP(A113,Petróleo!AR:AT,3,FALSE),"")</f>
        <v/>
      </c>
    </row>
    <row r="114" spans="1:22" x14ac:dyDescent="0.25">
      <c r="A114" s="9" t="str">
        <f t="shared" si="1"/>
        <v>51999</v>
      </c>
      <c r="B114" s="9">
        <v>36311</v>
      </c>
      <c r="C114" s="1">
        <f>IFERROR(VLOOKUP(B114,Petróleo!A:B,2,FALSE),"")</f>
        <v>5875</v>
      </c>
      <c r="D114" s="1">
        <f>IFERROR(VLOOKUP(B114,Estoque_US!D:E,2,FALSE),"")</f>
        <v>-5215</v>
      </c>
      <c r="E114" s="1">
        <f>IFERROR(VLOOKUP(B114,Petróleo!F:G,2,FALSE),"")</f>
        <v>7665</v>
      </c>
      <c r="F114" s="1">
        <f>IFERROR(VLOOKUP(B114,Petróleo!H:I,2,FALSE),"")</f>
        <v>3435</v>
      </c>
      <c r="G114" s="1">
        <f>IFERROR(VLOOKUP(B114,Petróleo!J:K,2,FALSE),"")</f>
        <v>2705</v>
      </c>
      <c r="H114" s="1">
        <f>IFERROR(VLOOKUP(B114,Petróleo!L:M,2,FALSE),"")</f>
        <v>1300</v>
      </c>
      <c r="I114" s="1">
        <f>IFERROR(VLOOKUP(B114,Petróleo!N:O,2,FALSE),"")</f>
        <v>2190</v>
      </c>
      <c r="J114" s="1">
        <f>IFERROR(VLOOKUP(B114,Petróleo!P:Q,2,FALSE),"")</f>
        <v>6036</v>
      </c>
      <c r="K114" s="1">
        <f>IFERROR(VLOOKUP(B114,Petróleo!R:S,2,FALSE),"")</f>
        <v>2780</v>
      </c>
      <c r="L114" s="1">
        <f>IFERROR(VLOOKUP(B114,Petróleo!T:U,2,FALSE),"")</f>
        <v>3179</v>
      </c>
      <c r="M114" s="8">
        <f>IFERROR(VLOOKUP(B114,Petróleo!X:Y,2,FALSE),"")</f>
        <v>26040</v>
      </c>
      <c r="N114" s="8">
        <f>IFERROR(VLOOKUP(B114,Petróleo!Z:AA,2,FALSE),"")</f>
        <v>7510</v>
      </c>
      <c r="O114" s="8">
        <f>IFERROR(VLOOKUP(B114,Petróleo!AB:AC,2,FALSE),"")</f>
        <v>2010</v>
      </c>
      <c r="P114" s="8">
        <f>IFERROR(VLOOKUP(B114,Petróleo!AD:AE,2,FALSE),"")</f>
        <v>3390</v>
      </c>
      <c r="Q114" s="8">
        <f>IFERROR(VLOOKUP(B114,Petróleo!AF:AG,2,FALSE),"")</f>
        <v>2640</v>
      </c>
      <c r="R114" s="8">
        <f>IFERROR(VLOOKUP(B114,Petróleo!AH:AI,2,FALSE),"")</f>
        <v>1270</v>
      </c>
      <c r="S114" s="8">
        <f>IFERROR(VLOOKUP(B114,Petróleo!AJ:AK,2,FALSE),"")</f>
        <v>2000</v>
      </c>
      <c r="T114" s="8">
        <f>IFERROR(VLOOKUP(B114,Petróleo!AL:AM,2,FALSE),"")</f>
        <v>2740</v>
      </c>
      <c r="U114" s="8">
        <f>IFERROR(VLOOKUP(B114,Petróleo!AN:AO,2,FALSE),"")</f>
        <v>1820</v>
      </c>
      <c r="V114" s="10" t="str">
        <f>IFERROR(VLOOKUP(A114,Petróleo!AR:AT,3,FALSE),"")</f>
        <v/>
      </c>
    </row>
    <row r="115" spans="1:22" x14ac:dyDescent="0.25">
      <c r="A115" s="9" t="str">
        <f t="shared" si="1"/>
        <v>61999</v>
      </c>
      <c r="B115" s="9">
        <v>36341</v>
      </c>
      <c r="C115" s="1">
        <f>IFERROR(VLOOKUP(B115,Petróleo!A:B,2,FALSE),"")</f>
        <v>5760</v>
      </c>
      <c r="D115" s="1">
        <f>IFERROR(VLOOKUP(B115,Estoque_US!D:E,2,FALSE),"")</f>
        <v>-677</v>
      </c>
      <c r="E115" s="1">
        <f>IFERROR(VLOOKUP(B115,Petróleo!F:G,2,FALSE),"")</f>
        <v>7610</v>
      </c>
      <c r="F115" s="1">
        <f>IFERROR(VLOOKUP(B115,Petróleo!H:I,2,FALSE),"")</f>
        <v>3415</v>
      </c>
      <c r="G115" s="1">
        <f>IFERROR(VLOOKUP(B115,Petróleo!J:K,2,FALSE),"")</f>
        <v>2355</v>
      </c>
      <c r="H115" s="1">
        <f>IFERROR(VLOOKUP(B115,Petróleo!L:M,2,FALSE),"")</f>
        <v>1290</v>
      </c>
      <c r="I115" s="1">
        <f>IFERROR(VLOOKUP(B115,Petróleo!N:O,2,FALSE),"")</f>
        <v>2150</v>
      </c>
      <c r="J115" s="1">
        <f>IFERROR(VLOOKUP(B115,Petróleo!P:Q,2,FALSE),"")</f>
        <v>6026</v>
      </c>
      <c r="K115" s="1">
        <f>IFERROR(VLOOKUP(B115,Petróleo!R:S,2,FALSE),"")</f>
        <v>2760</v>
      </c>
      <c r="L115" s="1">
        <f>IFERROR(VLOOKUP(B115,Petróleo!T:U,2,FALSE),"")</f>
        <v>3179</v>
      </c>
      <c r="M115" s="8">
        <f>IFERROR(VLOOKUP(B115,Petróleo!X:Y,2,FALSE),"")</f>
        <v>25850</v>
      </c>
      <c r="N115" s="8">
        <f>IFERROR(VLOOKUP(B115,Petróleo!Z:AA,2,FALSE),"")</f>
        <v>7470</v>
      </c>
      <c r="O115" s="8">
        <f>IFERROR(VLOOKUP(B115,Petróleo!AB:AC,2,FALSE),"")</f>
        <v>2010</v>
      </c>
      <c r="P115" s="8">
        <f>IFERROR(VLOOKUP(B115,Petróleo!AD:AE,2,FALSE),"")</f>
        <v>3400</v>
      </c>
      <c r="Q115" s="8">
        <f>IFERROR(VLOOKUP(B115,Petróleo!AF:AG,2,FALSE),"")</f>
        <v>2520</v>
      </c>
      <c r="R115" s="8">
        <f>IFERROR(VLOOKUP(B115,Petróleo!AH:AI,2,FALSE),"")</f>
        <v>1270</v>
      </c>
      <c r="S115" s="8">
        <f>IFERROR(VLOOKUP(B115,Petróleo!AJ:AK,2,FALSE),"")</f>
        <v>1950</v>
      </c>
      <c r="T115" s="8">
        <f>IFERROR(VLOOKUP(B115,Petróleo!AL:AM,2,FALSE),"")</f>
        <v>2740</v>
      </c>
      <c r="U115" s="8">
        <f>IFERROR(VLOOKUP(B115,Petróleo!AN:AO,2,FALSE),"")</f>
        <v>1840</v>
      </c>
      <c r="V115" s="10" t="str">
        <f>IFERROR(VLOOKUP(A115,Petróleo!AR:AT,3,FALSE),"")</f>
        <v/>
      </c>
    </row>
    <row r="116" spans="1:22" x14ac:dyDescent="0.25">
      <c r="A116" s="9" t="str">
        <f t="shared" si="1"/>
        <v>71999</v>
      </c>
      <c r="B116" s="9">
        <v>36372</v>
      </c>
      <c r="C116" s="1">
        <f>IFERROR(VLOOKUP(B116,Petróleo!A:B,2,FALSE),"")</f>
        <v>5798</v>
      </c>
      <c r="D116" s="1">
        <f>IFERROR(VLOOKUP(B116,Estoque_US!D:E,2,FALSE),"")</f>
        <v>-4746</v>
      </c>
      <c r="E116" s="1">
        <f>IFERROR(VLOOKUP(B116,Petróleo!F:G,2,FALSE),"")</f>
        <v>7610</v>
      </c>
      <c r="F116" s="1">
        <f>IFERROR(VLOOKUP(B116,Petróleo!H:I,2,FALSE),"")</f>
        <v>3515</v>
      </c>
      <c r="G116" s="1">
        <f>IFERROR(VLOOKUP(B116,Petróleo!J:K,2,FALSE),"")</f>
        <v>2805</v>
      </c>
      <c r="H116" s="1">
        <f>IFERROR(VLOOKUP(B116,Petróleo!L:M,2,FALSE),"")</f>
        <v>1290</v>
      </c>
      <c r="I116" s="1">
        <f>IFERROR(VLOOKUP(B116,Petróleo!N:O,2,FALSE),"")</f>
        <v>2130</v>
      </c>
      <c r="J116" s="1">
        <f>IFERROR(VLOOKUP(B116,Petróleo!P:Q,2,FALSE),"")</f>
        <v>6148</v>
      </c>
      <c r="K116" s="1">
        <f>IFERROR(VLOOKUP(B116,Petróleo!R:S,2,FALSE),"")</f>
        <v>2760</v>
      </c>
      <c r="L116" s="1">
        <f>IFERROR(VLOOKUP(B116,Petróleo!T:U,2,FALSE),"")</f>
        <v>3250</v>
      </c>
      <c r="M116" s="8">
        <f>IFERROR(VLOOKUP(B116,Petróleo!X:Y,2,FALSE),"")</f>
        <v>26030</v>
      </c>
      <c r="N116" s="8">
        <f>IFERROR(VLOOKUP(B116,Petróleo!Z:AA,2,FALSE),"")</f>
        <v>7510</v>
      </c>
      <c r="O116" s="8">
        <f>IFERROR(VLOOKUP(B116,Petróleo!AB:AC,2,FALSE),"")</f>
        <v>2020</v>
      </c>
      <c r="P116" s="8">
        <f>IFERROR(VLOOKUP(B116,Petróleo!AD:AE,2,FALSE),"")</f>
        <v>3390</v>
      </c>
      <c r="Q116" s="8">
        <f>IFERROR(VLOOKUP(B116,Petróleo!AF:AG,2,FALSE),"")</f>
        <v>2750</v>
      </c>
      <c r="R116" s="8">
        <f>IFERROR(VLOOKUP(B116,Petróleo!AH:AI,2,FALSE),"")</f>
        <v>1290</v>
      </c>
      <c r="S116" s="8">
        <f>IFERROR(VLOOKUP(B116,Petróleo!AJ:AK,2,FALSE),"")</f>
        <v>1850</v>
      </c>
      <c r="T116" s="8">
        <f>IFERROR(VLOOKUP(B116,Petróleo!AL:AM,2,FALSE),"")</f>
        <v>2720</v>
      </c>
      <c r="U116" s="8">
        <f>IFERROR(VLOOKUP(B116,Petróleo!AN:AO,2,FALSE),"")</f>
        <v>1840</v>
      </c>
      <c r="V116" s="10" t="str">
        <f>IFERROR(VLOOKUP(A116,Petróleo!AR:AT,3,FALSE),"")</f>
        <v/>
      </c>
    </row>
    <row r="117" spans="1:22" x14ac:dyDescent="0.25">
      <c r="A117" s="9" t="str">
        <f t="shared" si="1"/>
        <v>81999</v>
      </c>
      <c r="B117" s="9">
        <v>36403</v>
      </c>
      <c r="C117" s="1">
        <f>IFERROR(VLOOKUP(B117,Petróleo!A:B,2,FALSE),"")</f>
        <v>5780</v>
      </c>
      <c r="D117" s="1">
        <f>IFERROR(VLOOKUP(B117,Estoque_US!D:E,2,FALSE),"")</f>
        <v>-7831</v>
      </c>
      <c r="E117" s="1">
        <f>IFERROR(VLOOKUP(B117,Petróleo!F:G,2,FALSE),"")</f>
        <v>7710</v>
      </c>
      <c r="F117" s="1">
        <f>IFERROR(VLOOKUP(B117,Petróleo!H:I,2,FALSE),"")</f>
        <v>3535</v>
      </c>
      <c r="G117" s="1">
        <f>IFERROR(VLOOKUP(B117,Petróleo!J:K,2,FALSE),"")</f>
        <v>2855</v>
      </c>
      <c r="H117" s="1">
        <f>IFERROR(VLOOKUP(B117,Petróleo!L:M,2,FALSE),"")</f>
        <v>1290</v>
      </c>
      <c r="I117" s="1">
        <f>IFERROR(VLOOKUP(B117,Petróleo!N:O,2,FALSE),"")</f>
        <v>2140</v>
      </c>
      <c r="J117" s="1">
        <f>IFERROR(VLOOKUP(B117,Petróleo!P:Q,2,FALSE),"")</f>
        <v>6139</v>
      </c>
      <c r="K117" s="1">
        <f>IFERROR(VLOOKUP(B117,Petróleo!R:S,2,FALSE),"")</f>
        <v>2760</v>
      </c>
      <c r="L117" s="1">
        <f>IFERROR(VLOOKUP(B117,Petróleo!T:U,2,FALSE),"")</f>
        <v>3159</v>
      </c>
      <c r="M117" s="8">
        <f>IFERROR(VLOOKUP(B117,Petróleo!X:Y,2,FALSE),"")</f>
        <v>25990</v>
      </c>
      <c r="N117" s="8">
        <f>IFERROR(VLOOKUP(B117,Petróleo!Z:AA,2,FALSE),"")</f>
        <v>7490</v>
      </c>
      <c r="O117" s="8">
        <f>IFERROR(VLOOKUP(B117,Petróleo!AB:AC,2,FALSE),"")</f>
        <v>2650</v>
      </c>
      <c r="P117" s="8">
        <f>IFERROR(VLOOKUP(B117,Petróleo!AD:AE,2,FALSE),"")</f>
        <v>3380</v>
      </c>
      <c r="Q117" s="8">
        <f>IFERROR(VLOOKUP(B117,Petróleo!AF:AG,2,FALSE),"")</f>
        <v>2650</v>
      </c>
      <c r="R117" s="8">
        <f>IFERROR(VLOOKUP(B117,Petróleo!AH:AI,2,FALSE),"")</f>
        <v>1260</v>
      </c>
      <c r="S117" s="8">
        <f>IFERROR(VLOOKUP(B117,Petróleo!AJ:AK,2,FALSE),"")</f>
        <v>1830</v>
      </c>
      <c r="T117" s="8">
        <f>IFERROR(VLOOKUP(B117,Petróleo!AL:AM,2,FALSE),"")</f>
        <v>2750</v>
      </c>
      <c r="U117" s="8">
        <f>IFERROR(VLOOKUP(B117,Petróleo!AN:AO,2,FALSE),"")</f>
        <v>1840</v>
      </c>
      <c r="V117" s="10" t="str">
        <f>IFERROR(VLOOKUP(A117,Petróleo!AR:AT,3,FALSE),"")</f>
        <v/>
      </c>
    </row>
    <row r="118" spans="1:22" x14ac:dyDescent="0.25">
      <c r="A118" s="9" t="str">
        <f t="shared" si="1"/>
        <v>91999</v>
      </c>
      <c r="B118" s="9">
        <v>36433</v>
      </c>
      <c r="C118" s="1">
        <f>IFERROR(VLOOKUP(B118,Petróleo!A:B,2,FALSE),"")</f>
        <v>5804</v>
      </c>
      <c r="D118" s="1">
        <f>IFERROR(VLOOKUP(B118,Estoque_US!D:E,2,FALSE),"")</f>
        <v>-12893</v>
      </c>
      <c r="E118" s="1">
        <f>IFERROR(VLOOKUP(B118,Petróleo!F:G,2,FALSE),"")</f>
        <v>7735</v>
      </c>
      <c r="F118" s="1">
        <f>IFERROR(VLOOKUP(B118,Petróleo!H:I,2,FALSE),"")</f>
        <v>3485</v>
      </c>
      <c r="G118" s="1">
        <f>IFERROR(VLOOKUP(B118,Petróleo!J:K,2,FALSE),"")</f>
        <v>2855</v>
      </c>
      <c r="H118" s="1">
        <f>IFERROR(VLOOKUP(B118,Petróleo!L:M,2,FALSE),"")</f>
        <v>1300</v>
      </c>
      <c r="I118" s="1">
        <f>IFERROR(VLOOKUP(B118,Petróleo!N:O,2,FALSE),"")</f>
        <v>2150</v>
      </c>
      <c r="J118" s="1">
        <f>IFERROR(VLOOKUP(B118,Petróleo!P:Q,2,FALSE),"")</f>
        <v>6141</v>
      </c>
      <c r="K118" s="1">
        <f>IFERROR(VLOOKUP(B118,Petróleo!R:S,2,FALSE),"")</f>
        <v>2760</v>
      </c>
      <c r="L118" s="1">
        <f>IFERROR(VLOOKUP(B118,Petróleo!T:U,2,FALSE),"")</f>
        <v>3134</v>
      </c>
      <c r="M118" s="8">
        <f>IFERROR(VLOOKUP(B118,Petróleo!X:Y,2,FALSE),"")</f>
        <v>26270</v>
      </c>
      <c r="N118" s="8">
        <f>IFERROR(VLOOKUP(B118,Petróleo!Z:AA,2,FALSE),"")</f>
        <v>7590</v>
      </c>
      <c r="O118" s="8">
        <f>IFERROR(VLOOKUP(B118,Petróleo!AB:AC,2,FALSE),"")</f>
        <v>2650</v>
      </c>
      <c r="P118" s="8">
        <f>IFERROR(VLOOKUP(B118,Petróleo!AD:AE,2,FALSE),"")</f>
        <v>3370</v>
      </c>
      <c r="Q118" s="8">
        <f>IFERROR(VLOOKUP(B118,Petróleo!AF:AG,2,FALSE),"")</f>
        <v>2650</v>
      </c>
      <c r="R118" s="8">
        <f>IFERROR(VLOOKUP(B118,Petróleo!AH:AI,2,FALSE),"")</f>
        <v>1270</v>
      </c>
      <c r="S118" s="8">
        <f>IFERROR(VLOOKUP(B118,Petróleo!AJ:AK,2,FALSE),"")</f>
        <v>1900</v>
      </c>
      <c r="T118" s="8">
        <f>IFERROR(VLOOKUP(B118,Petróleo!AL:AM,2,FALSE),"")</f>
        <v>2750</v>
      </c>
      <c r="U118" s="8">
        <f>IFERROR(VLOOKUP(B118,Petróleo!AN:AO,2,FALSE),"")</f>
        <v>1850</v>
      </c>
      <c r="V118" s="10" t="str">
        <f>IFERROR(VLOOKUP(A118,Petróleo!AR:AT,3,FALSE),"")</f>
        <v/>
      </c>
    </row>
    <row r="119" spans="1:22" x14ac:dyDescent="0.25">
      <c r="A119" s="9" t="str">
        <f t="shared" si="1"/>
        <v>101999</v>
      </c>
      <c r="B119" s="9">
        <v>36464</v>
      </c>
      <c r="C119" s="1">
        <f>IFERROR(VLOOKUP(B119,Petróleo!A:B,2,FALSE),"")</f>
        <v>5947</v>
      </c>
      <c r="D119" s="1">
        <f>IFERROR(VLOOKUP(B119,Estoque_US!D:E,2,FALSE),"")</f>
        <v>-166</v>
      </c>
      <c r="E119" s="1">
        <f>IFERROR(VLOOKUP(B119,Petróleo!F:G,2,FALSE),"")</f>
        <v>7845</v>
      </c>
      <c r="F119" s="1">
        <f>IFERROR(VLOOKUP(B119,Petróleo!H:I,2,FALSE),"")</f>
        <v>3535</v>
      </c>
      <c r="G119" s="1">
        <f>IFERROR(VLOOKUP(B119,Petróleo!J:K,2,FALSE),"")</f>
        <v>2670</v>
      </c>
      <c r="H119" s="1">
        <f>IFERROR(VLOOKUP(B119,Petróleo!L:M,2,FALSE),"")</f>
        <v>1310</v>
      </c>
      <c r="I119" s="1">
        <f>IFERROR(VLOOKUP(B119,Petróleo!N:O,2,FALSE),"")</f>
        <v>2170</v>
      </c>
      <c r="J119" s="1">
        <f>IFERROR(VLOOKUP(B119,Petróleo!P:Q,2,FALSE),"")</f>
        <v>6153</v>
      </c>
      <c r="K119" s="1">
        <f>IFERROR(VLOOKUP(B119,Petróleo!R:S,2,FALSE),"")</f>
        <v>2760</v>
      </c>
      <c r="L119" s="1">
        <f>IFERROR(VLOOKUP(B119,Petróleo!T:U,2,FALSE),"")</f>
        <v>3166</v>
      </c>
      <c r="M119" s="8">
        <f>IFERROR(VLOOKUP(B119,Petróleo!X:Y,2,FALSE),"")</f>
        <v>26440</v>
      </c>
      <c r="N119" s="8">
        <f>IFERROR(VLOOKUP(B119,Petróleo!Z:AA,2,FALSE),"")</f>
        <v>7600</v>
      </c>
      <c r="O119" s="8">
        <f>IFERROR(VLOOKUP(B119,Petróleo!AB:AC,2,FALSE),"")</f>
        <v>2650</v>
      </c>
      <c r="P119" s="8">
        <f>IFERROR(VLOOKUP(B119,Petróleo!AD:AE,2,FALSE),"")</f>
        <v>3460</v>
      </c>
      <c r="Q119" s="8">
        <f>IFERROR(VLOOKUP(B119,Petróleo!AF:AG,2,FALSE),"")</f>
        <v>2650</v>
      </c>
      <c r="R119" s="8">
        <f>IFERROR(VLOOKUP(B119,Petróleo!AH:AI,2,FALSE),"")</f>
        <v>1320</v>
      </c>
      <c r="S119" s="8">
        <f>IFERROR(VLOOKUP(B119,Petróleo!AJ:AK,2,FALSE),"")</f>
        <v>1920</v>
      </c>
      <c r="T119" s="8">
        <f>IFERROR(VLOOKUP(B119,Petróleo!AL:AM,2,FALSE),"")</f>
        <v>2750</v>
      </c>
      <c r="U119" s="8">
        <f>IFERROR(VLOOKUP(B119,Petróleo!AN:AO,2,FALSE),"")</f>
        <v>1860</v>
      </c>
      <c r="V119" s="10" t="str">
        <f>IFERROR(VLOOKUP(A119,Petróleo!AR:AT,3,FALSE),"")</f>
        <v/>
      </c>
    </row>
    <row r="120" spans="1:22" x14ac:dyDescent="0.25">
      <c r="A120" s="9" t="str">
        <f t="shared" si="1"/>
        <v>111999</v>
      </c>
      <c r="B120" s="9">
        <v>36494</v>
      </c>
      <c r="C120" s="1">
        <f>IFERROR(VLOOKUP(B120,Petróleo!A:B,2,FALSE),"")</f>
        <v>5960</v>
      </c>
      <c r="D120" s="1">
        <f>IFERROR(VLOOKUP(B120,Estoque_US!D:E,2,FALSE),"")</f>
        <v>-5219</v>
      </c>
      <c r="E120" s="1">
        <f>IFERROR(VLOOKUP(B120,Petróleo!F:G,2,FALSE),"")</f>
        <v>7865</v>
      </c>
      <c r="F120" s="1">
        <f>IFERROR(VLOOKUP(B120,Petróleo!H:I,2,FALSE),"")</f>
        <v>3485</v>
      </c>
      <c r="G120" s="1">
        <f>IFERROR(VLOOKUP(B120,Petróleo!J:K,2,FALSE),"")</f>
        <v>2205</v>
      </c>
      <c r="H120" s="1">
        <f>IFERROR(VLOOKUP(B120,Petróleo!L:M,2,FALSE),"")</f>
        <v>1320</v>
      </c>
      <c r="I120" s="1">
        <f>IFERROR(VLOOKUP(B120,Petróleo!N:O,2,FALSE),"")</f>
        <v>2160</v>
      </c>
      <c r="J120" s="1">
        <f>IFERROR(VLOOKUP(B120,Petróleo!P:Q,2,FALSE),"")</f>
        <v>6153</v>
      </c>
      <c r="K120" s="1">
        <f>IFERROR(VLOOKUP(B120,Petróleo!R:S,2,FALSE),"")</f>
        <v>2780</v>
      </c>
      <c r="L120" s="1">
        <f>IFERROR(VLOOKUP(B120,Petróleo!T:U,2,FALSE),"")</f>
        <v>3234</v>
      </c>
      <c r="M120" s="8">
        <f>IFERROR(VLOOKUP(B120,Petróleo!X:Y,2,FALSE),"")</f>
        <v>26190</v>
      </c>
      <c r="N120" s="8">
        <f>IFERROR(VLOOKUP(B120,Petróleo!Z:AA,2,FALSE),"")</f>
        <v>7620</v>
      </c>
      <c r="O120" s="8">
        <f>IFERROR(VLOOKUP(B120,Petróleo!AB:AC,2,FALSE),"")</f>
        <v>2650</v>
      </c>
      <c r="P120" s="8">
        <f>IFERROR(VLOOKUP(B120,Petróleo!AD:AE,2,FALSE),"")</f>
        <v>3420</v>
      </c>
      <c r="Q120" s="8">
        <f>IFERROR(VLOOKUP(B120,Petróleo!AF:AG,2,FALSE),"")</f>
        <v>2650</v>
      </c>
      <c r="R120" s="8">
        <f>IFERROR(VLOOKUP(B120,Petróleo!AH:AI,2,FALSE),"")</f>
        <v>1330</v>
      </c>
      <c r="S120" s="8">
        <f>IFERROR(VLOOKUP(B120,Petróleo!AJ:AK,2,FALSE),"")</f>
        <v>1950</v>
      </c>
      <c r="T120" s="8">
        <f>IFERROR(VLOOKUP(B120,Petróleo!AL:AM,2,FALSE),"")</f>
        <v>2750</v>
      </c>
      <c r="U120" s="8">
        <f>IFERROR(VLOOKUP(B120,Petróleo!AN:AO,2,FALSE),"")</f>
        <v>1850</v>
      </c>
      <c r="V120" s="10" t="str">
        <f>IFERROR(VLOOKUP(A120,Petróleo!AR:AT,3,FALSE),"")</f>
        <v/>
      </c>
    </row>
    <row r="121" spans="1:22" x14ac:dyDescent="0.25">
      <c r="A121" s="9" t="str">
        <f t="shared" si="1"/>
        <v>121999</v>
      </c>
      <c r="B121" s="9">
        <v>36525</v>
      </c>
      <c r="C121" s="1">
        <f>IFERROR(VLOOKUP(B121,Petróleo!A:B,2,FALSE),"")</f>
        <v>5959</v>
      </c>
      <c r="D121" s="1">
        <f>IFERROR(VLOOKUP(B121,Estoque_US!D:E,2,FALSE),"")</f>
        <v>-9188</v>
      </c>
      <c r="E121" s="1">
        <f>IFERROR(VLOOKUP(B121,Petróleo!F:G,2,FALSE),"")</f>
        <v>7863</v>
      </c>
      <c r="F121" s="1">
        <f>IFERROR(VLOOKUP(B121,Petróleo!H:I,2,FALSE),"")</f>
        <v>3435</v>
      </c>
      <c r="G121" s="1">
        <f>IFERROR(VLOOKUP(B121,Petróleo!J:K,2,FALSE),"")</f>
        <v>1405</v>
      </c>
      <c r="H121" s="1">
        <f>IFERROR(VLOOKUP(B121,Petróleo!L:M,2,FALSE),"")</f>
        <v>1330</v>
      </c>
      <c r="I121" s="1">
        <f>IFERROR(VLOOKUP(B121,Petróleo!N:O,2,FALSE),"")</f>
        <v>2050</v>
      </c>
      <c r="J121" s="1">
        <f>IFERROR(VLOOKUP(B121,Petróleo!P:Q,2,FALSE),"")</f>
        <v>6231</v>
      </c>
      <c r="K121" s="1">
        <f>IFERROR(VLOOKUP(B121,Petróleo!R:S,2,FALSE),"")</f>
        <v>2780</v>
      </c>
      <c r="L121" s="1">
        <f>IFERROR(VLOOKUP(B121,Petróleo!T:U,2,FALSE),"")</f>
        <v>3214</v>
      </c>
      <c r="M121" s="8">
        <f>IFERROR(VLOOKUP(B121,Petróleo!X:Y,2,FALSE),"")</f>
        <v>25460</v>
      </c>
      <c r="N121" s="8">
        <f>IFERROR(VLOOKUP(B121,Petróleo!Z:AA,2,FALSE),"")</f>
        <v>7680</v>
      </c>
      <c r="O121" s="8">
        <f>IFERROR(VLOOKUP(B121,Petróleo!AB:AC,2,FALSE),"")</f>
        <v>2650</v>
      </c>
      <c r="P121" s="8">
        <f>IFERROR(VLOOKUP(B121,Petróleo!AD:AE,2,FALSE),"")</f>
        <v>3400</v>
      </c>
      <c r="Q121" s="8">
        <f>IFERROR(VLOOKUP(B121,Petróleo!AF:AG,2,FALSE),"")</f>
        <v>2650</v>
      </c>
      <c r="R121" s="8">
        <f>IFERROR(VLOOKUP(B121,Petróleo!AH:AI,2,FALSE),"")</f>
        <v>1340</v>
      </c>
      <c r="S121" s="8">
        <f>IFERROR(VLOOKUP(B121,Petróleo!AJ:AK,2,FALSE),"")</f>
        <v>1990</v>
      </c>
      <c r="T121" s="8">
        <f>IFERROR(VLOOKUP(B121,Petróleo!AL:AM,2,FALSE),"")</f>
        <v>2750</v>
      </c>
      <c r="U121" s="8">
        <f>IFERROR(VLOOKUP(B121,Petróleo!AN:AO,2,FALSE),"")</f>
        <v>1900</v>
      </c>
      <c r="V121" s="10" t="str">
        <f>IFERROR(VLOOKUP(A121,Petróleo!AR:AT,3,FALSE),"")</f>
        <v/>
      </c>
    </row>
    <row r="122" spans="1:22" x14ac:dyDescent="0.25">
      <c r="A122" s="9" t="str">
        <f t="shared" si="1"/>
        <v>12000</v>
      </c>
      <c r="B122" s="9">
        <v>36556</v>
      </c>
      <c r="C122" s="1">
        <f>IFERROR(VLOOKUP(B122,Petróleo!A:B,2,FALSE),"")</f>
        <v>5784</v>
      </c>
      <c r="D122" s="1">
        <f>IFERROR(VLOOKUP(B122,Estoque_US!D:E,2,FALSE),"")</f>
        <v>-7851</v>
      </c>
      <c r="E122" s="1">
        <f>IFERROR(VLOOKUP(B122,Petróleo!F:G,2,FALSE),"")</f>
        <v>7863</v>
      </c>
      <c r="F122" s="1">
        <f>IFERROR(VLOOKUP(B122,Petróleo!H:I,2,FALSE),"")</f>
        <v>3444</v>
      </c>
      <c r="G122" s="1">
        <f>IFERROR(VLOOKUP(B122,Petróleo!J:K,2,FALSE),"")</f>
        <v>2215</v>
      </c>
      <c r="H122" s="1">
        <f>IFERROR(VLOOKUP(B122,Petróleo!L:M,2,FALSE),"")</f>
        <v>1330</v>
      </c>
      <c r="I122" s="1">
        <f>IFERROR(VLOOKUP(B122,Petróleo!N:O,2,FALSE),"")</f>
        <v>2030</v>
      </c>
      <c r="J122" s="1">
        <f>IFERROR(VLOOKUP(B122,Petróleo!P:Q,2,FALSE),"")</f>
        <v>6239</v>
      </c>
      <c r="K122" s="1">
        <f>IFERROR(VLOOKUP(B122,Petróleo!R:S,2,FALSE),"")</f>
        <v>2985</v>
      </c>
      <c r="L122" s="1">
        <f>IFERROR(VLOOKUP(B122,Petróleo!T:U,2,FALSE),"")</f>
        <v>3250</v>
      </c>
      <c r="M122" s="8">
        <f>IFERROR(VLOOKUP(B122,Petróleo!X:Y,2,FALSE),"")</f>
        <v>26050</v>
      </c>
      <c r="N122" s="8">
        <f>IFERROR(VLOOKUP(B122,Petróleo!Z:AA,2,FALSE),"")</f>
        <v>7700</v>
      </c>
      <c r="O122" s="8">
        <f>IFERROR(VLOOKUP(B122,Petróleo!AB:AC,2,FALSE),"")</f>
        <v>2080</v>
      </c>
      <c r="P122" s="8">
        <f>IFERROR(VLOOKUP(B122,Petróleo!AD:AE,2,FALSE),"")</f>
        <v>3450</v>
      </c>
      <c r="Q122" s="8">
        <f>IFERROR(VLOOKUP(B122,Petróleo!AF:AG,2,FALSE),"")</f>
        <v>2180</v>
      </c>
      <c r="R122" s="8">
        <f>IFERROR(VLOOKUP(B122,Petróleo!AH:AI,2,FALSE),"")</f>
        <v>1360</v>
      </c>
      <c r="S122" s="8">
        <f>IFERROR(VLOOKUP(B122,Petróleo!AJ:AK,2,FALSE),"")</f>
        <v>1920</v>
      </c>
      <c r="T122" s="8">
        <f>IFERROR(VLOOKUP(B122,Petróleo!AL:AM,2,FALSE),"")</f>
        <v>2780</v>
      </c>
      <c r="U122" s="8">
        <f>IFERROR(VLOOKUP(B122,Petróleo!AN:AO,2,FALSE),"")</f>
        <v>1900</v>
      </c>
      <c r="V122" s="10" t="str">
        <f>IFERROR(VLOOKUP(A122,Petróleo!AR:AT,3,FALSE),"")</f>
        <v/>
      </c>
    </row>
    <row r="123" spans="1:22" x14ac:dyDescent="0.25">
      <c r="A123" s="9" t="str">
        <f t="shared" si="1"/>
        <v>22000</v>
      </c>
      <c r="B123" s="9">
        <v>36585</v>
      </c>
      <c r="C123" s="1">
        <f>IFERROR(VLOOKUP(B123,Petróleo!A:B,2,FALSE),"")</f>
        <v>5852</v>
      </c>
      <c r="D123" s="1">
        <f>IFERROR(VLOOKUP(B123,Estoque_US!D:E,2,FALSE),"")</f>
        <v>3378</v>
      </c>
      <c r="E123" s="1">
        <f>IFERROR(VLOOKUP(B123,Petróleo!F:G,2,FALSE),"")</f>
        <v>7865</v>
      </c>
      <c r="F123" s="1">
        <f>IFERROR(VLOOKUP(B123,Petróleo!H:I,2,FALSE),"")</f>
        <v>3504</v>
      </c>
      <c r="G123" s="1">
        <f>IFERROR(VLOOKUP(B123,Petróleo!J:K,2,FALSE),"")</f>
        <v>2595</v>
      </c>
      <c r="H123" s="1">
        <f>IFERROR(VLOOKUP(B123,Petróleo!L:M,2,FALSE),"")</f>
        <v>1380</v>
      </c>
      <c r="I123" s="1">
        <f>IFERROR(VLOOKUP(B123,Petróleo!N:O,2,FALSE),"")</f>
        <v>2081</v>
      </c>
      <c r="J123" s="1">
        <f>IFERROR(VLOOKUP(B123,Petróleo!P:Q,2,FALSE),"")</f>
        <v>6248</v>
      </c>
      <c r="K123" s="1">
        <f>IFERROR(VLOOKUP(B123,Petróleo!R:S,2,FALSE),"")</f>
        <v>3049</v>
      </c>
      <c r="L123" s="1">
        <f>IFERROR(VLOOKUP(B123,Petróleo!T:U,2,FALSE),"")</f>
        <v>3280</v>
      </c>
      <c r="M123" s="8">
        <f>IFERROR(VLOOKUP(B123,Petróleo!X:Y,2,FALSE),"")</f>
        <v>26680</v>
      </c>
      <c r="N123" s="8">
        <f>IFERROR(VLOOKUP(B123,Petróleo!Z:AA,2,FALSE),"")</f>
        <v>7700</v>
      </c>
      <c r="O123" s="8">
        <f>IFERROR(VLOOKUP(B123,Petróleo!AB:AC,2,FALSE),"")</f>
        <v>2120</v>
      </c>
      <c r="P123" s="8">
        <f>IFERROR(VLOOKUP(B123,Petróleo!AD:AE,2,FALSE),"")</f>
        <v>3470</v>
      </c>
      <c r="Q123" s="8">
        <f>IFERROR(VLOOKUP(B123,Petróleo!AF:AG,2,FALSE),"")</f>
        <v>2570</v>
      </c>
      <c r="R123" s="8">
        <f>IFERROR(VLOOKUP(B123,Petróleo!AH:AI,2,FALSE),"")</f>
        <v>1370</v>
      </c>
      <c r="S123" s="8">
        <f>IFERROR(VLOOKUP(B123,Petróleo!AJ:AK,2,FALSE),"")</f>
        <v>1980</v>
      </c>
      <c r="T123" s="8">
        <f>IFERROR(VLOOKUP(B123,Petróleo!AL:AM,2,FALSE),"")</f>
        <v>2800</v>
      </c>
      <c r="U123" s="8">
        <f>IFERROR(VLOOKUP(B123,Petróleo!AN:AO,2,FALSE),"")</f>
        <v>1930</v>
      </c>
      <c r="V123" s="10" t="str">
        <f>IFERROR(VLOOKUP(A123,Petróleo!AR:AT,3,FALSE),"")</f>
        <v/>
      </c>
    </row>
    <row r="124" spans="1:22" x14ac:dyDescent="0.25">
      <c r="A124" s="9" t="str">
        <f t="shared" si="1"/>
        <v>32000</v>
      </c>
      <c r="B124" s="9">
        <v>36616</v>
      </c>
      <c r="C124" s="1">
        <f>IFERROR(VLOOKUP(B124,Petróleo!A:B,2,FALSE),"")</f>
        <v>5918</v>
      </c>
      <c r="D124" s="1">
        <f>IFERROR(VLOOKUP(B124,Estoque_US!D:E,2,FALSE),"")</f>
        <v>8054</v>
      </c>
      <c r="E124" s="1">
        <f>IFERROR(VLOOKUP(B124,Petróleo!F:G,2,FALSE),"")</f>
        <v>7865</v>
      </c>
      <c r="F124" s="1">
        <f>IFERROR(VLOOKUP(B124,Petróleo!H:I,2,FALSE),"")</f>
        <v>3712</v>
      </c>
      <c r="G124" s="1">
        <f>IFERROR(VLOOKUP(B124,Petróleo!J:K,2,FALSE),"")</f>
        <v>2215</v>
      </c>
      <c r="H124" s="1">
        <f>IFERROR(VLOOKUP(B124,Petróleo!L:M,2,FALSE),"")</f>
        <v>1390</v>
      </c>
      <c r="I124" s="1">
        <f>IFERROR(VLOOKUP(B124,Petróleo!N:O,2,FALSE),"")</f>
        <v>2101</v>
      </c>
      <c r="J124" s="1">
        <f>IFERROR(VLOOKUP(B124,Petróleo!P:Q,2,FALSE),"")</f>
        <v>6321</v>
      </c>
      <c r="K124" s="1">
        <f>IFERROR(VLOOKUP(B124,Petróleo!R:S,2,FALSE),"")</f>
        <v>3049</v>
      </c>
      <c r="L124" s="1">
        <f>IFERROR(VLOOKUP(B124,Petróleo!T:U,2,FALSE),"")</f>
        <v>3280</v>
      </c>
      <c r="M124" s="8">
        <f>IFERROR(VLOOKUP(B124,Petróleo!X:Y,2,FALSE),"")</f>
        <v>26490</v>
      </c>
      <c r="N124" s="8">
        <f>IFERROR(VLOOKUP(B124,Petróleo!Z:AA,2,FALSE),"")</f>
        <v>7820</v>
      </c>
      <c r="O124" s="8">
        <f>IFERROR(VLOOKUP(B124,Petróleo!AB:AC,2,FALSE),"")</f>
        <v>2160</v>
      </c>
      <c r="P124" s="8">
        <f>IFERROR(VLOOKUP(B124,Petróleo!AD:AE,2,FALSE),"")</f>
        <v>3480</v>
      </c>
      <c r="Q124" s="8">
        <f>IFERROR(VLOOKUP(B124,Petróleo!AF:AG,2,FALSE),"")</f>
        <v>2200</v>
      </c>
      <c r="R124" s="8">
        <f>IFERROR(VLOOKUP(B124,Petróleo!AH:AI,2,FALSE),"")</f>
        <v>1380</v>
      </c>
      <c r="S124" s="8">
        <f>IFERROR(VLOOKUP(B124,Petróleo!AJ:AK,2,FALSE),"")</f>
        <v>1960</v>
      </c>
      <c r="T124" s="8">
        <f>IFERROR(VLOOKUP(B124,Petróleo!AL:AM,2,FALSE),"")</f>
        <v>2820</v>
      </c>
      <c r="U124" s="8">
        <f>IFERROR(VLOOKUP(B124,Petróleo!AN:AO,2,FALSE),"")</f>
        <v>1970</v>
      </c>
      <c r="V124" s="10" t="str">
        <f>IFERROR(VLOOKUP(A124,Petróleo!AR:AT,3,FALSE),"")</f>
        <v/>
      </c>
    </row>
    <row r="125" spans="1:22" x14ac:dyDescent="0.25">
      <c r="A125" s="9" t="str">
        <f t="shared" si="1"/>
        <v>42000</v>
      </c>
      <c r="B125" s="9">
        <v>36646</v>
      </c>
      <c r="C125" s="1">
        <f>IFERROR(VLOOKUP(B125,Petróleo!A:B,2,FALSE),"")</f>
        <v>5854</v>
      </c>
      <c r="D125" s="1">
        <f>IFERROR(VLOOKUP(B125,Estoque_US!D:E,2,FALSE),"")</f>
        <v>10184</v>
      </c>
      <c r="E125" s="1">
        <f>IFERROR(VLOOKUP(B125,Petróleo!F:G,2,FALSE),"")</f>
        <v>8100</v>
      </c>
      <c r="F125" s="1">
        <f>IFERROR(VLOOKUP(B125,Petróleo!H:I,2,FALSE),"")</f>
        <v>3653</v>
      </c>
      <c r="G125" s="1">
        <f>IFERROR(VLOOKUP(B125,Petróleo!J:K,2,FALSE),"")</f>
        <v>2655</v>
      </c>
      <c r="H125" s="1">
        <f>IFERROR(VLOOKUP(B125,Petróleo!L:M,2,FALSE),"")</f>
        <v>1400</v>
      </c>
      <c r="I125" s="1">
        <f>IFERROR(VLOOKUP(B125,Petróleo!N:O,2,FALSE),"")</f>
        <v>2161</v>
      </c>
      <c r="J125" s="1">
        <f>IFERROR(VLOOKUP(B125,Petróleo!P:Q,2,FALSE),"")</f>
        <v>6309</v>
      </c>
      <c r="K125" s="1">
        <f>IFERROR(VLOOKUP(B125,Petróleo!R:S,2,FALSE),"")</f>
        <v>3103</v>
      </c>
      <c r="L125" s="1">
        <f>IFERROR(VLOOKUP(B125,Petróleo!T:U,2,FALSE),"")</f>
        <v>3300</v>
      </c>
      <c r="M125" s="8">
        <f>IFERROR(VLOOKUP(B125,Petróleo!X:Y,2,FALSE),"")</f>
        <v>27700</v>
      </c>
      <c r="N125" s="8">
        <f>IFERROR(VLOOKUP(B125,Petróleo!Z:AA,2,FALSE),"")</f>
        <v>8030</v>
      </c>
      <c r="O125" s="8">
        <f>IFERROR(VLOOKUP(B125,Petróleo!AB:AC,2,FALSE),"")</f>
        <v>2280</v>
      </c>
      <c r="P125" s="8">
        <f>IFERROR(VLOOKUP(B125,Petróleo!AD:AE,2,FALSE),"")</f>
        <v>3650</v>
      </c>
      <c r="Q125" s="8">
        <f>IFERROR(VLOOKUP(B125,Petróleo!AF:AG,2,FALSE),"")</f>
        <v>2660</v>
      </c>
      <c r="R125" s="8">
        <f>IFERROR(VLOOKUP(B125,Petróleo!AH:AI,2,FALSE),"")</f>
        <v>1410</v>
      </c>
      <c r="S125" s="8">
        <f>IFERROR(VLOOKUP(B125,Petróleo!AJ:AK,2,FALSE),"")</f>
        <v>2000</v>
      </c>
      <c r="T125" s="8">
        <f>IFERROR(VLOOKUP(B125,Petróleo!AL:AM,2,FALSE),"")</f>
        <v>2850</v>
      </c>
      <c r="U125" s="8">
        <f>IFERROR(VLOOKUP(B125,Petróleo!AN:AO,2,FALSE),"")</f>
        <v>2060</v>
      </c>
      <c r="V125" s="10" t="str">
        <f>IFERROR(VLOOKUP(A125,Petróleo!AR:AT,3,FALSE),"")</f>
        <v/>
      </c>
    </row>
    <row r="126" spans="1:22" x14ac:dyDescent="0.25">
      <c r="A126" s="9" t="str">
        <f t="shared" si="1"/>
        <v>52000</v>
      </c>
      <c r="B126" s="9">
        <v>36677</v>
      </c>
      <c r="C126" s="1">
        <f>IFERROR(VLOOKUP(B126,Petróleo!A:B,2,FALSE),"")</f>
        <v>5847</v>
      </c>
      <c r="D126" s="1">
        <f>IFERROR(VLOOKUP(B126,Estoque_US!D:E,2,FALSE),"")</f>
        <v>1088</v>
      </c>
      <c r="E126" s="1">
        <f>IFERROR(VLOOKUP(B126,Petróleo!F:G,2,FALSE),"")</f>
        <v>8200</v>
      </c>
      <c r="F126" s="1">
        <f>IFERROR(VLOOKUP(B126,Petróleo!H:I,2,FALSE),"")</f>
        <v>3663</v>
      </c>
      <c r="G126" s="1">
        <f>IFERROR(VLOOKUP(B126,Petróleo!J:K,2,FALSE),"")</f>
        <v>3055</v>
      </c>
      <c r="H126" s="1">
        <f>IFERROR(VLOOKUP(B126,Petróleo!L:M,2,FALSE),"")</f>
        <v>1400</v>
      </c>
      <c r="I126" s="1">
        <f>IFERROR(VLOOKUP(B126,Petróleo!N:O,2,FALSE),"")</f>
        <v>2131</v>
      </c>
      <c r="J126" s="1">
        <f>IFERROR(VLOOKUP(B126,Petróleo!P:Q,2,FALSE),"")</f>
        <v>6352</v>
      </c>
      <c r="K126" s="1">
        <f>IFERROR(VLOOKUP(B126,Petróleo!R:S,2,FALSE),"")</f>
        <v>3135</v>
      </c>
      <c r="L126" s="1">
        <f>IFERROR(VLOOKUP(B126,Petróleo!T:U,2,FALSE),"")</f>
        <v>3250</v>
      </c>
      <c r="M126" s="8">
        <f>IFERROR(VLOOKUP(B126,Petróleo!X:Y,2,FALSE),"")</f>
        <v>27570</v>
      </c>
      <c r="N126" s="8">
        <f>IFERROR(VLOOKUP(B126,Petróleo!Z:AA,2,FALSE),"")</f>
        <v>8180</v>
      </c>
      <c r="O126" s="8">
        <f>IFERROR(VLOOKUP(B126,Petróleo!AB:AC,2,FALSE),"")</f>
        <v>2280</v>
      </c>
      <c r="P126" s="8">
        <f>IFERROR(VLOOKUP(B126,Petróleo!AD:AE,2,FALSE),"")</f>
        <v>3680</v>
      </c>
      <c r="Q126" s="8">
        <f>IFERROR(VLOOKUP(B126,Petróleo!AF:AG,2,FALSE),"")</f>
        <v>3030</v>
      </c>
      <c r="R126" s="8">
        <f>IFERROR(VLOOKUP(B126,Petróleo!AH:AI,2,FALSE),"")</f>
        <v>1410</v>
      </c>
      <c r="S126" s="8">
        <f>IFERROR(VLOOKUP(B126,Petróleo!AJ:AK,2,FALSE),"")</f>
        <v>1960</v>
      </c>
      <c r="T126" s="8">
        <f>IFERROR(VLOOKUP(B126,Petróleo!AL:AM,2,FALSE),"")</f>
        <v>2870</v>
      </c>
      <c r="U126" s="8">
        <f>IFERROR(VLOOKUP(B126,Petróleo!AN:AO,2,FALSE),"")</f>
        <v>2080</v>
      </c>
      <c r="V126" s="10" t="str">
        <f>IFERROR(VLOOKUP(A126,Petróleo!AR:AT,3,FALSE),"")</f>
        <v/>
      </c>
    </row>
    <row r="127" spans="1:22" x14ac:dyDescent="0.25">
      <c r="A127" s="9" t="str">
        <f t="shared" si="1"/>
        <v>62000</v>
      </c>
      <c r="B127" s="9">
        <v>36707</v>
      </c>
      <c r="C127" s="1">
        <f>IFERROR(VLOOKUP(B127,Petróleo!A:B,2,FALSE),"")</f>
        <v>5823</v>
      </c>
      <c r="D127" s="1">
        <f>IFERROR(VLOOKUP(B127,Estoque_US!D:E,2,FALSE),"")</f>
        <v>-11453</v>
      </c>
      <c r="E127" s="1">
        <f>IFERROR(VLOOKUP(B127,Petróleo!F:G,2,FALSE),"")</f>
        <v>8250</v>
      </c>
      <c r="F127" s="1">
        <f>IFERROR(VLOOKUP(B127,Petróleo!H:I,2,FALSE),"")</f>
        <v>3683</v>
      </c>
      <c r="G127" s="1">
        <f>IFERROR(VLOOKUP(B127,Petróleo!J:K,2,FALSE),"")</f>
        <v>2565</v>
      </c>
      <c r="H127" s="1">
        <f>IFERROR(VLOOKUP(B127,Petróleo!L:M,2,FALSE),"")</f>
        <v>1420</v>
      </c>
      <c r="I127" s="1">
        <f>IFERROR(VLOOKUP(B127,Petróleo!N:O,2,FALSE),"")</f>
        <v>2161</v>
      </c>
      <c r="J127" s="1">
        <f>IFERROR(VLOOKUP(B127,Petróleo!P:Q,2,FALSE),"")</f>
        <v>6421</v>
      </c>
      <c r="K127" s="1">
        <f>IFERROR(VLOOKUP(B127,Petróleo!R:S,2,FALSE),"")</f>
        <v>3156</v>
      </c>
      <c r="L127" s="1">
        <f>IFERROR(VLOOKUP(B127,Petróleo!T:U,2,FALSE),"")</f>
        <v>3295</v>
      </c>
      <c r="M127" s="8">
        <f>IFERROR(VLOOKUP(B127,Petróleo!X:Y,2,FALSE),"")</f>
        <v>28080</v>
      </c>
      <c r="N127" s="8">
        <f>IFERROR(VLOOKUP(B127,Petróleo!Z:AA,2,FALSE),"")</f>
        <v>8230</v>
      </c>
      <c r="O127" s="8">
        <f>IFERROR(VLOOKUP(B127,Petróleo!AB:AC,2,FALSE),"")</f>
        <v>2280</v>
      </c>
      <c r="P127" s="8">
        <f>IFERROR(VLOOKUP(B127,Petróleo!AD:AE,2,FALSE),"")</f>
        <v>3680</v>
      </c>
      <c r="Q127" s="8">
        <f>IFERROR(VLOOKUP(B127,Petróleo!AF:AG,2,FALSE),"")</f>
        <v>2650</v>
      </c>
      <c r="R127" s="8">
        <f>IFERROR(VLOOKUP(B127,Petróleo!AH:AI,2,FALSE),"")</f>
        <v>1420</v>
      </c>
      <c r="S127" s="8">
        <f>IFERROR(VLOOKUP(B127,Petróleo!AJ:AK,2,FALSE),"")</f>
        <v>2010</v>
      </c>
      <c r="T127" s="8">
        <f>IFERROR(VLOOKUP(B127,Petróleo!AL:AM,2,FALSE),"")</f>
        <v>2890</v>
      </c>
      <c r="U127" s="8">
        <f>IFERROR(VLOOKUP(B127,Petróleo!AN:AO,2,FALSE),"")</f>
        <v>2110</v>
      </c>
      <c r="V127" s="10" t="str">
        <f>IFERROR(VLOOKUP(A127,Petróleo!AR:AT,3,FALSE),"")</f>
        <v/>
      </c>
    </row>
    <row r="128" spans="1:22" x14ac:dyDescent="0.25">
      <c r="A128" s="9" t="str">
        <f t="shared" si="1"/>
        <v>72000</v>
      </c>
      <c r="B128" s="9">
        <v>36738</v>
      </c>
      <c r="C128" s="1">
        <f>IFERROR(VLOOKUP(B128,Petróleo!A:B,2,FALSE),"")</f>
        <v>5739</v>
      </c>
      <c r="D128" s="1">
        <f>IFERROR(VLOOKUP(B128,Estoque_US!D:E,2,FALSE),"")</f>
        <v>-9622</v>
      </c>
      <c r="E128" s="1">
        <f>IFERROR(VLOOKUP(B128,Petróleo!F:G,2,FALSE),"")</f>
        <v>8050</v>
      </c>
      <c r="F128" s="1">
        <f>IFERROR(VLOOKUP(B128,Petróleo!H:I,2,FALSE),"")</f>
        <v>3720</v>
      </c>
      <c r="G128" s="1">
        <f>IFERROR(VLOOKUP(B128,Petróleo!J:K,2,FALSE),"")</f>
        <v>2521</v>
      </c>
      <c r="H128" s="1">
        <f>IFERROR(VLOOKUP(B128,Petróleo!L:M,2,FALSE),"")</f>
        <v>1425</v>
      </c>
      <c r="I128" s="1">
        <f>IFERROR(VLOOKUP(B128,Petróleo!N:O,2,FALSE),"")</f>
        <v>2071</v>
      </c>
      <c r="J128" s="1">
        <f>IFERROR(VLOOKUP(B128,Petróleo!P:Q,2,FALSE),"")</f>
        <v>6489.1760000000004</v>
      </c>
      <c r="K128" s="1">
        <f>IFERROR(VLOOKUP(B128,Petróleo!R:S,2,FALSE),"")</f>
        <v>2900</v>
      </c>
      <c r="L128" s="1">
        <f>IFERROR(VLOOKUP(B128,Petróleo!T:U,2,FALSE),"")</f>
        <v>3235.5709999999999</v>
      </c>
      <c r="M128" s="8">
        <f>IFERROR(VLOOKUP(B128,Petróleo!X:Y,2,FALSE),"")</f>
        <v>28340</v>
      </c>
      <c r="N128" s="8">
        <f>IFERROR(VLOOKUP(B128,Petróleo!Z:AA,2,FALSE),"")</f>
        <v>8330</v>
      </c>
      <c r="O128" s="8">
        <f>IFERROR(VLOOKUP(B128,Petróleo!AB:AC,2,FALSE),"")</f>
        <v>2310</v>
      </c>
      <c r="P128" s="8">
        <f>IFERROR(VLOOKUP(B128,Petróleo!AD:AE,2,FALSE),"")</f>
        <v>3730</v>
      </c>
      <c r="Q128" s="8">
        <f>IFERROR(VLOOKUP(B128,Petróleo!AF:AG,2,FALSE),"")</f>
        <v>2660</v>
      </c>
      <c r="R128" s="8">
        <f>IFERROR(VLOOKUP(B128,Petróleo!AH:AI,2,FALSE),"")</f>
        <v>1420</v>
      </c>
      <c r="S128" s="8">
        <f>IFERROR(VLOOKUP(B128,Petróleo!AJ:AK,2,FALSE),"")</f>
        <v>2050</v>
      </c>
      <c r="T128" s="8">
        <f>IFERROR(VLOOKUP(B128,Petróleo!AL:AM,2,FALSE),"")</f>
        <v>2920</v>
      </c>
      <c r="U128" s="8">
        <f>IFERROR(VLOOKUP(B128,Petróleo!AN:AO,2,FALSE),"")</f>
        <v>2010</v>
      </c>
      <c r="V128" s="10" t="str">
        <f>IFERROR(VLOOKUP(A128,Petróleo!AR:AT,3,FALSE),"")</f>
        <v/>
      </c>
    </row>
    <row r="129" spans="1:22" x14ac:dyDescent="0.25">
      <c r="A129" s="9" t="str">
        <f t="shared" si="1"/>
        <v>82000</v>
      </c>
      <c r="B129" s="9">
        <v>36769</v>
      </c>
      <c r="C129" s="1">
        <f>IFERROR(VLOOKUP(B129,Petróleo!A:B,2,FALSE),"")</f>
        <v>5789</v>
      </c>
      <c r="D129" s="1">
        <f>IFERROR(VLOOKUP(B129,Estoque_US!D:E,2,FALSE),"")</f>
        <v>2626</v>
      </c>
      <c r="E129" s="1">
        <f>IFERROR(VLOOKUP(B129,Petróleo!F:G,2,FALSE),"")</f>
        <v>8350</v>
      </c>
      <c r="F129" s="1">
        <f>IFERROR(VLOOKUP(B129,Petróleo!H:I,2,FALSE),"")</f>
        <v>3540</v>
      </c>
      <c r="G129" s="1">
        <f>IFERROR(VLOOKUP(B129,Petróleo!J:K,2,FALSE),"")</f>
        <v>2991.4749999999999</v>
      </c>
      <c r="H129" s="1">
        <f>IFERROR(VLOOKUP(B129,Petróleo!L:M,2,FALSE),"")</f>
        <v>1430</v>
      </c>
      <c r="I129" s="1">
        <f>IFERROR(VLOOKUP(B129,Petróleo!N:O,2,FALSE),"")</f>
        <v>2045</v>
      </c>
      <c r="J129" s="1">
        <f>IFERROR(VLOOKUP(B129,Petróleo!P:Q,2,FALSE),"")</f>
        <v>6575.4139999999998</v>
      </c>
      <c r="K129" s="1">
        <f>IFERROR(VLOOKUP(B129,Petróleo!R:S,2,FALSE),"")</f>
        <v>2920</v>
      </c>
      <c r="L129" s="1">
        <f>IFERROR(VLOOKUP(B129,Petróleo!T:U,2,FALSE),"")</f>
        <v>3221.3009999999999</v>
      </c>
      <c r="M129" s="8">
        <f>IFERROR(VLOOKUP(B129,Petróleo!X:Y,2,FALSE),"")</f>
        <v>28840</v>
      </c>
      <c r="N129" s="8">
        <f>IFERROR(VLOOKUP(B129,Petróleo!Z:AA,2,FALSE),"")</f>
        <v>8650</v>
      </c>
      <c r="O129" s="8">
        <f>IFERROR(VLOOKUP(B129,Petróleo!AB:AC,2,FALSE),"")</f>
        <v>2300</v>
      </c>
      <c r="P129" s="8">
        <f>IFERROR(VLOOKUP(B129,Petróleo!AD:AE,2,FALSE),"")</f>
        <v>3650</v>
      </c>
      <c r="Q129" s="8">
        <f>IFERROR(VLOOKUP(B129,Petróleo!AF:AG,2,FALSE),"")</f>
        <v>2900</v>
      </c>
      <c r="R129" s="8">
        <f>IFERROR(VLOOKUP(B129,Petróleo!AH:AI,2,FALSE),"")</f>
        <v>1430</v>
      </c>
      <c r="S129" s="8">
        <f>IFERROR(VLOOKUP(B129,Petróleo!AJ:AK,2,FALSE),"")</f>
        <v>2010</v>
      </c>
      <c r="T129" s="8">
        <f>IFERROR(VLOOKUP(B129,Petróleo!AL:AM,2,FALSE),"")</f>
        <v>2930</v>
      </c>
      <c r="U129" s="8">
        <f>IFERROR(VLOOKUP(B129,Petróleo!AN:AO,2,FALSE),"")</f>
        <v>2130</v>
      </c>
      <c r="V129" s="10" t="str">
        <f>IFERROR(VLOOKUP(A129,Petróleo!AR:AT,3,FALSE),"")</f>
        <v/>
      </c>
    </row>
    <row r="130" spans="1:22" x14ac:dyDescent="0.25">
      <c r="A130" s="9" t="str">
        <f t="shared" si="1"/>
        <v>92000</v>
      </c>
      <c r="B130" s="9">
        <v>36799</v>
      </c>
      <c r="C130" s="1">
        <f>IFERROR(VLOOKUP(B130,Petróleo!A:B,2,FALSE),"")</f>
        <v>5758</v>
      </c>
      <c r="D130" s="1">
        <f>IFERROR(VLOOKUP(B130,Estoque_US!D:E,2,FALSE),"")</f>
        <v>-83</v>
      </c>
      <c r="E130" s="1">
        <f>IFERROR(VLOOKUP(B130,Petróleo!F:G,2,FALSE),"")</f>
        <v>8100</v>
      </c>
      <c r="F130" s="1">
        <f>IFERROR(VLOOKUP(B130,Petróleo!H:I,2,FALSE),"")</f>
        <v>3900</v>
      </c>
      <c r="G130" s="1">
        <f>IFERROR(VLOOKUP(B130,Petróleo!J:K,2,FALSE),"")</f>
        <v>2849.5239999999999</v>
      </c>
      <c r="H130" s="1">
        <f>IFERROR(VLOOKUP(B130,Petróleo!L:M,2,FALSE),"")</f>
        <v>1425</v>
      </c>
      <c r="I130" s="1">
        <f>IFERROR(VLOOKUP(B130,Petróleo!N:O,2,FALSE),"")</f>
        <v>2008</v>
      </c>
      <c r="J130" s="1">
        <f>IFERROR(VLOOKUP(B130,Petróleo!P:Q,2,FALSE),"")</f>
        <v>6644.6980000000003</v>
      </c>
      <c r="K130" s="1">
        <f>IFERROR(VLOOKUP(B130,Petróleo!R:S,2,FALSE),"")</f>
        <v>2930</v>
      </c>
      <c r="L130" s="1">
        <f>IFERROR(VLOOKUP(B130,Petróleo!T:U,2,FALSE),"")</f>
        <v>3281.7359999999999</v>
      </c>
      <c r="M130" s="8">
        <f>IFERROR(VLOOKUP(B130,Petróleo!X:Y,2,FALSE),"")</f>
        <v>29060</v>
      </c>
      <c r="N130" s="8">
        <f>IFERROR(VLOOKUP(B130,Petróleo!Z:AA,2,FALSE),"")</f>
        <v>8800</v>
      </c>
      <c r="O130" s="8">
        <f>IFERROR(VLOOKUP(B130,Petróleo!AB:AC,2,FALSE),"")</f>
        <v>2310</v>
      </c>
      <c r="P130" s="8">
        <f>IFERROR(VLOOKUP(B130,Petróleo!AD:AE,2,FALSE),"")</f>
        <v>3720</v>
      </c>
      <c r="Q130" s="8">
        <f>IFERROR(VLOOKUP(B130,Petróleo!AF:AG,2,FALSE),"")</f>
        <v>2870</v>
      </c>
      <c r="R130" s="8">
        <f>IFERROR(VLOOKUP(B130,Petróleo!AH:AI,2,FALSE),"")</f>
        <v>1430</v>
      </c>
      <c r="S130" s="8">
        <f>IFERROR(VLOOKUP(B130,Petróleo!AJ:AK,2,FALSE),"")</f>
        <v>1990</v>
      </c>
      <c r="T130" s="8">
        <f>IFERROR(VLOOKUP(B130,Petróleo!AL:AM,2,FALSE),"")</f>
        <v>2930</v>
      </c>
      <c r="U130" s="8">
        <f>IFERROR(VLOOKUP(B130,Petróleo!AN:AO,2,FALSE),"")</f>
        <v>2170</v>
      </c>
      <c r="V130" s="10" t="str">
        <f>IFERROR(VLOOKUP(A130,Petróleo!AR:AT,3,FALSE),"")</f>
        <v/>
      </c>
    </row>
    <row r="131" spans="1:22" x14ac:dyDescent="0.25">
      <c r="A131" s="9" t="str">
        <f t="shared" ref="A131:A194" si="2">MONTH(B131)&amp;YEAR(B131)</f>
        <v>102000</v>
      </c>
      <c r="B131" s="9">
        <v>36830</v>
      </c>
      <c r="C131" s="1">
        <f>IFERROR(VLOOKUP(B131,Petróleo!A:B,2,FALSE),"")</f>
        <v>5809</v>
      </c>
      <c r="D131" s="1">
        <f>IFERROR(VLOOKUP(B131,Estoque_US!D:E,2,FALSE),"")</f>
        <v>-2524</v>
      </c>
      <c r="E131" s="1">
        <f>IFERROR(VLOOKUP(B131,Petróleo!F:G,2,FALSE),"")</f>
        <v>8350</v>
      </c>
      <c r="F131" s="1">
        <f>IFERROR(VLOOKUP(B131,Petróleo!H:I,2,FALSE),"")</f>
        <v>3810</v>
      </c>
      <c r="G131" s="1">
        <f>IFERROR(VLOOKUP(B131,Petróleo!J:K,2,FALSE),"")</f>
        <v>2998.3870000000002</v>
      </c>
      <c r="H131" s="1">
        <f>IFERROR(VLOOKUP(B131,Petróleo!L:M,2,FALSE),"")</f>
        <v>1440</v>
      </c>
      <c r="I131" s="1">
        <f>IFERROR(VLOOKUP(B131,Petróleo!N:O,2,FALSE),"")</f>
        <v>2133</v>
      </c>
      <c r="J131" s="1">
        <f>IFERROR(VLOOKUP(B131,Petróleo!P:Q,2,FALSE),"")</f>
        <v>6662.3159999999998</v>
      </c>
      <c r="K131" s="1">
        <f>IFERROR(VLOOKUP(B131,Petróleo!R:S,2,FALSE),"")</f>
        <v>2950</v>
      </c>
      <c r="L131" s="1">
        <f>IFERROR(VLOOKUP(B131,Petróleo!T:U,2,FALSE),"")</f>
        <v>3240.5160000000001</v>
      </c>
      <c r="M131" s="8">
        <f>IFERROR(VLOOKUP(B131,Petróleo!X:Y,2,FALSE),"")</f>
        <v>29510</v>
      </c>
      <c r="N131" s="8">
        <f>IFERROR(VLOOKUP(B131,Petróleo!Z:AA,2,FALSE),"")</f>
        <v>8920</v>
      </c>
      <c r="O131" s="8">
        <f>IFERROR(VLOOKUP(B131,Petróleo!AB:AC,2,FALSE),"")</f>
        <v>2300</v>
      </c>
      <c r="P131" s="8">
        <f>IFERROR(VLOOKUP(B131,Petróleo!AD:AE,2,FALSE),"")</f>
        <v>3800</v>
      </c>
      <c r="Q131" s="8">
        <f>IFERROR(VLOOKUP(B131,Petróleo!AF:AG,2,FALSE),"")</f>
        <v>3010</v>
      </c>
      <c r="R131" s="8">
        <f>IFERROR(VLOOKUP(B131,Petróleo!AH:AI,2,FALSE),"")</f>
        <v>1430</v>
      </c>
      <c r="S131" s="8">
        <f>IFERROR(VLOOKUP(B131,Petróleo!AJ:AK,2,FALSE),"")</f>
        <v>2090</v>
      </c>
      <c r="T131" s="8">
        <f>IFERROR(VLOOKUP(B131,Petróleo!AL:AM,2,FALSE),"")</f>
        <v>3000</v>
      </c>
      <c r="U131" s="8">
        <f>IFERROR(VLOOKUP(B131,Petróleo!AN:AO,2,FALSE),"")</f>
        <v>2200</v>
      </c>
      <c r="V131" s="10" t="str">
        <f>IFERROR(VLOOKUP(A131,Petróleo!AR:AT,3,FALSE),"")</f>
        <v/>
      </c>
    </row>
    <row r="132" spans="1:22" x14ac:dyDescent="0.25">
      <c r="A132" s="9" t="str">
        <f t="shared" si="2"/>
        <v>112000</v>
      </c>
      <c r="B132" s="9">
        <v>36860</v>
      </c>
      <c r="C132" s="1">
        <f>IFERROR(VLOOKUP(B132,Petróleo!A:B,2,FALSE),"")</f>
        <v>5833</v>
      </c>
      <c r="D132" s="1">
        <f>IFERROR(VLOOKUP(B132,Estoque_US!D:E,2,FALSE),"")</f>
        <v>5964</v>
      </c>
      <c r="E132" s="1">
        <f>IFERROR(VLOOKUP(B132,Petróleo!F:G,2,FALSE),"")</f>
        <v>8600</v>
      </c>
      <c r="F132" s="1">
        <f>IFERROR(VLOOKUP(B132,Petróleo!H:I,2,FALSE),"")</f>
        <v>3800</v>
      </c>
      <c r="G132" s="1">
        <f>IFERROR(VLOOKUP(B132,Petróleo!J:K,2,FALSE),"")</f>
        <v>2896.4290000000001</v>
      </c>
      <c r="H132" s="1">
        <f>IFERROR(VLOOKUP(B132,Petróleo!L:M,2,FALSE),"")</f>
        <v>1450</v>
      </c>
      <c r="I132" s="1">
        <f>IFERROR(VLOOKUP(B132,Petróleo!N:O,2,FALSE),"")</f>
        <v>2166</v>
      </c>
      <c r="J132" s="1">
        <f>IFERROR(VLOOKUP(B132,Petróleo!P:Q,2,FALSE),"")</f>
        <v>6690.5640000000003</v>
      </c>
      <c r="K132" s="1">
        <f>IFERROR(VLOOKUP(B132,Petróleo!R:S,2,FALSE),"")</f>
        <v>3000</v>
      </c>
      <c r="L132" s="1">
        <f>IFERROR(VLOOKUP(B132,Petróleo!T:U,2,FALSE),"")</f>
        <v>3236.3789999999999</v>
      </c>
      <c r="M132" s="8">
        <f>IFERROR(VLOOKUP(B132,Petróleo!X:Y,2,FALSE),"")</f>
        <v>29490</v>
      </c>
      <c r="N132" s="8">
        <f>IFERROR(VLOOKUP(B132,Petróleo!Z:AA,2,FALSE),"")</f>
        <v>8920</v>
      </c>
      <c r="O132" s="8">
        <f>IFERROR(VLOOKUP(B132,Petróleo!AB:AC,2,FALSE),"")</f>
        <v>2320</v>
      </c>
      <c r="P132" s="8">
        <f>IFERROR(VLOOKUP(B132,Petróleo!AD:AE,2,FALSE),"")</f>
        <v>3770</v>
      </c>
      <c r="Q132" s="8">
        <f>IFERROR(VLOOKUP(B132,Petróleo!AF:AG,2,FALSE),"")</f>
        <v>2870</v>
      </c>
      <c r="R132" s="8">
        <f>IFERROR(VLOOKUP(B132,Petróleo!AH:AI,2,FALSE),"")</f>
        <v>1440</v>
      </c>
      <c r="S132" s="8">
        <f>IFERROR(VLOOKUP(B132,Petróleo!AJ:AK,2,FALSE),"")</f>
        <v>2100</v>
      </c>
      <c r="T132" s="8">
        <f>IFERROR(VLOOKUP(B132,Petróleo!AL:AM,2,FALSE),"")</f>
        <v>3000</v>
      </c>
      <c r="U132" s="8">
        <f>IFERROR(VLOOKUP(B132,Petróleo!AN:AO,2,FALSE),"")</f>
        <v>2210</v>
      </c>
      <c r="V132" s="10" t="str">
        <f>IFERROR(VLOOKUP(A132,Petróleo!AR:AT,3,FALSE),"")</f>
        <v/>
      </c>
    </row>
    <row r="133" spans="1:22" x14ac:dyDescent="0.25">
      <c r="A133" s="9" t="str">
        <f t="shared" si="2"/>
        <v>122000</v>
      </c>
      <c r="B133" s="9">
        <v>36891</v>
      </c>
      <c r="C133" s="1">
        <f>IFERROR(VLOOKUP(B133,Petróleo!A:B,2,FALSE),"")</f>
        <v>5855</v>
      </c>
      <c r="D133" s="1">
        <f>IFERROR(VLOOKUP(B133,Estoque_US!D:E,2,FALSE),"")</f>
        <v>-1427</v>
      </c>
      <c r="E133" s="1">
        <f>IFERROR(VLOOKUP(B133,Petróleo!F:G,2,FALSE),"")</f>
        <v>8400</v>
      </c>
      <c r="F133" s="1">
        <f>IFERROR(VLOOKUP(B133,Petróleo!H:I,2,FALSE),"")</f>
        <v>3870</v>
      </c>
      <c r="G133" s="1">
        <f>IFERROR(VLOOKUP(B133,Petróleo!J:K,2,FALSE),"")</f>
        <v>1319.4929999999999</v>
      </c>
      <c r="H133" s="1">
        <f>IFERROR(VLOOKUP(B133,Petróleo!L:M,2,FALSE),"")</f>
        <v>1455</v>
      </c>
      <c r="I133" s="1">
        <f>IFERROR(VLOOKUP(B133,Petróleo!N:O,2,FALSE),"")</f>
        <v>2156</v>
      </c>
      <c r="J133" s="1">
        <f>IFERROR(VLOOKUP(B133,Petróleo!P:Q,2,FALSE),"")</f>
        <v>6676.7309999999998</v>
      </c>
      <c r="K133" s="1">
        <f>IFERROR(VLOOKUP(B133,Petróleo!R:S,2,FALSE),"")</f>
        <v>3030</v>
      </c>
      <c r="L133" s="1">
        <f>IFERROR(VLOOKUP(B133,Petróleo!T:U,2,FALSE),"")</f>
        <v>3267.7379999999998</v>
      </c>
      <c r="M133" s="8">
        <f>IFERROR(VLOOKUP(B133,Petróleo!X:Y,2,FALSE),"")</f>
        <v>27990</v>
      </c>
      <c r="N133" s="8">
        <f>IFERROR(VLOOKUP(B133,Petróleo!Z:AA,2,FALSE),"")</f>
        <v>8740</v>
      </c>
      <c r="O133" s="8">
        <f>IFERROR(VLOOKUP(B133,Petróleo!AB:AC,2,FALSE),"")</f>
        <v>2340</v>
      </c>
      <c r="P133" s="8">
        <f>IFERROR(VLOOKUP(B133,Petróleo!AD:AE,2,FALSE),"")</f>
        <v>3840</v>
      </c>
      <c r="Q133" s="8">
        <f>IFERROR(VLOOKUP(B133,Petróleo!AF:AG,2,FALSE),"")</f>
        <v>1370</v>
      </c>
      <c r="R133" s="8">
        <f>IFERROR(VLOOKUP(B133,Petróleo!AH:AI,2,FALSE),"")</f>
        <v>1450</v>
      </c>
      <c r="S133" s="8">
        <f>IFERROR(VLOOKUP(B133,Petróleo!AJ:AK,2,FALSE),"")</f>
        <v>2130</v>
      </c>
      <c r="T133" s="8">
        <f>IFERROR(VLOOKUP(B133,Petróleo!AL:AM,2,FALSE),"")</f>
        <v>3030</v>
      </c>
      <c r="U133" s="8">
        <f>IFERROR(VLOOKUP(B133,Petróleo!AN:AO,2,FALSE),"")</f>
        <v>2230</v>
      </c>
      <c r="V133" s="10" t="str">
        <f>IFERROR(VLOOKUP(A133,Petróleo!AR:AT,3,FALSE),"")</f>
        <v/>
      </c>
    </row>
    <row r="134" spans="1:22" x14ac:dyDescent="0.25">
      <c r="A134" s="9" t="str">
        <f t="shared" si="2"/>
        <v>12001</v>
      </c>
      <c r="B134" s="9">
        <v>36922</v>
      </c>
      <c r="C134" s="1">
        <f>IFERROR(VLOOKUP(B134,Petróleo!A:B,2,FALSE),"")</f>
        <v>5799</v>
      </c>
      <c r="D134" s="1">
        <f>IFERROR(VLOOKUP(B134,Estoque_US!D:E,2,FALSE),"")</f>
        <v>-6041</v>
      </c>
      <c r="E134" s="1">
        <f>IFERROR(VLOOKUP(B134,Petróleo!F:G,2,FALSE),"")</f>
        <v>8300</v>
      </c>
      <c r="F134" s="1">
        <f>IFERROR(VLOOKUP(B134,Petróleo!H:I,2,FALSE),"")</f>
        <v>4050</v>
      </c>
      <c r="G134" s="1">
        <f>IFERROR(VLOOKUP(B134,Petróleo!J:K,2,FALSE),"")</f>
        <v>1731.106</v>
      </c>
      <c r="H134" s="1">
        <f>IFERROR(VLOOKUP(B134,Petróleo!L:M,2,FALSE),"")</f>
        <v>1450</v>
      </c>
      <c r="I134" s="1">
        <f>IFERROR(VLOOKUP(B134,Petróleo!N:O,2,FALSE),"")</f>
        <v>2177</v>
      </c>
      <c r="J134" s="1">
        <f>IFERROR(VLOOKUP(B134,Petróleo!P:Q,2,FALSE),"")</f>
        <v>6668.6970000000001</v>
      </c>
      <c r="K134" s="1">
        <f>IFERROR(VLOOKUP(B134,Petróleo!R:S,2,FALSE),"")</f>
        <v>3080</v>
      </c>
      <c r="L134" s="1">
        <f>IFERROR(VLOOKUP(B134,Petróleo!T:U,2,FALSE),"")</f>
        <v>3174.2</v>
      </c>
      <c r="M134" s="8">
        <f>IFERROR(VLOOKUP(B134,Petróleo!X:Y,2,FALSE),"")</f>
        <v>28370</v>
      </c>
      <c r="N134" s="8">
        <f>IFERROR(VLOOKUP(B134,Petróleo!Z:AA,2,FALSE),"")</f>
        <v>8620</v>
      </c>
      <c r="O134" s="8">
        <f>IFERROR(VLOOKUP(B134,Petróleo!AB:AC,2,FALSE),"")</f>
        <v>2360</v>
      </c>
      <c r="P134" s="8">
        <f>IFERROR(VLOOKUP(B134,Petróleo!AD:AE,2,FALSE),"")</f>
        <v>3920</v>
      </c>
      <c r="Q134" s="8">
        <f>IFERROR(VLOOKUP(B134,Petróleo!AF:AG,2,FALSE),"")</f>
        <v>1750</v>
      </c>
      <c r="R134" s="8">
        <f>IFERROR(VLOOKUP(B134,Petróleo!AH:AI,2,FALSE),"")</f>
        <v>1450</v>
      </c>
      <c r="S134" s="8">
        <f>IFERROR(VLOOKUP(B134,Petróleo!AJ:AK,2,FALSE),"")</f>
        <v>2150</v>
      </c>
      <c r="T134" s="8">
        <f>IFERROR(VLOOKUP(B134,Petróleo!AL:AM,2,FALSE),"")</f>
        <v>3050</v>
      </c>
      <c r="U134" s="8">
        <f>IFERROR(VLOOKUP(B134,Petróleo!AN:AO,2,FALSE),"")</f>
        <v>2220</v>
      </c>
      <c r="V134" s="10" t="str">
        <f>IFERROR(VLOOKUP(A134,Petróleo!AR:AT,3,FALSE),"")</f>
        <v/>
      </c>
    </row>
    <row r="135" spans="1:22" x14ac:dyDescent="0.25">
      <c r="A135" s="9" t="str">
        <f t="shared" si="2"/>
        <v>22001</v>
      </c>
      <c r="B135" s="9">
        <v>36950</v>
      </c>
      <c r="C135" s="1">
        <f>IFERROR(VLOOKUP(B135,Petróleo!A:B,2,FALSE),"")</f>
        <v>5780</v>
      </c>
      <c r="D135" s="1">
        <f>IFERROR(VLOOKUP(B135,Estoque_US!D:E,2,FALSE),"")</f>
        <v>-2600</v>
      </c>
      <c r="E135" s="1">
        <f>IFERROR(VLOOKUP(B135,Petróleo!F:G,2,FALSE),"")</f>
        <v>7900</v>
      </c>
      <c r="F135" s="1">
        <f>IFERROR(VLOOKUP(B135,Petróleo!H:I,2,FALSE),"")</f>
        <v>3890</v>
      </c>
      <c r="G135" s="1">
        <f>IFERROR(VLOOKUP(B135,Petróleo!J:K,2,FALSE),"")</f>
        <v>2127.194</v>
      </c>
      <c r="H135" s="1">
        <f>IFERROR(VLOOKUP(B135,Petróleo!L:M,2,FALSE),"")</f>
        <v>1380</v>
      </c>
      <c r="I135" s="1">
        <f>IFERROR(VLOOKUP(B135,Petróleo!N:O,2,FALSE),"")</f>
        <v>2146</v>
      </c>
      <c r="J135" s="1">
        <f>IFERROR(VLOOKUP(B135,Petróleo!P:Q,2,FALSE),"")</f>
        <v>6749.7039999999997</v>
      </c>
      <c r="K135" s="1">
        <f>IFERROR(VLOOKUP(B135,Petróleo!R:S,2,FALSE),"")</f>
        <v>2910</v>
      </c>
      <c r="L135" s="1">
        <f>IFERROR(VLOOKUP(B135,Petróleo!T:U,2,FALSE),"")</f>
        <v>3318.94</v>
      </c>
      <c r="M135" s="8">
        <f>IFERROR(VLOOKUP(B135,Petróleo!X:Y,2,FALSE),"")</f>
        <v>27830</v>
      </c>
      <c r="N135" s="8">
        <f>IFERROR(VLOOKUP(B135,Petróleo!Z:AA,2,FALSE),"")</f>
        <v>8330</v>
      </c>
      <c r="O135" s="8">
        <f>IFERROR(VLOOKUP(B135,Petróleo!AB:AC,2,FALSE),"")</f>
        <v>2260</v>
      </c>
      <c r="P135" s="8">
        <f>IFERROR(VLOOKUP(B135,Petróleo!AD:AE,2,FALSE),"")</f>
        <v>3750</v>
      </c>
      <c r="Q135" s="8">
        <f>IFERROR(VLOOKUP(B135,Petróleo!AF:AG,2,FALSE),"")</f>
        <v>1980</v>
      </c>
      <c r="R135" s="8">
        <f>IFERROR(VLOOKUP(B135,Petróleo!AH:AI,2,FALSE),"")</f>
        <v>1410</v>
      </c>
      <c r="S135" s="8">
        <f>IFERROR(VLOOKUP(B135,Petróleo!AJ:AK,2,FALSE),"")</f>
        <v>2120</v>
      </c>
      <c r="T135" s="8">
        <f>IFERROR(VLOOKUP(B135,Petróleo!AL:AM,2,FALSE),"")</f>
        <v>2980</v>
      </c>
      <c r="U135" s="8">
        <f>IFERROR(VLOOKUP(B135,Petróleo!AN:AO,2,FALSE),"")</f>
        <v>2140</v>
      </c>
      <c r="V135" s="10" t="str">
        <f>IFERROR(VLOOKUP(A135,Petróleo!AR:AT,3,FALSE),"")</f>
        <v/>
      </c>
    </row>
    <row r="136" spans="1:22" x14ac:dyDescent="0.25">
      <c r="A136" s="9" t="str">
        <f t="shared" si="2"/>
        <v>32001</v>
      </c>
      <c r="B136" s="9">
        <v>36981</v>
      </c>
      <c r="C136" s="1">
        <f>IFERROR(VLOOKUP(B136,Petróleo!A:B,2,FALSE),"")</f>
        <v>5880</v>
      </c>
      <c r="D136" s="1">
        <f>IFERROR(VLOOKUP(B136,Estoque_US!D:E,2,FALSE),"")</f>
        <v>23200</v>
      </c>
      <c r="E136" s="1">
        <f>IFERROR(VLOOKUP(B136,Petróleo!F:G,2,FALSE),"")</f>
        <v>7890</v>
      </c>
      <c r="F136" s="1">
        <f>IFERROR(VLOOKUP(B136,Petróleo!H:I,2,FALSE),"")</f>
        <v>3820</v>
      </c>
      <c r="G136" s="1">
        <f>IFERROR(VLOOKUP(B136,Petróleo!J:K,2,FALSE),"")</f>
        <v>2669.355</v>
      </c>
      <c r="H136" s="1">
        <f>IFERROR(VLOOKUP(B136,Petróleo!L:M,2,FALSE),"")</f>
        <v>1385</v>
      </c>
      <c r="I136" s="1">
        <f>IFERROR(VLOOKUP(B136,Petróleo!N:O,2,FALSE),"")</f>
        <v>2126</v>
      </c>
      <c r="J136" s="1">
        <f>IFERROR(VLOOKUP(B136,Petróleo!P:Q,2,FALSE),"")</f>
        <v>6784.5730000000003</v>
      </c>
      <c r="K136" s="1">
        <f>IFERROR(VLOOKUP(B136,Petróleo!R:S,2,FALSE),"")</f>
        <v>2910</v>
      </c>
      <c r="L136" s="1">
        <f>IFERROR(VLOOKUP(B136,Petróleo!T:U,2,FALSE),"")</f>
        <v>3366.873</v>
      </c>
      <c r="M136" s="8">
        <f>IFERROR(VLOOKUP(B136,Petróleo!X:Y,2,FALSE),"")</f>
        <v>28270</v>
      </c>
      <c r="N136" s="8">
        <f>IFERROR(VLOOKUP(B136,Petróleo!Z:AA,2,FALSE),"")</f>
        <v>8320</v>
      </c>
      <c r="O136" s="8">
        <f>IFERROR(VLOOKUP(B136,Petróleo!AB:AC,2,FALSE),"")</f>
        <v>2280</v>
      </c>
      <c r="P136" s="8">
        <f>IFERROR(VLOOKUP(B136,Petróleo!AD:AE,2,FALSE),"")</f>
        <v>3700</v>
      </c>
      <c r="Q136" s="8">
        <f>IFERROR(VLOOKUP(B136,Petróleo!AF:AG,2,FALSE),"")</f>
        <v>2700</v>
      </c>
      <c r="R136" s="8">
        <f>IFERROR(VLOOKUP(B136,Petróleo!AH:AI,2,FALSE),"")</f>
        <v>1400</v>
      </c>
      <c r="S136" s="8">
        <f>IFERROR(VLOOKUP(B136,Petróleo!AJ:AK,2,FALSE),"")</f>
        <v>2100</v>
      </c>
      <c r="T136" s="8">
        <f>IFERROR(VLOOKUP(B136,Petróleo!AL:AM,2,FALSE),"")</f>
        <v>2950</v>
      </c>
      <c r="U136" s="8">
        <f>IFERROR(VLOOKUP(B136,Petróleo!AN:AO,2,FALSE),"")</f>
        <v>2080</v>
      </c>
      <c r="V136" s="10" t="str">
        <f>IFERROR(VLOOKUP(A136,Petróleo!AR:AT,3,FALSE),"")</f>
        <v/>
      </c>
    </row>
    <row r="137" spans="1:22" x14ac:dyDescent="0.25">
      <c r="A137" s="9" t="str">
        <f t="shared" si="2"/>
        <v>42001</v>
      </c>
      <c r="B137" s="9">
        <v>37011</v>
      </c>
      <c r="C137" s="1">
        <f>IFERROR(VLOOKUP(B137,Petróleo!A:B,2,FALSE),"")</f>
        <v>5863</v>
      </c>
      <c r="D137" s="1">
        <f>IFERROR(VLOOKUP(B137,Estoque_US!D:E,2,FALSE),"")</f>
        <v>15000</v>
      </c>
      <c r="E137" s="1">
        <f>IFERROR(VLOOKUP(B137,Petróleo!F:G,2,FALSE),"")</f>
        <v>7620</v>
      </c>
      <c r="F137" s="1">
        <f>IFERROR(VLOOKUP(B137,Petróleo!H:I,2,FALSE),"")</f>
        <v>3750</v>
      </c>
      <c r="G137" s="1">
        <f>IFERROR(VLOOKUP(B137,Petróleo!J:K,2,FALSE),"")</f>
        <v>2927</v>
      </c>
      <c r="H137" s="1">
        <f>IFERROR(VLOOKUP(B137,Petróleo!L:M,2,FALSE),"")</f>
        <v>1380</v>
      </c>
      <c r="I137" s="1">
        <f>IFERROR(VLOOKUP(B137,Petróleo!N:O,2,FALSE),"")</f>
        <v>2062</v>
      </c>
      <c r="J137" s="1">
        <f>IFERROR(VLOOKUP(B137,Petróleo!P:Q,2,FALSE),"")</f>
        <v>6815.8410000000003</v>
      </c>
      <c r="K137" s="1">
        <f>IFERROR(VLOOKUP(B137,Petróleo!R:S,2,FALSE),"")</f>
        <v>2810</v>
      </c>
      <c r="L137" s="1">
        <f>IFERROR(VLOOKUP(B137,Petróleo!T:U,2,FALSE),"")</f>
        <v>3292.6930000000002</v>
      </c>
      <c r="M137" s="8">
        <f>IFERROR(VLOOKUP(B137,Petróleo!X:Y,2,FALSE),"")</f>
        <v>27760</v>
      </c>
      <c r="N137" s="8">
        <f>IFERROR(VLOOKUP(B137,Petróleo!Z:AA,2,FALSE),"")</f>
        <v>7980</v>
      </c>
      <c r="O137" s="8">
        <f>IFERROR(VLOOKUP(B137,Petróleo!AB:AC,2,FALSE),"")</f>
        <v>2190</v>
      </c>
      <c r="P137" s="8">
        <f>IFERROR(VLOOKUP(B137,Petróleo!AD:AE,2,FALSE),"")</f>
        <v>3680</v>
      </c>
      <c r="Q137" s="8">
        <f>IFERROR(VLOOKUP(B137,Petróleo!AF:AG,2,FALSE),"")</f>
        <v>2880</v>
      </c>
      <c r="R137" s="8">
        <f>IFERROR(VLOOKUP(B137,Petróleo!AH:AI,2,FALSE),"")</f>
        <v>1380</v>
      </c>
      <c r="S137" s="8">
        <f>IFERROR(VLOOKUP(B137,Petróleo!AJ:AK,2,FALSE),"")</f>
        <v>2070</v>
      </c>
      <c r="T137" s="8">
        <f>IFERROR(VLOOKUP(B137,Petróleo!AL:AM,2,FALSE),"")</f>
        <v>2870</v>
      </c>
      <c r="U137" s="8">
        <f>IFERROR(VLOOKUP(B137,Petróleo!AN:AO,2,FALSE),"")</f>
        <v>2010</v>
      </c>
      <c r="V137" s="10" t="str">
        <f>IFERROR(VLOOKUP(A137,Petróleo!AR:AT,3,FALSE),"")</f>
        <v/>
      </c>
    </row>
    <row r="138" spans="1:22" x14ac:dyDescent="0.25">
      <c r="A138" s="9" t="str">
        <f t="shared" si="2"/>
        <v>52001</v>
      </c>
      <c r="B138" s="9">
        <v>37042</v>
      </c>
      <c r="C138" s="1">
        <f>IFERROR(VLOOKUP(B138,Petróleo!A:B,2,FALSE),"")</f>
        <v>5829</v>
      </c>
      <c r="D138" s="1">
        <f>IFERROR(VLOOKUP(B138,Estoque_US!D:E,2,FALSE),"")</f>
        <v>4600</v>
      </c>
      <c r="E138" s="1">
        <f>IFERROR(VLOOKUP(B138,Petróleo!F:G,2,FALSE),"")</f>
        <v>7680</v>
      </c>
      <c r="F138" s="1">
        <f>IFERROR(VLOOKUP(B138,Petróleo!H:I,2,FALSE),"")</f>
        <v>3650</v>
      </c>
      <c r="G138" s="1">
        <f>IFERROR(VLOOKUP(B138,Petróleo!J:K,2,FALSE),"")</f>
        <v>2855.806</v>
      </c>
      <c r="H138" s="1">
        <f>IFERROR(VLOOKUP(B138,Petróleo!L:M,2,FALSE),"")</f>
        <v>1360</v>
      </c>
      <c r="I138" s="1">
        <f>IFERROR(VLOOKUP(B138,Petróleo!N:O,2,FALSE),"")</f>
        <v>2000</v>
      </c>
      <c r="J138" s="1">
        <f>IFERROR(VLOOKUP(B138,Petróleo!P:Q,2,FALSE),"")</f>
        <v>6884.5780000000004</v>
      </c>
      <c r="K138" s="1">
        <f>IFERROR(VLOOKUP(B138,Petróleo!R:S,2,FALSE),"")</f>
        <v>2780</v>
      </c>
      <c r="L138" s="1">
        <f>IFERROR(VLOOKUP(B138,Petróleo!T:U,2,FALSE),"")</f>
        <v>3301.1729999999998</v>
      </c>
      <c r="M138" s="8">
        <f>IFERROR(VLOOKUP(B138,Petróleo!X:Y,2,FALSE),"")</f>
        <v>27490</v>
      </c>
      <c r="N138" s="8">
        <f>IFERROR(VLOOKUP(B138,Petróleo!Z:AA,2,FALSE),"")</f>
        <v>7960</v>
      </c>
      <c r="O138" s="8">
        <f>IFERROR(VLOOKUP(B138,Petróleo!AB:AC,2,FALSE),"")</f>
        <v>2170</v>
      </c>
      <c r="P138" s="8">
        <f>IFERROR(VLOOKUP(B138,Petróleo!AD:AE,2,FALSE),"")</f>
        <v>3640</v>
      </c>
      <c r="Q138" s="8">
        <f>IFERROR(VLOOKUP(B138,Petróleo!AF:AG,2,FALSE),"")</f>
        <v>2790</v>
      </c>
      <c r="R138" s="8">
        <f>IFERROR(VLOOKUP(B138,Petróleo!AH:AI,2,FALSE),"")</f>
        <v>1370</v>
      </c>
      <c r="S138" s="8">
        <f>IFERROR(VLOOKUP(B138,Petróleo!AJ:AK,2,FALSE),"")</f>
        <v>2050</v>
      </c>
      <c r="T138" s="8">
        <f>IFERROR(VLOOKUP(B138,Petróleo!AL:AM,2,FALSE),"")</f>
        <v>2830</v>
      </c>
      <c r="U138" s="8">
        <f>IFERROR(VLOOKUP(B138,Petróleo!AN:AO,2,FALSE),"")</f>
        <v>1990</v>
      </c>
      <c r="V138" s="10" t="str">
        <f>IFERROR(VLOOKUP(A138,Petróleo!AR:AT,3,FALSE),"")</f>
        <v/>
      </c>
    </row>
    <row r="139" spans="1:22" x14ac:dyDescent="0.25">
      <c r="A139" s="9" t="str">
        <f t="shared" si="2"/>
        <v>62001</v>
      </c>
      <c r="B139" s="9">
        <v>37072</v>
      </c>
      <c r="C139" s="1">
        <f>IFERROR(VLOOKUP(B139,Petróleo!A:B,2,FALSE),"")</f>
        <v>5766</v>
      </c>
      <c r="D139" s="1">
        <f>IFERROR(VLOOKUP(B139,Estoque_US!D:E,2,FALSE),"")</f>
        <v>-12108</v>
      </c>
      <c r="E139" s="1">
        <f>IFERROR(VLOOKUP(B139,Petróleo!F:G,2,FALSE),"")</f>
        <v>7750</v>
      </c>
      <c r="F139" s="1">
        <f>IFERROR(VLOOKUP(B139,Petróleo!H:I,2,FALSE),"")</f>
        <v>3750</v>
      </c>
      <c r="G139" s="1">
        <f>IFERROR(VLOOKUP(B139,Petróleo!J:K,2,FALSE),"")</f>
        <v>883.33299999999997</v>
      </c>
      <c r="H139" s="1">
        <f>IFERROR(VLOOKUP(B139,Petróleo!L:M,2,FALSE),"")</f>
        <v>1390</v>
      </c>
      <c r="I139" s="1">
        <f>IFERROR(VLOOKUP(B139,Petróleo!N:O,2,FALSE),"")</f>
        <v>1980</v>
      </c>
      <c r="J139" s="1">
        <f>IFERROR(VLOOKUP(B139,Petróleo!P:Q,2,FALSE),"")</f>
        <v>7039.9189999999999</v>
      </c>
      <c r="K139" s="1">
        <f>IFERROR(VLOOKUP(B139,Petróleo!R:S,2,FALSE),"")</f>
        <v>2810</v>
      </c>
      <c r="L139" s="1">
        <f>IFERROR(VLOOKUP(B139,Petróleo!T:U,2,FALSE),"")</f>
        <v>3302.8150000000001</v>
      </c>
      <c r="M139" s="8">
        <f>IFERROR(VLOOKUP(B139,Petróleo!X:Y,2,FALSE),"")</f>
        <v>25821</v>
      </c>
      <c r="N139" s="8">
        <f>IFERROR(VLOOKUP(B139,Petróleo!Z:AA,2,FALSE),"")</f>
        <v>8040</v>
      </c>
      <c r="O139" s="8">
        <f>IFERROR(VLOOKUP(B139,Petróleo!AB:AC,2,FALSE),"")</f>
        <v>2100</v>
      </c>
      <c r="P139" s="8">
        <f>IFERROR(VLOOKUP(B139,Petróleo!AD:AE,2,FALSE),"")</f>
        <v>3650</v>
      </c>
      <c r="Q139" s="8">
        <f>IFERROR(VLOOKUP(B139,Petróleo!AF:AG,2,FALSE),"")</f>
        <v>981</v>
      </c>
      <c r="R139" s="8">
        <f>IFERROR(VLOOKUP(B139,Petróleo!AH:AI,2,FALSE),"")</f>
        <v>1390</v>
      </c>
      <c r="S139" s="8">
        <f>IFERROR(VLOOKUP(B139,Petróleo!AJ:AK,2,FALSE),"")</f>
        <v>2060</v>
      </c>
      <c r="T139" s="8">
        <f>IFERROR(VLOOKUP(B139,Petróleo!AL:AM,2,FALSE),"")</f>
        <v>2850</v>
      </c>
      <c r="U139" s="8">
        <f>IFERROR(VLOOKUP(B139,Petróleo!AN:AO,2,FALSE),"")</f>
        <v>2000</v>
      </c>
      <c r="V139" s="10" t="str">
        <f>IFERROR(VLOOKUP(A139,Petróleo!AR:AT,3,FALSE),"")</f>
        <v/>
      </c>
    </row>
    <row r="140" spans="1:22" x14ac:dyDescent="0.25">
      <c r="A140" s="9" t="str">
        <f t="shared" si="2"/>
        <v>72001</v>
      </c>
      <c r="B140" s="9">
        <v>37103</v>
      </c>
      <c r="C140" s="1">
        <f>IFERROR(VLOOKUP(B140,Petróleo!A:B,2,FALSE),"")</f>
        <v>5749</v>
      </c>
      <c r="D140" s="1">
        <f>IFERROR(VLOOKUP(B140,Estoque_US!D:E,2,FALSE),"")</f>
        <v>4400</v>
      </c>
      <c r="E140" s="1">
        <f>IFERROR(VLOOKUP(B140,Petróleo!F:G,2,FALSE),"")</f>
        <v>8091</v>
      </c>
      <c r="F140" s="1">
        <f>IFERROR(VLOOKUP(B140,Petróleo!H:I,2,FALSE),"")</f>
        <v>3840</v>
      </c>
      <c r="G140" s="1">
        <f>IFERROR(VLOOKUP(B140,Petróleo!J:K,2,FALSE),"")</f>
        <v>2132.5810000000001</v>
      </c>
      <c r="H140" s="1">
        <f>IFERROR(VLOOKUP(B140,Petróleo!L:M,2,FALSE),"")</f>
        <v>1390</v>
      </c>
      <c r="I140" s="1">
        <f>IFERROR(VLOOKUP(B140,Petróleo!N:O,2,FALSE),"")</f>
        <v>1958</v>
      </c>
      <c r="J140" s="1">
        <f>IFERROR(VLOOKUP(B140,Petróleo!P:Q,2,FALSE),"")</f>
        <v>7092.4620000000004</v>
      </c>
      <c r="K140" s="1">
        <f>IFERROR(VLOOKUP(B140,Petróleo!R:S,2,FALSE),"")</f>
        <v>2820</v>
      </c>
      <c r="L140" s="1">
        <f>IFERROR(VLOOKUP(B140,Petróleo!T:U,2,FALSE),"")</f>
        <v>3252.8989999999999</v>
      </c>
      <c r="M140" s="8">
        <f>IFERROR(VLOOKUP(B140,Petróleo!X:Y,2,FALSE),"")</f>
        <v>27140</v>
      </c>
      <c r="N140" s="8">
        <f>IFERROR(VLOOKUP(B140,Petróleo!Z:AA,2,FALSE),"")</f>
        <v>8070</v>
      </c>
      <c r="O140" s="8">
        <f>IFERROR(VLOOKUP(B140,Petróleo!AB:AC,2,FALSE),"")</f>
        <v>2150</v>
      </c>
      <c r="P140" s="8">
        <f>IFERROR(VLOOKUP(B140,Petróleo!AD:AE,2,FALSE),"")</f>
        <v>3760</v>
      </c>
      <c r="Q140" s="8">
        <f>IFERROR(VLOOKUP(B140,Petróleo!AF:AG,2,FALSE),"")</f>
        <v>2130</v>
      </c>
      <c r="R140" s="8">
        <f>IFERROR(VLOOKUP(B140,Petróleo!AH:AI,2,FALSE),"")</f>
        <v>1390</v>
      </c>
      <c r="S140" s="8">
        <f>IFERROR(VLOOKUP(B140,Petróleo!AJ:AK,2,FALSE),"")</f>
        <v>1950</v>
      </c>
      <c r="T140" s="8">
        <f>IFERROR(VLOOKUP(B140,Petróleo!AL:AM,2,FALSE),"")</f>
        <v>2870</v>
      </c>
      <c r="U140" s="8">
        <f>IFERROR(VLOOKUP(B140,Petróleo!AN:AO,2,FALSE),"")</f>
        <v>2060</v>
      </c>
      <c r="V140" s="10" t="str">
        <f>IFERROR(VLOOKUP(A140,Petróleo!AR:AT,3,FALSE),"")</f>
        <v/>
      </c>
    </row>
    <row r="141" spans="1:22" x14ac:dyDescent="0.25">
      <c r="A141" s="9" t="str">
        <f t="shared" si="2"/>
        <v>82001</v>
      </c>
      <c r="B141" s="9">
        <v>37134</v>
      </c>
      <c r="C141" s="1">
        <f>IFERROR(VLOOKUP(B141,Petróleo!A:B,2,FALSE),"")</f>
        <v>5725</v>
      </c>
      <c r="D141" s="1">
        <f>IFERROR(VLOOKUP(B141,Estoque_US!D:E,2,FALSE),"")</f>
        <v>-12600</v>
      </c>
      <c r="E141" s="1">
        <f>IFERROR(VLOOKUP(B141,Petróleo!F:G,2,FALSE),"")</f>
        <v>7823</v>
      </c>
      <c r="F141" s="1">
        <f>IFERROR(VLOOKUP(B141,Petróleo!H:I,2,FALSE),"")</f>
        <v>3750</v>
      </c>
      <c r="G141" s="1">
        <f>IFERROR(VLOOKUP(B141,Petróleo!J:K,2,FALSE),"")</f>
        <v>2793.2260000000001</v>
      </c>
      <c r="H141" s="1">
        <f>IFERROR(VLOOKUP(B141,Petróleo!L:M,2,FALSE),"")</f>
        <v>1400</v>
      </c>
      <c r="I141" s="1">
        <f>IFERROR(VLOOKUP(B141,Petróleo!N:O,2,FALSE),"")</f>
        <v>2067</v>
      </c>
      <c r="J141" s="1">
        <f>IFERROR(VLOOKUP(B141,Petróleo!P:Q,2,FALSE),"")</f>
        <v>7150.6090000000004</v>
      </c>
      <c r="K141" s="1">
        <f>IFERROR(VLOOKUP(B141,Petróleo!R:S,2,FALSE),"")</f>
        <v>2817.77</v>
      </c>
      <c r="L141" s="1">
        <f>IFERROR(VLOOKUP(B141,Petróleo!T:U,2,FALSE),"")</f>
        <v>3293.7089999999998</v>
      </c>
      <c r="M141" s="8">
        <f>IFERROR(VLOOKUP(B141,Petróleo!X:Y,2,FALSE),"")</f>
        <v>27690</v>
      </c>
      <c r="N141" s="8">
        <f>IFERROR(VLOOKUP(B141,Petróleo!Z:AA,2,FALSE),"")</f>
        <v>8000</v>
      </c>
      <c r="O141" s="8">
        <f>IFERROR(VLOOKUP(B141,Petróleo!AB:AC,2,FALSE),"")</f>
        <v>2160</v>
      </c>
      <c r="P141" s="8">
        <f>IFERROR(VLOOKUP(B141,Petróleo!AD:AE,2,FALSE),"")</f>
        <v>3750</v>
      </c>
      <c r="Q141" s="8">
        <f>IFERROR(VLOOKUP(B141,Petróleo!AF:AG,2,FALSE),"")</f>
        <v>2740</v>
      </c>
      <c r="R141" s="8">
        <f>IFERROR(VLOOKUP(B141,Petróleo!AH:AI,2,FALSE),"")</f>
        <v>1390</v>
      </c>
      <c r="S141" s="8">
        <f>IFERROR(VLOOKUP(B141,Petróleo!AJ:AK,2,FALSE),"")</f>
        <v>2050</v>
      </c>
      <c r="T141" s="8">
        <f>IFERROR(VLOOKUP(B141,Petróleo!AL:AM,2,FALSE),"")</f>
        <v>2810</v>
      </c>
      <c r="U141" s="8">
        <f>IFERROR(VLOOKUP(B141,Petróleo!AN:AO,2,FALSE),"")</f>
        <v>2040</v>
      </c>
      <c r="V141" s="10" t="str">
        <f>IFERROR(VLOOKUP(A141,Petróleo!AR:AT,3,FALSE),"")</f>
        <v/>
      </c>
    </row>
    <row r="142" spans="1:22" x14ac:dyDescent="0.25">
      <c r="A142" s="9" t="str">
        <f t="shared" si="2"/>
        <v>92001</v>
      </c>
      <c r="B142" s="9">
        <v>37164</v>
      </c>
      <c r="C142" s="1">
        <f>IFERROR(VLOOKUP(B142,Petróleo!A:B,2,FALSE),"")</f>
        <v>5709</v>
      </c>
      <c r="D142" s="1">
        <f>IFERROR(VLOOKUP(B142,Estoque_US!D:E,2,FALSE),"")</f>
        <v>5000</v>
      </c>
      <c r="E142" s="1">
        <f>IFERROR(VLOOKUP(B142,Petróleo!F:G,2,FALSE),"")</f>
        <v>7600</v>
      </c>
      <c r="F142" s="1">
        <f>IFERROR(VLOOKUP(B142,Petróleo!H:I,2,FALSE),"")</f>
        <v>3620</v>
      </c>
      <c r="G142" s="1">
        <f>IFERROR(VLOOKUP(B142,Petróleo!J:K,2,FALSE),"")</f>
        <v>2544.6669999999999</v>
      </c>
      <c r="H142" s="1">
        <f>IFERROR(VLOOKUP(B142,Petróleo!L:M,2,FALSE),"")</f>
        <v>1340</v>
      </c>
      <c r="I142" s="1">
        <f>IFERROR(VLOOKUP(B142,Petróleo!N:O,2,FALSE),"")</f>
        <v>2134</v>
      </c>
      <c r="J142" s="1">
        <f>IFERROR(VLOOKUP(B142,Petróleo!P:Q,2,FALSE),"")</f>
        <v>7211.4889999999996</v>
      </c>
      <c r="K142" s="1">
        <f>IFERROR(VLOOKUP(B142,Petróleo!R:S,2,FALSE),"")</f>
        <v>2691.9879999999998</v>
      </c>
      <c r="L142" s="1">
        <f>IFERROR(VLOOKUP(B142,Petróleo!T:U,2,FALSE),"")</f>
        <v>3278.5059999999999</v>
      </c>
      <c r="M142" s="8">
        <f>IFERROR(VLOOKUP(B142,Petróleo!X:Y,2,FALSE),"")</f>
        <v>27160</v>
      </c>
      <c r="N142" s="8">
        <f>IFERROR(VLOOKUP(B142,Petróleo!Z:AA,2,FALSE),"")</f>
        <v>7850</v>
      </c>
      <c r="O142" s="8">
        <f>IFERROR(VLOOKUP(B142,Petróleo!AB:AC,2,FALSE),"")</f>
        <v>2100</v>
      </c>
      <c r="P142" s="8">
        <f>IFERROR(VLOOKUP(B142,Petróleo!AD:AE,2,FALSE),"")</f>
        <v>3650</v>
      </c>
      <c r="Q142" s="8">
        <f>IFERROR(VLOOKUP(B142,Petróleo!AF:AG,2,FALSE),"")</f>
        <v>2680</v>
      </c>
      <c r="R142" s="8">
        <f>IFERROR(VLOOKUP(B142,Petróleo!AH:AI,2,FALSE),"")</f>
        <v>1340</v>
      </c>
      <c r="S142" s="8">
        <f>IFERROR(VLOOKUP(B142,Petróleo!AJ:AK,2,FALSE),"")</f>
        <v>2090</v>
      </c>
      <c r="T142" s="8">
        <f>IFERROR(VLOOKUP(B142,Petróleo!AL:AM,2,FALSE),"")</f>
        <v>2750</v>
      </c>
      <c r="U142" s="8">
        <f>IFERROR(VLOOKUP(B142,Petróleo!AN:AO,2,FALSE),"")</f>
        <v>2000</v>
      </c>
      <c r="V142" s="10" t="str">
        <f>IFERROR(VLOOKUP(A142,Petróleo!AR:AT,3,FALSE),"")</f>
        <v/>
      </c>
    </row>
    <row r="143" spans="1:22" x14ac:dyDescent="0.25">
      <c r="A143" s="9" t="str">
        <f t="shared" si="2"/>
        <v>102001</v>
      </c>
      <c r="B143" s="9">
        <v>37195</v>
      </c>
      <c r="C143" s="1">
        <f>IFERROR(VLOOKUP(B143,Petróleo!A:B,2,FALSE),"")</f>
        <v>5746</v>
      </c>
      <c r="D143" s="1">
        <f>IFERROR(VLOOKUP(B143,Estoque_US!D:E,2,FALSE),"")</f>
        <v>800</v>
      </c>
      <c r="E143" s="1">
        <f>IFERROR(VLOOKUP(B143,Petróleo!F:G,2,FALSE),"")</f>
        <v>7450</v>
      </c>
      <c r="F143" s="1">
        <f>IFERROR(VLOOKUP(B143,Petróleo!H:I,2,FALSE),"")</f>
        <v>3450</v>
      </c>
      <c r="G143" s="1">
        <f>IFERROR(VLOOKUP(B143,Petróleo!J:K,2,FALSE),"")</f>
        <v>2818.0650000000001</v>
      </c>
      <c r="H143" s="1">
        <f>IFERROR(VLOOKUP(B143,Petróleo!L:M,2,FALSE),"")</f>
        <v>1310</v>
      </c>
      <c r="I143" s="1">
        <f>IFERROR(VLOOKUP(B143,Petróleo!N:O,2,FALSE),"")</f>
        <v>2170</v>
      </c>
      <c r="J143" s="1">
        <f>IFERROR(VLOOKUP(B143,Petróleo!P:Q,2,FALSE),"")</f>
        <v>7208.2039999999997</v>
      </c>
      <c r="K143" s="1">
        <f>IFERROR(VLOOKUP(B143,Petróleo!R:S,2,FALSE),"")</f>
        <v>2681.9879999999998</v>
      </c>
      <c r="L143" s="1">
        <f>IFERROR(VLOOKUP(B143,Petróleo!T:U,2,FALSE),"")</f>
        <v>3304.2109999999998</v>
      </c>
      <c r="M143" s="8">
        <f>IFERROR(VLOOKUP(B143,Petróleo!X:Y,2,FALSE),"")</f>
        <v>26850</v>
      </c>
      <c r="N143" s="8">
        <f>IFERROR(VLOOKUP(B143,Petróleo!Z:AA,2,FALSE),"")</f>
        <v>7690</v>
      </c>
      <c r="O143" s="8">
        <f>IFERROR(VLOOKUP(B143,Petróleo!AB:AC,2,FALSE),"")</f>
        <v>2040</v>
      </c>
      <c r="P143" s="8">
        <f>IFERROR(VLOOKUP(B143,Petróleo!AD:AE,2,FALSE),"")</f>
        <v>3520</v>
      </c>
      <c r="Q143" s="8">
        <f>IFERROR(VLOOKUP(B143,Petróleo!AF:AG,2,FALSE),"")</f>
        <v>2840</v>
      </c>
      <c r="R143" s="8">
        <f>IFERROR(VLOOKUP(B143,Petróleo!AH:AI,2,FALSE),"")</f>
        <v>1310</v>
      </c>
      <c r="S143" s="8">
        <f>IFERROR(VLOOKUP(B143,Petróleo!AJ:AK,2,FALSE),"")</f>
        <v>2160</v>
      </c>
      <c r="T143" s="8">
        <f>IFERROR(VLOOKUP(B143,Petróleo!AL:AM,2,FALSE),"")</f>
        <v>2700</v>
      </c>
      <c r="U143" s="8">
        <f>IFERROR(VLOOKUP(B143,Petróleo!AN:AO,2,FALSE),"")</f>
        <v>1960</v>
      </c>
      <c r="V143" s="10" t="str">
        <f>IFERROR(VLOOKUP(A143,Petróleo!AR:AT,3,FALSE),"")</f>
        <v/>
      </c>
    </row>
    <row r="144" spans="1:22" x14ac:dyDescent="0.25">
      <c r="A144" s="9" t="str">
        <f t="shared" si="2"/>
        <v>112001</v>
      </c>
      <c r="B144" s="9">
        <v>37225</v>
      </c>
      <c r="C144" s="1">
        <f>IFERROR(VLOOKUP(B144,Petróleo!A:B,2,FALSE),"")</f>
        <v>5881</v>
      </c>
      <c r="D144" s="1">
        <f>IFERROR(VLOOKUP(B144,Estoque_US!D:E,2,FALSE),"")</f>
        <v>3200</v>
      </c>
      <c r="E144" s="1">
        <f>IFERROR(VLOOKUP(B144,Petróleo!F:G,2,FALSE),"")</f>
        <v>6980</v>
      </c>
      <c r="F144" s="1">
        <f>IFERROR(VLOOKUP(B144,Petróleo!H:I,2,FALSE),"")</f>
        <v>3380</v>
      </c>
      <c r="G144" s="1">
        <f>IFERROR(VLOOKUP(B144,Petróleo!J:K,2,FALSE),"")</f>
        <v>2770</v>
      </c>
      <c r="H144" s="1">
        <f>IFERROR(VLOOKUP(B144,Petróleo!L:M,2,FALSE),"")</f>
        <v>1290</v>
      </c>
      <c r="I144" s="1">
        <f>IFERROR(VLOOKUP(B144,Petróleo!N:O,2,FALSE),"")</f>
        <v>2077</v>
      </c>
      <c r="J144" s="1">
        <f>IFERROR(VLOOKUP(B144,Petróleo!P:Q,2,FALSE),"")</f>
        <v>7278.8450000000003</v>
      </c>
      <c r="K144" s="1">
        <f>IFERROR(VLOOKUP(B144,Petróleo!R:S,2,FALSE),"")</f>
        <v>2691.9879999999998</v>
      </c>
      <c r="L144" s="1">
        <f>IFERROR(VLOOKUP(B144,Petróleo!T:U,2,FALSE),"")</f>
        <v>3306.9760000000001</v>
      </c>
      <c r="M144" s="8">
        <f>IFERROR(VLOOKUP(B144,Petróleo!X:Y,2,FALSE),"")</f>
        <v>26470</v>
      </c>
      <c r="N144" s="8">
        <f>IFERROR(VLOOKUP(B144,Petróleo!Z:AA,2,FALSE),"")</f>
        <v>7640</v>
      </c>
      <c r="O144" s="8">
        <f>IFERROR(VLOOKUP(B144,Petróleo!AB:AC,2,FALSE),"")</f>
        <v>2020</v>
      </c>
      <c r="P144" s="8">
        <f>IFERROR(VLOOKUP(B144,Petróleo!AD:AE,2,FALSE),"")</f>
        <v>3460</v>
      </c>
      <c r="Q144" s="8">
        <f>IFERROR(VLOOKUP(B144,Petróleo!AF:AG,2,FALSE),"")</f>
        <v>2750</v>
      </c>
      <c r="R144" s="8">
        <f>IFERROR(VLOOKUP(B144,Petróleo!AH:AI,2,FALSE),"")</f>
        <v>1290</v>
      </c>
      <c r="S144" s="8">
        <f>IFERROR(VLOOKUP(B144,Petróleo!AJ:AK,2,FALSE),"")</f>
        <v>2080</v>
      </c>
      <c r="T144" s="8">
        <f>IFERROR(VLOOKUP(B144,Petróleo!AL:AM,2,FALSE),"")</f>
        <v>2690</v>
      </c>
      <c r="U144" s="8">
        <f>IFERROR(VLOOKUP(B144,Petróleo!AN:AO,2,FALSE),"")</f>
        <v>1940</v>
      </c>
      <c r="V144" s="10" t="str">
        <f>IFERROR(VLOOKUP(A144,Petróleo!AR:AT,3,FALSE),"")</f>
        <v/>
      </c>
    </row>
    <row r="145" spans="1:22" x14ac:dyDescent="0.25">
      <c r="A145" s="9" t="str">
        <f t="shared" si="2"/>
        <v>122001</v>
      </c>
      <c r="B145" s="9">
        <v>37256</v>
      </c>
      <c r="C145" s="1">
        <f>IFERROR(VLOOKUP(B145,Petróleo!A:B,2,FALSE),"")</f>
        <v>5887</v>
      </c>
      <c r="D145" s="1">
        <f>IFERROR(VLOOKUP(B145,Estoque_US!D:E,2,FALSE),"")</f>
        <v>-1600</v>
      </c>
      <c r="E145" s="1">
        <f>IFERROR(VLOOKUP(B145,Petróleo!F:G,2,FALSE),"")</f>
        <v>7280</v>
      </c>
      <c r="F145" s="1">
        <f>IFERROR(VLOOKUP(B145,Petróleo!H:I,2,FALSE),"")</f>
        <v>3400</v>
      </c>
      <c r="G145" s="1">
        <f>IFERROR(VLOOKUP(B145,Petróleo!J:K,2,FALSE),"")</f>
        <v>1999.0319999999999</v>
      </c>
      <c r="H145" s="1">
        <f>IFERROR(VLOOKUP(B145,Petróleo!L:M,2,FALSE),"")</f>
        <v>1300</v>
      </c>
      <c r="I145" s="1">
        <f>IFERROR(VLOOKUP(B145,Petróleo!N:O,2,FALSE),"")</f>
        <v>2094</v>
      </c>
      <c r="J145" s="1">
        <f>IFERROR(VLOOKUP(B145,Petróleo!P:Q,2,FALSE),"")</f>
        <v>7225.7939999999999</v>
      </c>
      <c r="K145" s="1">
        <f>IFERROR(VLOOKUP(B145,Petróleo!R:S,2,FALSE),"")</f>
        <v>2681.9879999999998</v>
      </c>
      <c r="L145" s="1">
        <f>IFERROR(VLOOKUP(B145,Petróleo!T:U,2,FALSE),"")</f>
        <v>3263.0720000000001</v>
      </c>
      <c r="M145" s="8">
        <f>IFERROR(VLOOKUP(B145,Petróleo!X:Y,2,FALSE),"")</f>
        <v>25810</v>
      </c>
      <c r="N145" s="8">
        <f>IFERROR(VLOOKUP(B145,Petróleo!Z:AA,2,FALSE),"")</f>
        <v>7640</v>
      </c>
      <c r="O145" s="8">
        <f>IFERROR(VLOOKUP(B145,Petróleo!AB:AC,2,FALSE),"")</f>
        <v>2050</v>
      </c>
      <c r="P145" s="8">
        <f>IFERROR(VLOOKUP(B145,Petróleo!AD:AE,2,FALSE),"")</f>
        <v>3480</v>
      </c>
      <c r="Q145" s="8">
        <f>IFERROR(VLOOKUP(B145,Petróleo!AF:AG,2,FALSE),"")</f>
        <v>2000</v>
      </c>
      <c r="R145" s="8">
        <f>IFERROR(VLOOKUP(B145,Petróleo!AH:AI,2,FALSE),"")</f>
        <v>1300</v>
      </c>
      <c r="S145" s="8">
        <f>IFERROR(VLOOKUP(B145,Petróleo!AJ:AK,2,FALSE),"")</f>
        <v>2070</v>
      </c>
      <c r="T145" s="8">
        <f>IFERROR(VLOOKUP(B145,Petróleo!AL:AM,2,FALSE),"")</f>
        <v>2710</v>
      </c>
      <c r="U145" s="8">
        <f>IFERROR(VLOOKUP(B145,Petróleo!AN:AO,2,FALSE),"")</f>
        <v>1940</v>
      </c>
      <c r="V145" s="10" t="str">
        <f>IFERROR(VLOOKUP(A145,Petróleo!AR:AT,3,FALSE),"")</f>
        <v/>
      </c>
    </row>
    <row r="146" spans="1:22" x14ac:dyDescent="0.25">
      <c r="A146" s="9" t="str">
        <f t="shared" si="2"/>
        <v>12002</v>
      </c>
      <c r="B146" s="9">
        <v>37287</v>
      </c>
      <c r="C146" s="1">
        <f>IFERROR(VLOOKUP(B146,Petróleo!A:B,2,FALSE),"")</f>
        <v>5873</v>
      </c>
      <c r="D146" s="1">
        <f>IFERROR(VLOOKUP(B146,Estoque_US!D:E,2,FALSE),"")</f>
        <v>7000</v>
      </c>
      <c r="E146" s="1">
        <f>IFERROR(VLOOKUP(B146,Petróleo!F:G,2,FALSE),"")</f>
        <v>6900</v>
      </c>
      <c r="F146" s="1">
        <f>IFERROR(VLOOKUP(B146,Petróleo!H:I,2,FALSE),"")</f>
        <v>3424</v>
      </c>
      <c r="G146" s="1">
        <f>IFERROR(VLOOKUP(B146,Petróleo!J:K,2,FALSE),"")</f>
        <v>2256.7739999999999</v>
      </c>
      <c r="H146" s="1">
        <f>IFERROR(VLOOKUP(B146,Petróleo!L:M,2,FALSE),"")</f>
        <v>1270</v>
      </c>
      <c r="I146" s="1">
        <f>IFERROR(VLOOKUP(B146,Petróleo!N:O,2,FALSE),"")</f>
        <v>2017</v>
      </c>
      <c r="J146" s="1">
        <f>IFERROR(VLOOKUP(B146,Petróleo!P:Q,2,FALSE),"")</f>
        <v>7262.8890000000001</v>
      </c>
      <c r="K146" s="1">
        <f>IFERROR(VLOOKUP(B146,Petróleo!R:S,2,FALSE),"")</f>
        <v>2557.471</v>
      </c>
      <c r="L146" s="1">
        <f>IFERROR(VLOOKUP(B146,Petróleo!T:U,2,FALSE),"")</f>
        <v>3323.9470000000001</v>
      </c>
      <c r="M146" s="8">
        <f>IFERROR(VLOOKUP(B146,Petróleo!X:Y,2,FALSE),"")</f>
        <v>25010</v>
      </c>
      <c r="N146" s="8">
        <f>IFERROR(VLOOKUP(B146,Petróleo!Z:AA,2,FALSE),"")</f>
        <v>7350</v>
      </c>
      <c r="O146" s="8">
        <f>IFERROR(VLOOKUP(B146,Petróleo!AB:AC,2,FALSE),"")</f>
        <v>1950</v>
      </c>
      <c r="P146" s="8">
        <f>IFERROR(VLOOKUP(B146,Petróleo!AD:AE,2,FALSE),"")</f>
        <v>3320</v>
      </c>
      <c r="Q146" s="8">
        <f>IFERROR(VLOOKUP(B146,Petróleo!AF:AG,2,FALSE),"")</f>
        <v>2210</v>
      </c>
      <c r="R146" s="8">
        <f>IFERROR(VLOOKUP(B146,Petróleo!AH:AI,2,FALSE),"")</f>
        <v>1260</v>
      </c>
      <c r="S146" s="8">
        <f>IFERROR(VLOOKUP(B146,Petróleo!AJ:AK,2,FALSE),"")</f>
        <v>1970</v>
      </c>
      <c r="T146" s="8">
        <f>IFERROR(VLOOKUP(B146,Petróleo!AL:AM,2,FALSE),"")</f>
        <v>2580</v>
      </c>
      <c r="U146" s="8">
        <f>IFERROR(VLOOKUP(B146,Petróleo!AN:AO,2,FALSE),"")</f>
        <v>1840</v>
      </c>
      <c r="V146" s="10" t="str">
        <f>IFERROR(VLOOKUP(A146,Petróleo!AR:AT,3,FALSE),"")</f>
        <v/>
      </c>
    </row>
    <row r="147" spans="1:22" x14ac:dyDescent="0.25">
      <c r="A147" s="9" t="str">
        <f t="shared" si="2"/>
        <v>22002</v>
      </c>
      <c r="B147" s="9">
        <v>37315</v>
      </c>
      <c r="C147" s="1">
        <f>IFERROR(VLOOKUP(B147,Petróleo!A:B,2,FALSE),"")</f>
        <v>5881</v>
      </c>
      <c r="D147" s="1">
        <f>IFERROR(VLOOKUP(B147,Estoque_US!D:E,2,FALSE),"")</f>
        <v>-700</v>
      </c>
      <c r="E147" s="1">
        <f>IFERROR(VLOOKUP(B147,Petróleo!F:G,2,FALSE),"")</f>
        <v>7200</v>
      </c>
      <c r="F147" s="1">
        <f>IFERROR(VLOOKUP(B147,Petróleo!H:I,2,FALSE),"")</f>
        <v>3365</v>
      </c>
      <c r="G147" s="1">
        <f>IFERROR(VLOOKUP(B147,Petróleo!J:K,2,FALSE),"")</f>
        <v>2457.143</v>
      </c>
      <c r="H147" s="1">
        <f>IFERROR(VLOOKUP(B147,Petróleo!L:M,2,FALSE),"")</f>
        <v>1270</v>
      </c>
      <c r="I147" s="1">
        <f>IFERROR(VLOOKUP(B147,Petróleo!N:O,2,FALSE),"")</f>
        <v>1867</v>
      </c>
      <c r="J147" s="1">
        <f>IFERROR(VLOOKUP(B147,Petróleo!P:Q,2,FALSE),"")</f>
        <v>7361.8130000000001</v>
      </c>
      <c r="K147" s="1">
        <f>IFERROR(VLOOKUP(B147,Petróleo!R:S,2,FALSE),"")</f>
        <v>2496.0419999999999</v>
      </c>
      <c r="L147" s="1">
        <f>IFERROR(VLOOKUP(B147,Petróleo!T:U,2,FALSE),"")</f>
        <v>3288.4520000000002</v>
      </c>
      <c r="M147" s="8">
        <f>IFERROR(VLOOKUP(B147,Petróleo!X:Y,2,FALSE),"")</f>
        <v>24950</v>
      </c>
      <c r="N147" s="8">
        <f>IFERROR(VLOOKUP(B147,Petróleo!Z:AA,2,FALSE),"")</f>
        <v>7210</v>
      </c>
      <c r="O147" s="8">
        <f>IFERROR(VLOOKUP(B147,Petróleo!AB:AC,2,FALSE),"")</f>
        <v>1950</v>
      </c>
      <c r="P147" s="8">
        <f>IFERROR(VLOOKUP(B147,Petróleo!AD:AE,2,FALSE),"")</f>
        <v>3310</v>
      </c>
      <c r="Q147" s="8">
        <f>IFERROR(VLOOKUP(B147,Petróleo!AF:AG,2,FALSE),"")</f>
        <v>2480</v>
      </c>
      <c r="R147" s="8">
        <f>IFERROR(VLOOKUP(B147,Petróleo!AH:AI,2,FALSE),"")</f>
        <v>1260</v>
      </c>
      <c r="S147" s="8">
        <f>IFERROR(VLOOKUP(B147,Petróleo!AJ:AK,2,FALSE),"")</f>
        <v>1910</v>
      </c>
      <c r="T147" s="8">
        <f>IFERROR(VLOOKUP(B147,Petróleo!AL:AM,2,FALSE),"")</f>
        <v>2550</v>
      </c>
      <c r="U147" s="8">
        <f>IFERROR(VLOOKUP(B147,Petróleo!AN:AO,2,FALSE),"")</f>
        <v>1790</v>
      </c>
      <c r="V147" s="10" t="str">
        <f>IFERROR(VLOOKUP(A147,Petróleo!AR:AT,3,FALSE),"")</f>
        <v/>
      </c>
    </row>
    <row r="148" spans="1:22" x14ac:dyDescent="0.25">
      <c r="A148" s="9" t="str">
        <f t="shared" si="2"/>
        <v>32002</v>
      </c>
      <c r="B148" s="9">
        <v>37346</v>
      </c>
      <c r="C148" s="1">
        <f>IFERROR(VLOOKUP(B148,Petróleo!A:B,2,FALSE),"")</f>
        <v>5886</v>
      </c>
      <c r="D148" s="1">
        <f>IFERROR(VLOOKUP(B148,Estoque_US!D:E,2,FALSE),"")</f>
        <v>8900</v>
      </c>
      <c r="E148" s="1">
        <f>IFERROR(VLOOKUP(B148,Petróleo!F:G,2,FALSE),"")</f>
        <v>7105</v>
      </c>
      <c r="F148" s="1">
        <f>IFERROR(VLOOKUP(B148,Petróleo!H:I,2,FALSE),"")</f>
        <v>3295</v>
      </c>
      <c r="G148" s="1">
        <f>IFERROR(VLOOKUP(B148,Petróleo!J:K,2,FALSE),"")</f>
        <v>2425.806</v>
      </c>
      <c r="H148" s="1">
        <f>IFERROR(VLOOKUP(B148,Petróleo!L:M,2,FALSE),"")</f>
        <v>1300</v>
      </c>
      <c r="I148" s="1">
        <f>IFERROR(VLOOKUP(B148,Petróleo!N:O,2,FALSE),"")</f>
        <v>1888</v>
      </c>
      <c r="J148" s="1">
        <f>IFERROR(VLOOKUP(B148,Petróleo!P:Q,2,FALSE),"")</f>
        <v>7411.4120000000003</v>
      </c>
      <c r="K148" s="1">
        <f>IFERROR(VLOOKUP(B148,Petróleo!R:S,2,FALSE),"")</f>
        <v>2407.9749999999999</v>
      </c>
      <c r="L148" s="1">
        <f>IFERROR(VLOOKUP(B148,Petróleo!T:U,2,FALSE),"")</f>
        <v>3308.3110000000001</v>
      </c>
      <c r="M148" s="8">
        <f>IFERROR(VLOOKUP(B148,Petróleo!X:Y,2,FALSE),"")</f>
        <v>25300</v>
      </c>
      <c r="N148" s="8">
        <f>IFERROR(VLOOKUP(B148,Petróleo!Z:AA,2,FALSE),"")</f>
        <v>7380</v>
      </c>
      <c r="O148" s="8">
        <f>IFERROR(VLOOKUP(B148,Petróleo!AB:AC,2,FALSE),"")</f>
        <v>1970</v>
      </c>
      <c r="P148" s="8">
        <f>IFERROR(VLOOKUP(B148,Petróleo!AD:AE,2,FALSE),"")</f>
        <v>3350</v>
      </c>
      <c r="Q148" s="8">
        <f>IFERROR(VLOOKUP(B148,Petróleo!AF:AG,2,FALSE),"")</f>
        <v>2460</v>
      </c>
      <c r="R148" s="8">
        <f>IFERROR(VLOOKUP(B148,Petróleo!AH:AI,2,FALSE),"")</f>
        <v>1290</v>
      </c>
      <c r="S148" s="8">
        <f>IFERROR(VLOOKUP(B148,Petróleo!AJ:AK,2,FALSE),"")</f>
        <v>1920</v>
      </c>
      <c r="T148" s="8">
        <f>IFERROR(VLOOKUP(B148,Petróleo!AL:AM,2,FALSE),"")</f>
        <v>2570</v>
      </c>
      <c r="U148" s="8">
        <f>IFERROR(VLOOKUP(B148,Petróleo!AN:AO,2,FALSE),"")</f>
        <v>1830</v>
      </c>
      <c r="V148" s="10" t="str">
        <f>IFERROR(VLOOKUP(A148,Petróleo!AR:AT,3,FALSE),"")</f>
        <v/>
      </c>
    </row>
    <row r="149" spans="1:22" x14ac:dyDescent="0.25">
      <c r="A149" s="9" t="str">
        <f t="shared" si="2"/>
        <v>42002</v>
      </c>
      <c r="B149" s="9">
        <v>37376</v>
      </c>
      <c r="C149" s="1">
        <f>IFERROR(VLOOKUP(B149,Petróleo!A:B,2,FALSE),"")</f>
        <v>5844</v>
      </c>
      <c r="D149" s="1">
        <f>IFERROR(VLOOKUP(B149,Estoque_US!D:E,2,FALSE),"")</f>
        <v>400</v>
      </c>
      <c r="E149" s="1">
        <f>IFERROR(VLOOKUP(B149,Petróleo!F:G,2,FALSE),"")</f>
        <v>7140</v>
      </c>
      <c r="F149" s="1">
        <f>IFERROR(VLOOKUP(B149,Petróleo!H:I,2,FALSE),"")</f>
        <v>3333</v>
      </c>
      <c r="G149" s="1">
        <f>IFERROR(VLOOKUP(B149,Petróleo!J:K,2,FALSE),"")</f>
        <v>1223.3330000000001</v>
      </c>
      <c r="H149" s="1">
        <f>IFERROR(VLOOKUP(B149,Petróleo!L:M,2,FALSE),"")</f>
        <v>1290</v>
      </c>
      <c r="I149" s="1">
        <f>IFERROR(VLOOKUP(B149,Petróleo!N:O,2,FALSE),"")</f>
        <v>1919</v>
      </c>
      <c r="J149" s="1">
        <f>IFERROR(VLOOKUP(B149,Petróleo!P:Q,2,FALSE),"")</f>
        <v>7421.7820000000002</v>
      </c>
      <c r="K149" s="1">
        <f>IFERROR(VLOOKUP(B149,Petróleo!R:S,2,FALSE),"")</f>
        <v>2135.4250000000002</v>
      </c>
      <c r="L149" s="1">
        <f>IFERROR(VLOOKUP(B149,Petróleo!T:U,2,FALSE),"")</f>
        <v>3291.7660000000001</v>
      </c>
      <c r="M149" s="8">
        <f>IFERROR(VLOOKUP(B149,Petróleo!X:Y,2,FALSE),"")</f>
        <v>24100</v>
      </c>
      <c r="N149" s="8">
        <f>IFERROR(VLOOKUP(B149,Petróleo!Z:AA,2,FALSE),"")</f>
        <v>7430</v>
      </c>
      <c r="O149" s="8">
        <f>IFERROR(VLOOKUP(B149,Petróleo!AB:AC,2,FALSE),"")</f>
        <v>1970</v>
      </c>
      <c r="P149" s="8">
        <f>IFERROR(VLOOKUP(B149,Petróleo!AD:AE,2,FALSE),"")</f>
        <v>3320</v>
      </c>
      <c r="Q149" s="8">
        <f>IFERROR(VLOOKUP(B149,Petróleo!AF:AG,2,FALSE),"")</f>
        <v>1230</v>
      </c>
      <c r="R149" s="8">
        <f>IFERROR(VLOOKUP(B149,Petróleo!AH:AI,2,FALSE),"")</f>
        <v>1310</v>
      </c>
      <c r="S149" s="8">
        <f>IFERROR(VLOOKUP(B149,Petróleo!AJ:AK,2,FALSE),"")</f>
        <v>1950</v>
      </c>
      <c r="T149" s="8">
        <f>IFERROR(VLOOKUP(B149,Petróleo!AL:AM,2,FALSE),"")</f>
        <v>2470</v>
      </c>
      <c r="U149" s="8">
        <f>IFERROR(VLOOKUP(B149,Petróleo!AN:AO,2,FALSE),"")</f>
        <v>1860</v>
      </c>
      <c r="V149" s="10" t="str">
        <f>IFERROR(VLOOKUP(A149,Petróleo!AR:AT,3,FALSE),"")</f>
        <v/>
      </c>
    </row>
    <row r="150" spans="1:22" x14ac:dyDescent="0.25">
      <c r="A150" s="9" t="str">
        <f t="shared" si="2"/>
        <v>52002</v>
      </c>
      <c r="B150" s="9">
        <v>37407</v>
      </c>
      <c r="C150" s="1">
        <f>IFERROR(VLOOKUP(B150,Petróleo!A:B,2,FALSE),"")</f>
        <v>5905</v>
      </c>
      <c r="D150" s="1">
        <f>IFERROR(VLOOKUP(B150,Estoque_US!D:E,2,FALSE),"")</f>
        <v>-600</v>
      </c>
      <c r="E150" s="1">
        <f>IFERROR(VLOOKUP(B150,Petróleo!F:G,2,FALSE),"")</f>
        <v>7300</v>
      </c>
      <c r="F150" s="1">
        <f>IFERROR(VLOOKUP(B150,Petróleo!H:I,2,FALSE),"")</f>
        <v>3325</v>
      </c>
      <c r="G150" s="1">
        <f>IFERROR(VLOOKUP(B150,Petróleo!J:K,2,FALSE),"")</f>
        <v>1756.452</v>
      </c>
      <c r="H150" s="1">
        <f>IFERROR(VLOOKUP(B150,Petróleo!L:M,2,FALSE),"")</f>
        <v>1310</v>
      </c>
      <c r="I150" s="1">
        <f>IFERROR(VLOOKUP(B150,Petróleo!N:O,2,FALSE),"")</f>
        <v>1950</v>
      </c>
      <c r="J150" s="1">
        <f>IFERROR(VLOOKUP(B150,Petróleo!P:Q,2,FALSE),"")</f>
        <v>7534.3770000000004</v>
      </c>
      <c r="K150" s="1">
        <f>IFERROR(VLOOKUP(B150,Petróleo!R:S,2,FALSE),"")</f>
        <v>2202.1080000000002</v>
      </c>
      <c r="L150" s="1">
        <f>IFERROR(VLOOKUP(B150,Petróleo!T:U,2,FALSE),"")</f>
        <v>3326.9850000000001</v>
      </c>
      <c r="M150" s="8">
        <f>IFERROR(VLOOKUP(B150,Petróleo!X:Y,2,FALSE),"")</f>
        <v>24890</v>
      </c>
      <c r="N150" s="8">
        <f>IFERROR(VLOOKUP(B150,Petróleo!Z:AA,2,FALSE),"")</f>
        <v>7450</v>
      </c>
      <c r="O150" s="8">
        <f>IFERROR(VLOOKUP(B150,Petróleo!AB:AC,2,FALSE),"")</f>
        <v>1950</v>
      </c>
      <c r="P150" s="8">
        <f>IFERROR(VLOOKUP(B150,Petróleo!AD:AE,2,FALSE),"")</f>
        <v>3360</v>
      </c>
      <c r="Q150" s="8">
        <f>IFERROR(VLOOKUP(B150,Petróleo!AF:AG,2,FALSE),"")</f>
        <v>1800</v>
      </c>
      <c r="R150" s="8">
        <f>IFERROR(VLOOKUP(B150,Petróleo!AH:AI,2,FALSE),"")</f>
        <v>1300</v>
      </c>
      <c r="S150" s="8">
        <f>IFERROR(VLOOKUP(B150,Petróleo!AJ:AK,2,FALSE),"")</f>
        <v>1980</v>
      </c>
      <c r="T150" s="8">
        <f>IFERROR(VLOOKUP(B150,Petróleo!AL:AM,2,FALSE),"")</f>
        <v>2620</v>
      </c>
      <c r="U150" s="8">
        <f>IFERROR(VLOOKUP(B150,Petróleo!AN:AO,2,FALSE),"")</f>
        <v>1790</v>
      </c>
      <c r="V150" s="10" t="str">
        <f>IFERROR(VLOOKUP(A150,Petróleo!AR:AT,3,FALSE),"")</f>
        <v/>
      </c>
    </row>
    <row r="151" spans="1:22" x14ac:dyDescent="0.25">
      <c r="A151" s="9" t="str">
        <f t="shared" si="2"/>
        <v>62002</v>
      </c>
      <c r="B151" s="9">
        <v>37437</v>
      </c>
      <c r="C151" s="1">
        <f>IFERROR(VLOOKUP(B151,Petróleo!A:B,2,FALSE),"")</f>
        <v>5884</v>
      </c>
      <c r="D151" s="1">
        <f>IFERROR(VLOOKUP(B151,Estoque_US!D:E,2,FALSE),"")</f>
        <v>-3700</v>
      </c>
      <c r="E151" s="1">
        <f>IFERROR(VLOOKUP(B151,Petróleo!F:G,2,FALSE),"")</f>
        <v>7250</v>
      </c>
      <c r="F151" s="1">
        <f>IFERROR(VLOOKUP(B151,Petróleo!H:I,2,FALSE),"")</f>
        <v>3257</v>
      </c>
      <c r="G151" s="1">
        <f>IFERROR(VLOOKUP(B151,Petróleo!J:K,2,FALSE),"")</f>
        <v>1643.3330000000001</v>
      </c>
      <c r="H151" s="1">
        <f>IFERROR(VLOOKUP(B151,Petróleo!L:M,2,FALSE),"")</f>
        <v>1320</v>
      </c>
      <c r="I151" s="1">
        <f>IFERROR(VLOOKUP(B151,Petróleo!N:O,2,FALSE),"")</f>
        <v>1930</v>
      </c>
      <c r="J151" s="1">
        <f>IFERROR(VLOOKUP(B151,Petróleo!P:Q,2,FALSE),"")</f>
        <v>7624.6009999999997</v>
      </c>
      <c r="K151" s="1">
        <f>IFERROR(VLOOKUP(B151,Petróleo!R:S,2,FALSE),"")</f>
        <v>2204.8589999999999</v>
      </c>
      <c r="L151" s="1">
        <f>IFERROR(VLOOKUP(B151,Petróleo!T:U,2,FALSE),"")</f>
        <v>3373.9760000000001</v>
      </c>
      <c r="M151" s="8">
        <f>IFERROR(VLOOKUP(B151,Petróleo!X:Y,2,FALSE),"")</f>
        <v>24800</v>
      </c>
      <c r="N151" s="8">
        <f>IFERROR(VLOOKUP(B151,Petróleo!Z:AA,2,FALSE),"")</f>
        <v>7500</v>
      </c>
      <c r="O151" s="8">
        <f>IFERROR(VLOOKUP(B151,Petróleo!AB:AC,2,FALSE),"")</f>
        <v>1960</v>
      </c>
      <c r="P151" s="8">
        <f>IFERROR(VLOOKUP(B151,Petróleo!AD:AE,2,FALSE),"")</f>
        <v>3350</v>
      </c>
      <c r="Q151" s="8">
        <f>IFERROR(VLOOKUP(B151,Petróleo!AF:AG,2,FALSE),"")</f>
        <v>1630</v>
      </c>
      <c r="R151" s="8">
        <f>IFERROR(VLOOKUP(B151,Petróleo!AH:AI,2,FALSE),"")</f>
        <v>1320</v>
      </c>
      <c r="S151" s="8">
        <f>IFERROR(VLOOKUP(B151,Petróleo!AJ:AK,2,FALSE),"")</f>
        <v>1910</v>
      </c>
      <c r="T151" s="8">
        <f>IFERROR(VLOOKUP(B151,Petróleo!AL:AM,2,FALSE),"")</f>
        <v>2640</v>
      </c>
      <c r="U151" s="8">
        <f>IFERROR(VLOOKUP(B151,Petróleo!AN:AO,2,FALSE),"")</f>
        <v>1880</v>
      </c>
      <c r="V151" s="10" t="str">
        <f>IFERROR(VLOOKUP(A151,Petróleo!AR:AT,3,FALSE),"")</f>
        <v/>
      </c>
    </row>
    <row r="152" spans="1:22" x14ac:dyDescent="0.25">
      <c r="A152" s="9" t="str">
        <f t="shared" si="2"/>
        <v>72002</v>
      </c>
      <c r="B152" s="9">
        <v>37468</v>
      </c>
      <c r="C152" s="1">
        <f>IFERROR(VLOOKUP(B152,Petróleo!A:B,2,FALSE),"")</f>
        <v>5751</v>
      </c>
      <c r="D152" s="1">
        <f>IFERROR(VLOOKUP(B152,Estoque_US!D:E,2,FALSE),"")</f>
        <v>-11900</v>
      </c>
      <c r="E152" s="1">
        <f>IFERROR(VLOOKUP(B152,Petróleo!F:G,2,FALSE),"")</f>
        <v>7400</v>
      </c>
      <c r="F152" s="1">
        <f>IFERROR(VLOOKUP(B152,Petróleo!H:I,2,FALSE),"")</f>
        <v>3560</v>
      </c>
      <c r="G152" s="1">
        <f>IFERROR(VLOOKUP(B152,Petróleo!J:K,2,FALSE),"")</f>
        <v>1827.4190000000001</v>
      </c>
      <c r="H152" s="1">
        <f>IFERROR(VLOOKUP(B152,Petróleo!L:M,2,FALSE),"")</f>
        <v>1330</v>
      </c>
      <c r="I152" s="1">
        <f>IFERROR(VLOOKUP(B152,Petróleo!N:O,2,FALSE),"")</f>
        <v>1973</v>
      </c>
      <c r="J152" s="1">
        <f>IFERROR(VLOOKUP(B152,Petróleo!P:Q,2,FALSE),"")</f>
        <v>7685.415</v>
      </c>
      <c r="K152" s="1">
        <f>IFERROR(VLOOKUP(B152,Petróleo!R:S,2,FALSE),"")</f>
        <v>2657.585</v>
      </c>
      <c r="L152" s="1">
        <f>IFERROR(VLOOKUP(B152,Petróleo!T:U,2,FALSE),"")</f>
        <v>3356.0880000000002</v>
      </c>
      <c r="M152" s="8">
        <f>IFERROR(VLOOKUP(B152,Petróleo!X:Y,2,FALSE),"")</f>
        <v>25220</v>
      </c>
      <c r="N152" s="8">
        <f>IFERROR(VLOOKUP(B152,Petróleo!Z:AA,2,FALSE),"")</f>
        <v>7550</v>
      </c>
      <c r="O152" s="8">
        <f>IFERROR(VLOOKUP(B152,Petróleo!AB:AC,2,FALSE),"")</f>
        <v>1970</v>
      </c>
      <c r="P152" s="8">
        <f>IFERROR(VLOOKUP(B152,Petróleo!AD:AE,2,FALSE),"")</f>
        <v>3410</v>
      </c>
      <c r="Q152" s="8">
        <f>IFERROR(VLOOKUP(B152,Petróleo!AF:AG,2,FALSE),"")</f>
        <v>1830</v>
      </c>
      <c r="R152" s="8">
        <f>IFERROR(VLOOKUP(B152,Petróleo!AH:AI,2,FALSE),"")</f>
        <v>1320</v>
      </c>
      <c r="S152" s="8">
        <f>IFERROR(VLOOKUP(B152,Petróleo!AJ:AK,2,FALSE),"")</f>
        <v>1930</v>
      </c>
      <c r="T152" s="8">
        <f>IFERROR(VLOOKUP(B152,Petróleo!AL:AM,2,FALSE),"")</f>
        <v>2700</v>
      </c>
      <c r="U152" s="8">
        <f>IFERROR(VLOOKUP(B152,Petróleo!AN:AO,2,FALSE),"")</f>
        <v>1890</v>
      </c>
      <c r="V152" s="10" t="str">
        <f>IFERROR(VLOOKUP(A152,Petróleo!AR:AT,3,FALSE),"")</f>
        <v/>
      </c>
    </row>
    <row r="153" spans="1:22" x14ac:dyDescent="0.25">
      <c r="A153" s="9" t="str">
        <f t="shared" si="2"/>
        <v>82002</v>
      </c>
      <c r="B153" s="9">
        <v>37499</v>
      </c>
      <c r="C153" s="1">
        <f>IFERROR(VLOOKUP(B153,Petróleo!A:B,2,FALSE),"")</f>
        <v>5796</v>
      </c>
      <c r="D153" s="1">
        <f>IFERROR(VLOOKUP(B153,Estoque_US!D:E,2,FALSE),"")</f>
        <v>-10800</v>
      </c>
      <c r="E153" s="1">
        <f>IFERROR(VLOOKUP(B153,Petróleo!F:G,2,FALSE),"")</f>
        <v>7450</v>
      </c>
      <c r="F153" s="1">
        <f>IFERROR(VLOOKUP(B153,Petróleo!H:I,2,FALSE),"")</f>
        <v>3350</v>
      </c>
      <c r="G153" s="1">
        <f>IFERROR(VLOOKUP(B153,Petróleo!J:K,2,FALSE),"")</f>
        <v>1542.627</v>
      </c>
      <c r="H153" s="1">
        <f>IFERROR(VLOOKUP(B153,Petróleo!L:M,2,FALSE),"")</f>
        <v>1340</v>
      </c>
      <c r="I153" s="1">
        <f>IFERROR(VLOOKUP(B153,Petróleo!N:O,2,FALSE),"")</f>
        <v>1991</v>
      </c>
      <c r="J153" s="1">
        <f>IFERROR(VLOOKUP(B153,Petróleo!P:Q,2,FALSE),"")</f>
        <v>7820.0159999999996</v>
      </c>
      <c r="K153" s="1">
        <f>IFERROR(VLOOKUP(B153,Petróleo!R:S,2,FALSE),"")</f>
        <v>2790.395</v>
      </c>
      <c r="L153" s="1">
        <f>IFERROR(VLOOKUP(B153,Petróleo!T:U,2,FALSE),"")</f>
        <v>3446.94</v>
      </c>
      <c r="M153" s="8">
        <f>IFERROR(VLOOKUP(B153,Petróleo!X:Y,2,FALSE),"")</f>
        <v>25160</v>
      </c>
      <c r="N153" s="8">
        <f>IFERROR(VLOOKUP(B153,Petróleo!Z:AA,2,FALSE),"")</f>
        <v>7620</v>
      </c>
      <c r="O153" s="8">
        <f>IFERROR(VLOOKUP(B153,Petróleo!AB:AC,2,FALSE),"")</f>
        <v>1970</v>
      </c>
      <c r="P153" s="8">
        <f>IFERROR(VLOOKUP(B153,Petróleo!AD:AE,2,FALSE),"")</f>
        <v>3400</v>
      </c>
      <c r="Q153" s="8">
        <f>IFERROR(VLOOKUP(B153,Petróleo!AF:AG,2,FALSE),"")</f>
        <v>1570</v>
      </c>
      <c r="R153" s="8">
        <f>IFERROR(VLOOKUP(B153,Petróleo!AH:AI,2,FALSE),"")</f>
        <v>1330</v>
      </c>
      <c r="S153" s="8">
        <f>IFERROR(VLOOKUP(B153,Petróleo!AJ:AK,2,FALSE),"")</f>
        <v>1980</v>
      </c>
      <c r="T153" s="8">
        <f>IFERROR(VLOOKUP(B153,Petróleo!AL:AM,2,FALSE),"")</f>
        <v>2750</v>
      </c>
      <c r="U153" s="8">
        <f>IFERROR(VLOOKUP(B153,Petróleo!AN:AO,2,FALSE),"")</f>
        <v>1910</v>
      </c>
      <c r="V153" s="10" t="str">
        <f>IFERROR(VLOOKUP(A153,Petróleo!AR:AT,3,FALSE),"")</f>
        <v/>
      </c>
    </row>
    <row r="154" spans="1:22" x14ac:dyDescent="0.25">
      <c r="A154" s="9" t="str">
        <f t="shared" si="2"/>
        <v>92002</v>
      </c>
      <c r="B154" s="9">
        <v>37529</v>
      </c>
      <c r="C154" s="1">
        <f>IFERROR(VLOOKUP(B154,Petróleo!A:B,2,FALSE),"")</f>
        <v>5411</v>
      </c>
      <c r="D154" s="1">
        <f>IFERROR(VLOOKUP(B154,Estoque_US!D:E,2,FALSE),"")</f>
        <v>-23300</v>
      </c>
      <c r="E154" s="1">
        <f>IFERROR(VLOOKUP(B154,Petróleo!F:G,2,FALSE),"")</f>
        <v>7600</v>
      </c>
      <c r="F154" s="1">
        <f>IFERROR(VLOOKUP(B154,Petróleo!H:I,2,FALSE),"")</f>
        <v>3494</v>
      </c>
      <c r="G154" s="1">
        <f>IFERROR(VLOOKUP(B154,Petróleo!J:K,2,FALSE),"")</f>
        <v>1884.2860000000001</v>
      </c>
      <c r="H154" s="1">
        <f>IFERROR(VLOOKUP(B154,Petróleo!L:M,2,FALSE),"")</f>
        <v>1340</v>
      </c>
      <c r="I154" s="1">
        <f>IFERROR(VLOOKUP(B154,Petróleo!N:O,2,FALSE),"")</f>
        <v>2013</v>
      </c>
      <c r="J154" s="1">
        <f>IFERROR(VLOOKUP(B154,Petróleo!P:Q,2,FALSE),"")</f>
        <v>7948.6859999999997</v>
      </c>
      <c r="K154" s="1">
        <f>IFERROR(VLOOKUP(B154,Petróleo!R:S,2,FALSE),"")</f>
        <v>2516.1469999999999</v>
      </c>
      <c r="L154" s="1">
        <f>IFERROR(VLOOKUP(B154,Petróleo!T:U,2,FALSE),"")</f>
        <v>3388.538</v>
      </c>
      <c r="M154" s="8">
        <f>IFERROR(VLOOKUP(B154,Petróleo!X:Y,2,FALSE),"")</f>
        <v>25950</v>
      </c>
      <c r="N154" s="8">
        <f>IFERROR(VLOOKUP(B154,Petróleo!Z:AA,2,FALSE),"")</f>
        <v>7700</v>
      </c>
      <c r="O154" s="8">
        <f>IFERROR(VLOOKUP(B154,Petróleo!AB:AC,2,FALSE),"")</f>
        <v>1980</v>
      </c>
      <c r="P154" s="8">
        <f>IFERROR(VLOOKUP(B154,Petróleo!AD:AE,2,FALSE),"")</f>
        <v>3420</v>
      </c>
      <c r="Q154" s="8">
        <f>IFERROR(VLOOKUP(B154,Petróleo!AF:AG,2,FALSE),"")</f>
        <v>1890</v>
      </c>
      <c r="R154" s="8">
        <f>IFERROR(VLOOKUP(B154,Petróleo!AH:AI,2,FALSE),"")</f>
        <v>1330</v>
      </c>
      <c r="S154" s="8">
        <f>IFERROR(VLOOKUP(B154,Petróleo!AJ:AK,2,FALSE),"")</f>
        <v>2020</v>
      </c>
      <c r="T154" s="8">
        <f>IFERROR(VLOOKUP(B154,Petróleo!AL:AM,2,FALSE),"")</f>
        <v>2920</v>
      </c>
      <c r="U154" s="8">
        <f>IFERROR(VLOOKUP(B154,Petróleo!AN:AO,2,FALSE),"")</f>
        <v>1940</v>
      </c>
      <c r="V154" s="10" t="str">
        <f>IFERROR(VLOOKUP(A154,Petróleo!AR:AT,3,FALSE),"")</f>
        <v/>
      </c>
    </row>
    <row r="155" spans="1:22" x14ac:dyDescent="0.25">
      <c r="A155" s="9" t="str">
        <f t="shared" si="2"/>
        <v>102002</v>
      </c>
      <c r="B155" s="9">
        <v>37560</v>
      </c>
      <c r="C155" s="1">
        <f>IFERROR(VLOOKUP(B155,Petróleo!A:B,2,FALSE),"")</f>
        <v>5358</v>
      </c>
      <c r="D155" s="1">
        <f>IFERROR(VLOOKUP(B155,Estoque_US!D:E,2,FALSE),"")</f>
        <v>11900</v>
      </c>
      <c r="E155" s="1">
        <f>IFERROR(VLOOKUP(B155,Petróleo!F:G,2,FALSE),"")</f>
        <v>7750</v>
      </c>
      <c r="F155" s="1">
        <f>IFERROR(VLOOKUP(B155,Petróleo!H:I,2,FALSE),"")</f>
        <v>3290</v>
      </c>
      <c r="G155" s="1">
        <f>IFERROR(VLOOKUP(B155,Petróleo!J:K,2,FALSE),"")</f>
        <v>2444.931</v>
      </c>
      <c r="H155" s="1">
        <f>IFERROR(VLOOKUP(B155,Petróleo!L:M,2,FALSE),"")</f>
        <v>1340</v>
      </c>
      <c r="I155" s="1">
        <f>IFERROR(VLOOKUP(B155,Petróleo!N:O,2,FALSE),"")</f>
        <v>1959</v>
      </c>
      <c r="J155" s="1">
        <f>IFERROR(VLOOKUP(B155,Petróleo!P:Q,2,FALSE),"")</f>
        <v>8011.7690000000002</v>
      </c>
      <c r="K155" s="1">
        <f>IFERROR(VLOOKUP(B155,Petróleo!R:S,2,FALSE),"")</f>
        <v>2701.3290000000002</v>
      </c>
      <c r="L155" s="1">
        <f>IFERROR(VLOOKUP(B155,Petróleo!T:U,2,FALSE),"")</f>
        <v>3403.0549999999998</v>
      </c>
      <c r="M155" s="8">
        <f>IFERROR(VLOOKUP(B155,Petróleo!X:Y,2,FALSE),"")</f>
        <v>26960</v>
      </c>
      <c r="N155" s="8">
        <f>IFERROR(VLOOKUP(B155,Petróleo!Z:AA,2,FALSE),"")</f>
        <v>7900</v>
      </c>
      <c r="O155" s="8">
        <f>IFERROR(VLOOKUP(B155,Petróleo!AB:AC,2,FALSE),"")</f>
        <v>2010</v>
      </c>
      <c r="P155" s="8">
        <f>IFERROR(VLOOKUP(B155,Petróleo!AD:AE,2,FALSE),"")</f>
        <v>3580</v>
      </c>
      <c r="Q155" s="8">
        <f>IFERROR(VLOOKUP(B155,Petróleo!AF:AG,2,FALSE),"")</f>
        <v>2510</v>
      </c>
      <c r="R155" s="8">
        <f>IFERROR(VLOOKUP(B155,Petróleo!AH:AI,2,FALSE),"")</f>
        <v>1340</v>
      </c>
      <c r="S155" s="8">
        <f>IFERROR(VLOOKUP(B155,Petróleo!AJ:AK,2,FALSE),"")</f>
        <v>1980</v>
      </c>
      <c r="T155" s="8">
        <f>IFERROR(VLOOKUP(B155,Petróleo!AL:AM,2,FALSE),"")</f>
        <v>2990</v>
      </c>
      <c r="U155" s="8">
        <f>IFERROR(VLOOKUP(B155,Petróleo!AN:AO,2,FALSE),"")</f>
        <v>1920</v>
      </c>
      <c r="V155" s="10" t="str">
        <f>IFERROR(VLOOKUP(A155,Petróleo!AR:AT,3,FALSE),"")</f>
        <v/>
      </c>
    </row>
    <row r="156" spans="1:22" x14ac:dyDescent="0.25">
      <c r="A156" s="9" t="str">
        <f t="shared" si="2"/>
        <v>112002</v>
      </c>
      <c r="B156" s="9">
        <v>37590</v>
      </c>
      <c r="C156" s="1">
        <f>IFERROR(VLOOKUP(B156,Petróleo!A:B,2,FALSE),"")</f>
        <v>5624</v>
      </c>
      <c r="D156" s="1">
        <f>IFERROR(VLOOKUP(B156,Estoque_US!D:E,2,FALSE),"")</f>
        <v>200</v>
      </c>
      <c r="E156" s="1">
        <f>IFERROR(VLOOKUP(B156,Petróleo!F:G,2,FALSE),"")</f>
        <v>7700</v>
      </c>
      <c r="F156" s="1">
        <f>IFERROR(VLOOKUP(B156,Petróleo!H:I,2,FALSE),"")</f>
        <v>3526</v>
      </c>
      <c r="G156" s="1">
        <f>IFERROR(VLOOKUP(B156,Petróleo!J:K,2,FALSE),"")</f>
        <v>2380</v>
      </c>
      <c r="H156" s="1">
        <f>IFERROR(VLOOKUP(B156,Petróleo!L:M,2,FALSE),"")</f>
        <v>1340</v>
      </c>
      <c r="I156" s="1">
        <f>IFERROR(VLOOKUP(B156,Petróleo!N:O,2,FALSE),"")</f>
        <v>2009</v>
      </c>
      <c r="J156" s="1">
        <f>IFERROR(VLOOKUP(B156,Petróleo!P:Q,2,FALSE),"")</f>
        <v>8015.4189999999999</v>
      </c>
      <c r="K156" s="1">
        <f>IFERROR(VLOOKUP(B156,Petróleo!R:S,2,FALSE),"")</f>
        <v>2745.1860000000001</v>
      </c>
      <c r="L156" s="1">
        <f>IFERROR(VLOOKUP(B156,Petróleo!T:U,2,FALSE),"")</f>
        <v>3341.26</v>
      </c>
      <c r="M156" s="8">
        <f>IFERROR(VLOOKUP(B156,Petróleo!X:Y,2,FALSE),"")</f>
        <v>26690</v>
      </c>
      <c r="N156" s="8">
        <f>IFERROR(VLOOKUP(B156,Petróleo!Z:AA,2,FALSE),"")</f>
        <v>7850</v>
      </c>
      <c r="O156" s="8">
        <f>IFERROR(VLOOKUP(B156,Petróleo!AB:AC,2,FALSE),"")</f>
        <v>2010</v>
      </c>
      <c r="P156" s="8">
        <f>IFERROR(VLOOKUP(B156,Petróleo!AD:AE,2,FALSE),"")</f>
        <v>3480</v>
      </c>
      <c r="Q156" s="8">
        <f>IFERROR(VLOOKUP(B156,Petróleo!AF:AG,2,FALSE),"")</f>
        <v>2390</v>
      </c>
      <c r="R156" s="8">
        <f>IFERROR(VLOOKUP(B156,Petróleo!AH:AI,2,FALSE),"")</f>
        <v>1340</v>
      </c>
      <c r="S156" s="8">
        <f>IFERROR(VLOOKUP(B156,Petróleo!AJ:AK,2,FALSE),"")</f>
        <v>2010</v>
      </c>
      <c r="T156" s="8">
        <f>IFERROR(VLOOKUP(B156,Petróleo!AL:AM,2,FALSE),"")</f>
        <v>2980</v>
      </c>
      <c r="U156" s="8">
        <f>IFERROR(VLOOKUP(B156,Petróleo!AN:AO,2,FALSE),"")</f>
        <v>1870</v>
      </c>
      <c r="V156" s="10" t="str">
        <f>IFERROR(VLOOKUP(A156,Petróleo!AR:AT,3,FALSE),"")</f>
        <v/>
      </c>
    </row>
    <row r="157" spans="1:22" x14ac:dyDescent="0.25">
      <c r="A157" s="9" t="str">
        <f t="shared" si="2"/>
        <v>122002</v>
      </c>
      <c r="B157" s="9">
        <v>37621</v>
      </c>
      <c r="C157" s="1">
        <f>IFERROR(VLOOKUP(B157,Petróleo!A:B,2,FALSE),"")</f>
        <v>5722</v>
      </c>
      <c r="D157" s="1">
        <f>IFERROR(VLOOKUP(B157,Estoque_US!D:E,2,FALSE),"")</f>
        <v>-9000</v>
      </c>
      <c r="E157" s="1">
        <f>IFERROR(VLOOKUP(B157,Petróleo!F:G,2,FALSE),"")</f>
        <v>7750</v>
      </c>
      <c r="F157" s="1">
        <f>IFERROR(VLOOKUP(B157,Petróleo!H:I,2,FALSE),"")</f>
        <v>3521</v>
      </c>
      <c r="G157" s="1">
        <f>IFERROR(VLOOKUP(B157,Petróleo!J:K,2,FALSE),"")</f>
        <v>2319.125</v>
      </c>
      <c r="H157" s="1">
        <f>IFERROR(VLOOKUP(B157,Petróleo!L:M,2,FALSE),"")</f>
        <v>1340</v>
      </c>
      <c r="I157" s="1">
        <f>IFERROR(VLOOKUP(B157,Petróleo!N:O,2,FALSE),"")</f>
        <v>2064</v>
      </c>
      <c r="J157" s="1">
        <f>IFERROR(VLOOKUP(B157,Petróleo!P:Q,2,FALSE),"")</f>
        <v>7993.9380000000001</v>
      </c>
      <c r="K157" s="1">
        <f>IFERROR(VLOOKUP(B157,Petróleo!R:S,2,FALSE),"")</f>
        <v>1810.548</v>
      </c>
      <c r="L157" s="1">
        <f>IFERROR(VLOOKUP(B157,Petróleo!T:U,2,FALSE),"")</f>
        <v>3327.0320000000002</v>
      </c>
      <c r="M157" s="8">
        <f>IFERROR(VLOOKUP(B157,Petróleo!X:Y,2,FALSE),"")</f>
        <v>24860</v>
      </c>
      <c r="N157" s="8">
        <f>IFERROR(VLOOKUP(B157,Petróleo!Z:AA,2,FALSE),"")</f>
        <v>8000</v>
      </c>
      <c r="O157" s="8">
        <f>IFERROR(VLOOKUP(B157,Petróleo!AB:AC,2,FALSE),"")</f>
        <v>2020</v>
      </c>
      <c r="P157" s="8">
        <f>IFERROR(VLOOKUP(B157,Petróleo!AD:AE,2,FALSE),"")</f>
        <v>3550</v>
      </c>
      <c r="Q157" s="8">
        <f>IFERROR(VLOOKUP(B157,Petróleo!AF:AG,2,FALSE),"")</f>
        <v>2290</v>
      </c>
      <c r="R157" s="8">
        <f>IFERROR(VLOOKUP(B157,Petróleo!AH:AI,2,FALSE),"")</f>
        <v>1350</v>
      </c>
      <c r="S157" s="8">
        <f>IFERROR(VLOOKUP(B157,Petróleo!AJ:AK,2,FALSE),"")</f>
        <v>2050</v>
      </c>
      <c r="T157" s="8">
        <f>IFERROR(VLOOKUP(B157,Petróleo!AL:AM,2,FALSE),"")</f>
        <v>790</v>
      </c>
      <c r="U157" s="8">
        <f>IFERROR(VLOOKUP(B157,Petróleo!AN:AO,2,FALSE),"")</f>
        <v>1990</v>
      </c>
      <c r="V157" s="10" t="str">
        <f>IFERROR(VLOOKUP(A157,Petróleo!AR:AT,3,FALSE),"")</f>
        <v/>
      </c>
    </row>
    <row r="158" spans="1:22" x14ac:dyDescent="0.25">
      <c r="A158" s="9" t="str">
        <f t="shared" si="2"/>
        <v>12003</v>
      </c>
      <c r="B158" s="9">
        <v>37652</v>
      </c>
      <c r="C158" s="1">
        <f>IFERROR(VLOOKUP(B158,Petróleo!A:B,2,FALSE),"")</f>
        <v>5755</v>
      </c>
      <c r="D158" s="1">
        <f>IFERROR(VLOOKUP(B158,Estoque_US!D:E,2,FALSE),"")</f>
        <v>-4000</v>
      </c>
      <c r="E158" s="1">
        <f>IFERROR(VLOOKUP(B158,Petróleo!F:G,2,FALSE),"")</f>
        <v>8825</v>
      </c>
      <c r="F158" s="1">
        <f>IFERROR(VLOOKUP(B158,Petróleo!H:I,2,FALSE),"")</f>
        <v>3581</v>
      </c>
      <c r="G158" s="1">
        <f>IFERROR(VLOOKUP(B158,Petróleo!J:K,2,FALSE),"")</f>
        <v>2492.3960000000002</v>
      </c>
      <c r="H158" s="1">
        <f>IFERROR(VLOOKUP(B158,Petróleo!L:M,2,FALSE),"")</f>
        <v>1385</v>
      </c>
      <c r="I158" s="1">
        <f>IFERROR(VLOOKUP(B158,Petróleo!N:O,2,FALSE),"")</f>
        <v>2298.1660000000002</v>
      </c>
      <c r="J158" s="1">
        <f>IFERROR(VLOOKUP(B158,Petróleo!P:Q,2,FALSE),"")</f>
        <v>8042.7730000000001</v>
      </c>
      <c r="K158" s="1">
        <f>IFERROR(VLOOKUP(B158,Petróleo!R:S,2,FALSE),"")</f>
        <v>1361.6469999999999</v>
      </c>
      <c r="L158" s="1">
        <f>IFERROR(VLOOKUP(B158,Petróleo!T:U,2,FALSE),"")</f>
        <v>3322.5459999999998</v>
      </c>
      <c r="M158" s="8">
        <f>IFERROR(VLOOKUP(B158,Petróleo!X:Y,2,FALSE),"")</f>
        <v>25660</v>
      </c>
      <c r="N158" s="8">
        <f>IFERROR(VLOOKUP(B158,Petróleo!Z:AA,2,FALSE),"")</f>
        <v>8440</v>
      </c>
      <c r="O158" s="8">
        <f>IFERROR(VLOOKUP(B158,Petróleo!AB:AC,2,FALSE),"")</f>
        <v>2100</v>
      </c>
      <c r="P158" s="8">
        <f>IFERROR(VLOOKUP(B158,Petróleo!AD:AE,2,FALSE),"")</f>
        <v>3610</v>
      </c>
      <c r="Q158" s="8">
        <f>IFERROR(VLOOKUP(B158,Petróleo!AF:AG,2,FALSE),"")</f>
        <v>2480</v>
      </c>
      <c r="R158" s="8">
        <f>IFERROR(VLOOKUP(B158,Petróleo!AH:AI,2,FALSE),"")</f>
        <v>1370</v>
      </c>
      <c r="S158" s="8">
        <f>IFERROR(VLOOKUP(B158,Petróleo!AJ:AK,2,FALSE),"")</f>
        <v>2150</v>
      </c>
      <c r="T158" s="8">
        <f>IFERROR(VLOOKUP(B158,Petróleo!AL:AM,2,FALSE),"")</f>
        <v>630</v>
      </c>
      <c r="U158" s="8">
        <f>IFERROR(VLOOKUP(B158,Petróleo!AN:AO,2,FALSE),"")</f>
        <v>2000</v>
      </c>
      <c r="V158" s="10" t="str">
        <f>IFERROR(VLOOKUP(A158,Petróleo!AR:AT,3,FALSE),"")</f>
        <v/>
      </c>
    </row>
    <row r="159" spans="1:22" x14ac:dyDescent="0.25">
      <c r="A159" s="9" t="str">
        <f t="shared" si="2"/>
        <v>22003</v>
      </c>
      <c r="B159" s="9">
        <v>37680</v>
      </c>
      <c r="C159" s="1">
        <f>IFERROR(VLOOKUP(B159,Petróleo!A:B,2,FALSE),"")</f>
        <v>5783</v>
      </c>
      <c r="D159" s="1">
        <f>IFERROR(VLOOKUP(B159,Estoque_US!D:E,2,FALSE),"")</f>
        <v>-700</v>
      </c>
      <c r="E159" s="1">
        <f>IFERROR(VLOOKUP(B159,Petróleo!F:G,2,FALSE),"")</f>
        <v>9160.5</v>
      </c>
      <c r="F159" s="1">
        <f>IFERROR(VLOOKUP(B159,Petróleo!H:I,2,FALSE),"")</f>
        <v>3892</v>
      </c>
      <c r="G159" s="1">
        <f>IFERROR(VLOOKUP(B159,Petróleo!J:K,2,FALSE),"")</f>
        <v>2485</v>
      </c>
      <c r="H159" s="1">
        <f>IFERROR(VLOOKUP(B159,Petróleo!L:M,2,FALSE),"")</f>
        <v>1415</v>
      </c>
      <c r="I159" s="1">
        <f>IFERROR(VLOOKUP(B159,Petróleo!N:O,2,FALSE),"")</f>
        <v>2274.1660000000002</v>
      </c>
      <c r="J159" s="1">
        <f>IFERROR(VLOOKUP(B159,Petróleo!P:Q,2,FALSE),"")</f>
        <v>8113.6170000000002</v>
      </c>
      <c r="K159" s="1">
        <f>IFERROR(VLOOKUP(B159,Petróleo!R:S,2,FALSE),"")</f>
        <v>1604.2260000000001</v>
      </c>
      <c r="L159" s="1">
        <f>IFERROR(VLOOKUP(B159,Petróleo!T:U,2,FALSE),"")</f>
        <v>3365.0059999999999</v>
      </c>
      <c r="M159" s="8">
        <f>IFERROR(VLOOKUP(B159,Petróleo!X:Y,2,FALSE),"")</f>
        <v>27310</v>
      </c>
      <c r="N159" s="8">
        <f>IFERROR(VLOOKUP(B159,Petróleo!Z:AA,2,FALSE),"")</f>
        <v>8810</v>
      </c>
      <c r="O159" s="8">
        <f>IFERROR(VLOOKUP(B159,Petróleo!AB:AC,2,FALSE),"")</f>
        <v>2190</v>
      </c>
      <c r="P159" s="8">
        <f>IFERROR(VLOOKUP(B159,Petróleo!AD:AE,2,FALSE),"")</f>
        <v>3710</v>
      </c>
      <c r="Q159" s="8">
        <f>IFERROR(VLOOKUP(B159,Petróleo!AF:AG,2,FALSE),"")</f>
        <v>2480</v>
      </c>
      <c r="R159" s="8">
        <f>IFERROR(VLOOKUP(B159,Petróleo!AH:AI,2,FALSE),"")</f>
        <v>1410</v>
      </c>
      <c r="S159" s="8">
        <f>IFERROR(VLOOKUP(B159,Petróleo!AJ:AK,2,FALSE),"")</f>
        <v>2200</v>
      </c>
      <c r="T159" s="8">
        <f>IFERROR(VLOOKUP(B159,Petróleo!AL:AM,2,FALSE),"")</f>
        <v>1600</v>
      </c>
      <c r="U159" s="8">
        <f>IFERROR(VLOOKUP(B159,Petróleo!AN:AO,2,FALSE),"")</f>
        <v>2040</v>
      </c>
      <c r="V159" s="10" t="str">
        <f>IFERROR(VLOOKUP(A159,Petróleo!AR:AT,3,FALSE),"")</f>
        <v/>
      </c>
    </row>
    <row r="160" spans="1:22" x14ac:dyDescent="0.25">
      <c r="A160" s="9" t="str">
        <f t="shared" si="2"/>
        <v>32003</v>
      </c>
      <c r="B160" s="9">
        <v>37711</v>
      </c>
      <c r="C160" s="1">
        <f>IFERROR(VLOOKUP(B160,Petróleo!A:B,2,FALSE),"")</f>
        <v>5803</v>
      </c>
      <c r="D160" s="1">
        <f>IFERROR(VLOOKUP(B160,Estoque_US!D:E,2,FALSE),"")</f>
        <v>7100</v>
      </c>
      <c r="E160" s="1">
        <f>IFERROR(VLOOKUP(B160,Petróleo!F:G,2,FALSE),"")</f>
        <v>9605.5</v>
      </c>
      <c r="F160" s="1">
        <f>IFERROR(VLOOKUP(B160,Petróleo!H:I,2,FALSE),"")</f>
        <v>3701</v>
      </c>
      <c r="G160" s="1">
        <f>IFERROR(VLOOKUP(B160,Petróleo!J:K,2,FALSE),"")</f>
        <v>1429.6130000000001</v>
      </c>
      <c r="H160" s="1">
        <f>IFERROR(VLOOKUP(B160,Petróleo!L:M,2,FALSE),"")</f>
        <v>1450</v>
      </c>
      <c r="I160" s="1">
        <f>IFERROR(VLOOKUP(B160,Petróleo!N:O,2,FALSE),"")</f>
        <v>2083.9160000000002</v>
      </c>
      <c r="J160" s="1">
        <f>IFERROR(VLOOKUP(B160,Petróleo!P:Q,2,FALSE),"")</f>
        <v>8171.8360000000002</v>
      </c>
      <c r="K160" s="1">
        <f>IFERROR(VLOOKUP(B160,Petróleo!R:S,2,FALSE),"")</f>
        <v>2238.6860000000001</v>
      </c>
      <c r="L160" s="1">
        <f>IFERROR(VLOOKUP(B160,Petróleo!T:U,2,FALSE),"")</f>
        <v>3374.3620000000001</v>
      </c>
      <c r="M160" s="8">
        <f>IFERROR(VLOOKUP(B160,Petróleo!X:Y,2,FALSE),"")</f>
        <v>27520</v>
      </c>
      <c r="N160" s="8">
        <f>IFERROR(VLOOKUP(B160,Petróleo!Z:AA,2,FALSE),"")</f>
        <v>9330</v>
      </c>
      <c r="O160" s="8">
        <f>IFERROR(VLOOKUP(B160,Petróleo!AB:AC,2,FALSE),"")</f>
        <v>2300</v>
      </c>
      <c r="P160" s="8">
        <f>IFERROR(VLOOKUP(B160,Petróleo!AD:AE,2,FALSE),"")</f>
        <v>3750</v>
      </c>
      <c r="Q160" s="8">
        <f>IFERROR(VLOOKUP(B160,Petróleo!AF:AG,2,FALSE),"")</f>
        <v>1400</v>
      </c>
      <c r="R160" s="8">
        <f>IFERROR(VLOOKUP(B160,Petróleo!AH:AI,2,FALSE),"")</f>
        <v>1430</v>
      </c>
      <c r="S160" s="8">
        <f>IFERROR(VLOOKUP(B160,Petróleo!AJ:AK,2,FALSE),"")</f>
        <v>1960</v>
      </c>
      <c r="T160" s="8">
        <f>IFERROR(VLOOKUP(B160,Petróleo!AL:AM,2,FALSE),"")</f>
        <v>2250</v>
      </c>
      <c r="U160" s="8">
        <f>IFERROR(VLOOKUP(B160,Petróleo!AN:AO,2,FALSE),"")</f>
        <v>2220</v>
      </c>
      <c r="V160" s="10" t="str">
        <f>IFERROR(VLOOKUP(A160,Petróleo!AR:AT,3,FALSE),"")</f>
        <v/>
      </c>
    </row>
    <row r="161" spans="1:22" x14ac:dyDescent="0.25">
      <c r="A161" s="9" t="str">
        <f t="shared" si="2"/>
        <v>42003</v>
      </c>
      <c r="B161" s="9">
        <v>37741</v>
      </c>
      <c r="C161" s="1">
        <f>IFERROR(VLOOKUP(B161,Petróleo!A:B,2,FALSE),"")</f>
        <v>5726</v>
      </c>
      <c r="D161" s="1">
        <f>IFERROR(VLOOKUP(B161,Estoque_US!D:E,2,FALSE),"")</f>
        <v>7300</v>
      </c>
      <c r="E161" s="1">
        <f>IFERROR(VLOOKUP(B161,Petróleo!F:G,2,FALSE),"")</f>
        <v>9690.5</v>
      </c>
      <c r="F161" s="1">
        <f>IFERROR(VLOOKUP(B161,Petróleo!H:I,2,FALSE),"")</f>
        <v>3668</v>
      </c>
      <c r="G161" s="1">
        <f>IFERROR(VLOOKUP(B161,Petróleo!J:K,2,FALSE),"")</f>
        <v>160</v>
      </c>
      <c r="H161" s="1">
        <f>IFERROR(VLOOKUP(B161,Petróleo!L:M,2,FALSE),"")</f>
        <v>1460</v>
      </c>
      <c r="I161" s="1">
        <f>IFERROR(VLOOKUP(B161,Petróleo!N:O,2,FALSE),"")</f>
        <v>1908.1310000000001</v>
      </c>
      <c r="J161" s="1">
        <f>IFERROR(VLOOKUP(B161,Petróleo!P:Q,2,FALSE),"")</f>
        <v>8236.1530000000002</v>
      </c>
      <c r="K161" s="1">
        <f>IFERROR(VLOOKUP(B161,Petróleo!R:S,2,FALSE),"")</f>
        <v>2576.076</v>
      </c>
      <c r="L161" s="1">
        <f>IFERROR(VLOOKUP(B161,Petróleo!T:U,2,FALSE),"")</f>
        <v>3391.3609999999999</v>
      </c>
      <c r="M161" s="8">
        <f>IFERROR(VLOOKUP(B161,Petróleo!X:Y,2,FALSE),"")</f>
        <v>26700</v>
      </c>
      <c r="N161" s="8">
        <f>IFERROR(VLOOKUP(B161,Petróleo!Z:AA,2,FALSE),"")</f>
        <v>9400</v>
      </c>
      <c r="O161" s="8">
        <f>IFERROR(VLOOKUP(B161,Petróleo!AB:AC,2,FALSE),"")</f>
        <v>2300</v>
      </c>
      <c r="P161" s="8">
        <f>IFERROR(VLOOKUP(B161,Petróleo!AD:AE,2,FALSE),"")</f>
        <v>3670</v>
      </c>
      <c r="Q161" s="8">
        <f>IFERROR(VLOOKUP(B161,Petróleo!AF:AG,2,FALSE),"")</f>
        <v>140</v>
      </c>
      <c r="R161" s="8">
        <f>IFERROR(VLOOKUP(B161,Petróleo!AH:AI,2,FALSE),"")</f>
        <v>1430</v>
      </c>
      <c r="S161" s="8">
        <f>IFERROR(VLOOKUP(B161,Petróleo!AJ:AK,2,FALSE),"")</f>
        <v>1890</v>
      </c>
      <c r="T161" s="8">
        <f>IFERROR(VLOOKUP(B161,Petróleo!AL:AM,2,FALSE),"")</f>
        <v>2630</v>
      </c>
      <c r="U161" s="8">
        <f>IFERROR(VLOOKUP(B161,Petróleo!AN:AO,2,FALSE),"")</f>
        <v>2330</v>
      </c>
      <c r="V161" s="10" t="str">
        <f>IFERROR(VLOOKUP(A161,Petróleo!AR:AT,3,FALSE),"")</f>
        <v/>
      </c>
    </row>
    <row r="162" spans="1:22" x14ac:dyDescent="0.25">
      <c r="A162" s="9" t="str">
        <f t="shared" si="2"/>
        <v>52003</v>
      </c>
      <c r="B162" s="9">
        <v>37772</v>
      </c>
      <c r="C162" s="1">
        <f>IFERROR(VLOOKUP(B162,Petróleo!A:B,2,FALSE),"")</f>
        <v>5663</v>
      </c>
      <c r="D162" s="1">
        <f>IFERROR(VLOOKUP(B162,Estoque_US!D:E,2,FALSE),"")</f>
        <v>1000</v>
      </c>
      <c r="E162" s="1">
        <f>IFERROR(VLOOKUP(B162,Petróleo!F:G,2,FALSE),"")</f>
        <v>9485.5</v>
      </c>
      <c r="F162" s="1">
        <f>IFERROR(VLOOKUP(B162,Petróleo!H:I,2,FALSE),"")</f>
        <v>3507</v>
      </c>
      <c r="G162" s="1">
        <f>IFERROR(VLOOKUP(B162,Petróleo!J:K,2,FALSE),"")</f>
        <v>280</v>
      </c>
      <c r="H162" s="1">
        <f>IFERROR(VLOOKUP(B162,Petróleo!L:M,2,FALSE),"")</f>
        <v>1460</v>
      </c>
      <c r="I162" s="1">
        <f>IFERROR(VLOOKUP(B162,Petróleo!N:O,2,FALSE),"")</f>
        <v>2130.018</v>
      </c>
      <c r="J162" s="1">
        <f>IFERROR(VLOOKUP(B162,Petróleo!P:Q,2,FALSE),"")</f>
        <v>8329.3040000000001</v>
      </c>
      <c r="K162" s="1">
        <f>IFERROR(VLOOKUP(B162,Petróleo!R:S,2,FALSE),"")</f>
        <v>2668.3879999999999</v>
      </c>
      <c r="L162" s="1">
        <f>IFERROR(VLOOKUP(B162,Petróleo!T:U,2,FALSE),"")</f>
        <v>3378.1619999999998</v>
      </c>
      <c r="M162" s="8">
        <f>IFERROR(VLOOKUP(B162,Petróleo!X:Y,2,FALSE),"")</f>
        <v>26835</v>
      </c>
      <c r="N162" s="8">
        <f>IFERROR(VLOOKUP(B162,Petróleo!Z:AA,2,FALSE),"")</f>
        <v>9200</v>
      </c>
      <c r="O162" s="8">
        <f>IFERROR(VLOOKUP(B162,Petróleo!AB:AC,2,FALSE),"")</f>
        <v>2270</v>
      </c>
      <c r="P162" s="8">
        <f>IFERROR(VLOOKUP(B162,Petróleo!AD:AE,2,FALSE),"")</f>
        <v>3700</v>
      </c>
      <c r="Q162" s="8">
        <f>IFERROR(VLOOKUP(B162,Petróleo!AF:AG,2,FALSE),"")</f>
        <v>305</v>
      </c>
      <c r="R162" s="8">
        <f>IFERROR(VLOOKUP(B162,Petróleo!AH:AI,2,FALSE),"")</f>
        <v>1440</v>
      </c>
      <c r="S162" s="8">
        <f>IFERROR(VLOOKUP(B162,Petróleo!AJ:AK,2,FALSE),"")</f>
        <v>2050</v>
      </c>
      <c r="T162" s="8">
        <f>IFERROR(VLOOKUP(B162,Petróleo!AL:AM,2,FALSE),"")</f>
        <v>2680</v>
      </c>
      <c r="U162" s="8">
        <f>IFERROR(VLOOKUP(B162,Petróleo!AN:AO,2,FALSE),"")</f>
        <v>2280</v>
      </c>
      <c r="V162" s="10" t="str">
        <f>IFERROR(VLOOKUP(A162,Petróleo!AR:AT,3,FALSE),"")</f>
        <v/>
      </c>
    </row>
    <row r="163" spans="1:22" x14ac:dyDescent="0.25">
      <c r="A163" s="9" t="str">
        <f t="shared" si="2"/>
        <v>62003</v>
      </c>
      <c r="B163" s="9">
        <v>37802</v>
      </c>
      <c r="C163" s="1">
        <f>IFERROR(VLOOKUP(B163,Petróleo!A:B,2,FALSE),"")</f>
        <v>5659</v>
      </c>
      <c r="D163" s="1">
        <f>IFERROR(VLOOKUP(B163,Estoque_US!D:E,2,FALSE),"")</f>
        <v>-6900</v>
      </c>
      <c r="E163" s="1">
        <f>IFERROR(VLOOKUP(B163,Petróleo!F:G,2,FALSE),"")</f>
        <v>8890.5</v>
      </c>
      <c r="F163" s="1">
        <f>IFERROR(VLOOKUP(B163,Petróleo!H:I,2,FALSE),"")</f>
        <v>4102</v>
      </c>
      <c r="G163" s="1">
        <f>IFERROR(VLOOKUP(B163,Petróleo!J:K,2,FALSE),"")</f>
        <v>440</v>
      </c>
      <c r="H163" s="1">
        <f>IFERROR(VLOOKUP(B163,Petróleo!L:M,2,FALSE),"")</f>
        <v>1440</v>
      </c>
      <c r="I163" s="1">
        <f>IFERROR(VLOOKUP(B163,Petróleo!N:O,2,FALSE),"")</f>
        <v>2136.6309999999999</v>
      </c>
      <c r="J163" s="1">
        <f>IFERROR(VLOOKUP(B163,Petróleo!P:Q,2,FALSE),"")</f>
        <v>8470.5249999999996</v>
      </c>
      <c r="K163" s="1">
        <f>IFERROR(VLOOKUP(B163,Petróleo!R:S,2,FALSE),"")</f>
        <v>2590.654</v>
      </c>
      <c r="L163" s="1">
        <f>IFERROR(VLOOKUP(B163,Petróleo!T:U,2,FALSE),"")</f>
        <v>3399.8760000000002</v>
      </c>
      <c r="M163" s="8">
        <f>IFERROR(VLOOKUP(B163,Petróleo!X:Y,2,FALSE),"")</f>
        <v>26340</v>
      </c>
      <c r="N163" s="8">
        <f>IFERROR(VLOOKUP(B163,Petróleo!Z:AA,2,FALSE),"")</f>
        <v>8630</v>
      </c>
      <c r="O163" s="8">
        <f>IFERROR(VLOOKUP(B163,Petróleo!AB:AC,2,FALSE),"")</f>
        <v>2240</v>
      </c>
      <c r="P163" s="8">
        <f>IFERROR(VLOOKUP(B163,Petróleo!AD:AE,2,FALSE),"")</f>
        <v>3700</v>
      </c>
      <c r="Q163" s="8">
        <f>IFERROR(VLOOKUP(B163,Petróleo!AF:AG,2,FALSE),"")</f>
        <v>640</v>
      </c>
      <c r="R163" s="8">
        <f>IFERROR(VLOOKUP(B163,Petróleo!AH:AI,2,FALSE),"")</f>
        <v>1430</v>
      </c>
      <c r="S163" s="8">
        <f>IFERROR(VLOOKUP(B163,Petróleo!AJ:AK,2,FALSE),"")</f>
        <v>2100</v>
      </c>
      <c r="T163" s="8">
        <f>IFERROR(VLOOKUP(B163,Petróleo!AL:AM,2,FALSE),"")</f>
        <v>2640</v>
      </c>
      <c r="U163" s="8">
        <f>IFERROR(VLOOKUP(B163,Petróleo!AN:AO,2,FALSE),"")</f>
        <v>2080</v>
      </c>
      <c r="V163" s="10" t="str">
        <f>IFERROR(VLOOKUP(A163,Petróleo!AR:AT,3,FALSE),"")</f>
        <v/>
      </c>
    </row>
    <row r="164" spans="1:22" x14ac:dyDescent="0.25">
      <c r="A164" s="9" t="str">
        <f t="shared" si="2"/>
        <v>72003</v>
      </c>
      <c r="B164" s="9">
        <v>37833</v>
      </c>
      <c r="C164" s="1">
        <f>IFERROR(VLOOKUP(B164,Petróleo!A:B,2,FALSE),"")</f>
        <v>5498</v>
      </c>
      <c r="D164" s="1">
        <f>IFERROR(VLOOKUP(B164,Estoque_US!D:E,2,FALSE),"")</f>
        <v>-4800</v>
      </c>
      <c r="E164" s="1">
        <f>IFERROR(VLOOKUP(B164,Petróleo!F:G,2,FALSE),"")</f>
        <v>8965</v>
      </c>
      <c r="F164" s="1">
        <f>IFERROR(VLOOKUP(B164,Petróleo!H:I,2,FALSE),"")</f>
        <v>3965</v>
      </c>
      <c r="G164" s="1">
        <f>IFERROR(VLOOKUP(B164,Petróleo!J:K,2,FALSE),"")</f>
        <v>695</v>
      </c>
      <c r="H164" s="1">
        <f>IFERROR(VLOOKUP(B164,Petróleo!L:M,2,FALSE),"")</f>
        <v>1440</v>
      </c>
      <c r="I164" s="1">
        <f>IFERROR(VLOOKUP(B164,Petróleo!N:O,2,FALSE),"")</f>
        <v>2199.8629999999998</v>
      </c>
      <c r="J164" s="1">
        <f>IFERROR(VLOOKUP(B164,Petróleo!P:Q,2,FALSE),"")</f>
        <v>8599.9609999999993</v>
      </c>
      <c r="K164" s="1">
        <f>IFERROR(VLOOKUP(B164,Petróleo!R:S,2,FALSE),"")</f>
        <v>2311.7049999999999</v>
      </c>
      <c r="L164" s="1">
        <f>IFERROR(VLOOKUP(B164,Petróleo!T:U,2,FALSE),"")</f>
        <v>3330.826</v>
      </c>
      <c r="M164" s="8">
        <f>IFERROR(VLOOKUP(B164,Petróleo!X:Y,2,FALSE),"")</f>
        <v>26650</v>
      </c>
      <c r="N164" s="8">
        <f>IFERROR(VLOOKUP(B164,Petróleo!Z:AA,2,FALSE),"")</f>
        <v>8710</v>
      </c>
      <c r="O164" s="8">
        <f>IFERROR(VLOOKUP(B164,Petróleo!AB:AC,2,FALSE),"")</f>
        <v>2270</v>
      </c>
      <c r="P164" s="8">
        <f>IFERROR(VLOOKUP(B164,Petróleo!AD:AE,2,FALSE),"")</f>
        <v>3700</v>
      </c>
      <c r="Q164" s="8">
        <f>IFERROR(VLOOKUP(B164,Petróleo!AF:AG,2,FALSE),"")</f>
        <v>850</v>
      </c>
      <c r="R164" s="8">
        <f>IFERROR(VLOOKUP(B164,Petróleo!AH:AI,2,FALSE),"")</f>
        <v>1430</v>
      </c>
      <c r="S164" s="8">
        <f>IFERROR(VLOOKUP(B164,Petróleo!AJ:AK,2,FALSE),"")</f>
        <v>2100</v>
      </c>
      <c r="T164" s="8">
        <f>IFERROR(VLOOKUP(B164,Petróleo!AL:AM,2,FALSE),"")</f>
        <v>2610</v>
      </c>
      <c r="U164" s="8">
        <f>IFERROR(VLOOKUP(B164,Petróleo!AN:AO,2,FALSE),"")</f>
        <v>2100</v>
      </c>
      <c r="V164" s="10" t="str">
        <f>IFERROR(VLOOKUP(A164,Petróleo!AR:AT,3,FALSE),"")</f>
        <v/>
      </c>
    </row>
    <row r="165" spans="1:22" x14ac:dyDescent="0.25">
      <c r="A165" s="9" t="str">
        <f t="shared" si="2"/>
        <v>82003</v>
      </c>
      <c r="B165" s="9">
        <v>37864</v>
      </c>
      <c r="C165" s="1">
        <f>IFERROR(VLOOKUP(B165,Petróleo!A:B,2,FALSE),"")</f>
        <v>5574</v>
      </c>
      <c r="D165" s="1">
        <f>IFERROR(VLOOKUP(B165,Estoque_US!D:E,2,FALSE),"")</f>
        <v>3100</v>
      </c>
      <c r="E165" s="1">
        <f>IFERROR(VLOOKUP(B165,Petróleo!F:G,2,FALSE),"")</f>
        <v>8915</v>
      </c>
      <c r="F165" s="1">
        <f>IFERROR(VLOOKUP(B165,Petróleo!H:I,2,FALSE),"")</f>
        <v>4010</v>
      </c>
      <c r="G165" s="1">
        <f>IFERROR(VLOOKUP(B165,Petróleo!J:K,2,FALSE),"")</f>
        <v>1105</v>
      </c>
      <c r="H165" s="1">
        <f>IFERROR(VLOOKUP(B165,Petróleo!L:M,2,FALSE),"")</f>
        <v>1440</v>
      </c>
      <c r="I165" s="1">
        <f>IFERROR(VLOOKUP(B165,Petróleo!N:O,2,FALSE),"")</f>
        <v>2229.8629999999998</v>
      </c>
      <c r="J165" s="1">
        <f>IFERROR(VLOOKUP(B165,Petróleo!P:Q,2,FALSE),"")</f>
        <v>8682.4940000000006</v>
      </c>
      <c r="K165" s="1">
        <f>IFERROR(VLOOKUP(B165,Petróleo!R:S,2,FALSE),"")</f>
        <v>2464.3249999999998</v>
      </c>
      <c r="L165" s="1">
        <f>IFERROR(VLOOKUP(B165,Petróleo!T:U,2,FALSE),"")</f>
        <v>3335.2570000000001</v>
      </c>
      <c r="M165" s="8">
        <f>IFERROR(VLOOKUP(B165,Petróleo!X:Y,2,FALSE),"")</f>
        <v>27060</v>
      </c>
      <c r="N165" s="8">
        <f>IFERROR(VLOOKUP(B165,Petróleo!Z:AA,2,FALSE),"")</f>
        <v>8690</v>
      </c>
      <c r="O165" s="8">
        <f>IFERROR(VLOOKUP(B165,Petróleo!AB:AC,2,FALSE),"")</f>
        <v>2300</v>
      </c>
      <c r="P165" s="8">
        <f>IFERROR(VLOOKUP(B165,Petróleo!AD:AE,2,FALSE),"")</f>
        <v>3700</v>
      </c>
      <c r="Q165" s="8">
        <f>IFERROR(VLOOKUP(B165,Petróleo!AF:AG,2,FALSE),"")</f>
        <v>1280</v>
      </c>
      <c r="R165" s="8">
        <f>IFERROR(VLOOKUP(B165,Petróleo!AH:AI,2,FALSE),"")</f>
        <v>1410</v>
      </c>
      <c r="S165" s="8">
        <f>IFERROR(VLOOKUP(B165,Petróleo!AJ:AK,2,FALSE),"")</f>
        <v>2140</v>
      </c>
      <c r="T165" s="8">
        <f>IFERROR(VLOOKUP(B165,Petróleo!AL:AM,2,FALSE),"")</f>
        <v>2590</v>
      </c>
      <c r="U165" s="8">
        <f>IFERROR(VLOOKUP(B165,Petróleo!AN:AO,2,FALSE),"")</f>
        <v>2080</v>
      </c>
      <c r="V165" s="10" t="str">
        <f>IFERROR(VLOOKUP(A165,Petróleo!AR:AT,3,FALSE),"")</f>
        <v/>
      </c>
    </row>
    <row r="166" spans="1:22" x14ac:dyDescent="0.25">
      <c r="A166" s="9" t="str">
        <f t="shared" si="2"/>
        <v>92003</v>
      </c>
      <c r="B166" s="9">
        <v>37894</v>
      </c>
      <c r="C166" s="1">
        <f>IFERROR(VLOOKUP(B166,Petróleo!A:B,2,FALSE),"")</f>
        <v>5609</v>
      </c>
      <c r="D166" s="1">
        <f>IFERROR(VLOOKUP(B166,Estoque_US!D:E,2,FALSE),"")</f>
        <v>353</v>
      </c>
      <c r="E166" s="1">
        <f>IFERROR(VLOOKUP(B166,Petróleo!F:G,2,FALSE),"")</f>
        <v>8765.5</v>
      </c>
      <c r="F166" s="1">
        <f>IFERROR(VLOOKUP(B166,Petróleo!H:I,2,FALSE),"")</f>
        <v>3850</v>
      </c>
      <c r="G166" s="1">
        <f>IFERROR(VLOOKUP(B166,Petróleo!J:K,2,FALSE),"")</f>
        <v>1410</v>
      </c>
      <c r="H166" s="1">
        <f>IFERROR(VLOOKUP(B166,Petróleo!L:M,2,FALSE),"")</f>
        <v>1460</v>
      </c>
      <c r="I166" s="1">
        <f>IFERROR(VLOOKUP(B166,Petróleo!N:O,2,FALSE),"")</f>
        <v>2234.5300000000002</v>
      </c>
      <c r="J166" s="1">
        <f>IFERROR(VLOOKUP(B166,Petróleo!P:Q,2,FALSE),"")</f>
        <v>8780.06</v>
      </c>
      <c r="K166" s="1">
        <f>IFERROR(VLOOKUP(B166,Petróleo!R:S,2,FALSE),"")</f>
        <v>2330.027</v>
      </c>
      <c r="L166" s="1">
        <f>IFERROR(VLOOKUP(B166,Petróleo!T:U,2,FALSE),"")</f>
        <v>3316.9760000000001</v>
      </c>
      <c r="M166" s="8">
        <f>IFERROR(VLOOKUP(B166,Petróleo!X:Y,2,FALSE),"")</f>
        <v>27350</v>
      </c>
      <c r="N166" s="8">
        <f>IFERROR(VLOOKUP(B166,Petróleo!Z:AA,2,FALSE),"")</f>
        <v>8500</v>
      </c>
      <c r="O166" s="8">
        <f>IFERROR(VLOOKUP(B166,Petróleo!AB:AC,2,FALSE),"")</f>
        <v>2280</v>
      </c>
      <c r="P166" s="8">
        <f>IFERROR(VLOOKUP(B166,Petróleo!AD:AE,2,FALSE),"")</f>
        <v>3750</v>
      </c>
      <c r="Q166" s="8">
        <f>IFERROR(VLOOKUP(B166,Petróleo!AF:AG,2,FALSE),"")</f>
        <v>1700</v>
      </c>
      <c r="R166" s="8">
        <f>IFERROR(VLOOKUP(B166,Petróleo!AH:AI,2,FALSE),"")</f>
        <v>1440</v>
      </c>
      <c r="S166" s="8">
        <f>IFERROR(VLOOKUP(B166,Petróleo!AJ:AK,2,FALSE),"")</f>
        <v>2130</v>
      </c>
      <c r="T166" s="8">
        <f>IFERROR(VLOOKUP(B166,Petróleo!AL:AM,2,FALSE),"")</f>
        <v>2550</v>
      </c>
      <c r="U166" s="8">
        <f>IFERROR(VLOOKUP(B166,Petróleo!AN:AO,2,FALSE),"")</f>
        <v>2100</v>
      </c>
      <c r="V166" s="10" t="str">
        <f>IFERROR(VLOOKUP(A166,Petróleo!AR:AT,3,FALSE),"")</f>
        <v/>
      </c>
    </row>
    <row r="167" spans="1:22" x14ac:dyDescent="0.25">
      <c r="A167" s="9" t="str">
        <f t="shared" si="2"/>
        <v>102003</v>
      </c>
      <c r="B167" s="9">
        <v>37925</v>
      </c>
      <c r="C167" s="1">
        <f>IFERROR(VLOOKUP(B167,Petróleo!A:B,2,FALSE),"")</f>
        <v>5614</v>
      </c>
      <c r="D167" s="1">
        <f>IFERROR(VLOOKUP(B167,Estoque_US!D:E,2,FALSE),"")</f>
        <v>11100</v>
      </c>
      <c r="E167" s="1">
        <f>IFERROR(VLOOKUP(B167,Petróleo!F:G,2,FALSE),"")</f>
        <v>8890</v>
      </c>
      <c r="F167" s="1">
        <f>IFERROR(VLOOKUP(B167,Petróleo!H:I,2,FALSE),"")</f>
        <v>4030</v>
      </c>
      <c r="G167" s="1">
        <f>IFERROR(VLOOKUP(B167,Petróleo!J:K,2,FALSE),"")</f>
        <v>1580</v>
      </c>
      <c r="H167" s="1">
        <f>IFERROR(VLOOKUP(B167,Petróleo!L:M,2,FALSE),"")</f>
        <v>1470</v>
      </c>
      <c r="I167" s="1">
        <f>IFERROR(VLOOKUP(B167,Petróleo!N:O,2,FALSE),"")</f>
        <v>2317.6509999999998</v>
      </c>
      <c r="J167" s="1">
        <f>IFERROR(VLOOKUP(B167,Petróleo!P:Q,2,FALSE),"")</f>
        <v>8798.8619999999992</v>
      </c>
      <c r="K167" s="1">
        <f>IFERROR(VLOOKUP(B167,Petróleo!R:S,2,FALSE),"")</f>
        <v>2528.8139999999999</v>
      </c>
      <c r="L167" s="1">
        <f>IFERROR(VLOOKUP(B167,Petróleo!T:U,2,FALSE),"")</f>
        <v>3347.076</v>
      </c>
      <c r="M167" s="8">
        <f>IFERROR(VLOOKUP(B167,Petróleo!X:Y,2,FALSE),"")</f>
        <v>27840</v>
      </c>
      <c r="N167" s="8">
        <f>IFERROR(VLOOKUP(B167,Petróleo!Z:AA,2,FALSE),"")</f>
        <v>8540</v>
      </c>
      <c r="O167" s="8">
        <f>IFERROR(VLOOKUP(B167,Petróleo!AB:AC,2,FALSE),"")</f>
        <v>2240</v>
      </c>
      <c r="P167" s="8">
        <f>IFERROR(VLOOKUP(B167,Petróleo!AD:AE,2,FALSE),"")</f>
        <v>3840</v>
      </c>
      <c r="Q167" s="8">
        <f>IFERROR(VLOOKUP(B167,Petróleo!AF:AG,2,FALSE),"")</f>
        <v>1860</v>
      </c>
      <c r="R167" s="8">
        <f>IFERROR(VLOOKUP(B167,Petróleo!AH:AI,2,FALSE),"")</f>
        <v>1470</v>
      </c>
      <c r="S167" s="8">
        <f>IFERROR(VLOOKUP(B167,Petróleo!AJ:AK,2,FALSE),"")</f>
        <v>2190</v>
      </c>
      <c r="T167" s="8">
        <f>IFERROR(VLOOKUP(B167,Petróleo!AL:AM,2,FALSE),"")</f>
        <v>2620</v>
      </c>
      <c r="U167" s="8">
        <f>IFERROR(VLOOKUP(B167,Petróleo!AN:AO,2,FALSE),"")</f>
        <v>2190</v>
      </c>
      <c r="V167" s="10" t="str">
        <f>IFERROR(VLOOKUP(A167,Petróleo!AR:AT,3,FALSE),"")</f>
        <v/>
      </c>
    </row>
    <row r="168" spans="1:22" x14ac:dyDescent="0.25">
      <c r="A168" s="9" t="str">
        <f t="shared" si="2"/>
        <v>112003</v>
      </c>
      <c r="B168" s="9">
        <v>37955</v>
      </c>
      <c r="C168" s="1">
        <f>IFERROR(VLOOKUP(B168,Petróleo!A:B,2,FALSE),"")</f>
        <v>5547</v>
      </c>
      <c r="D168" s="1">
        <f>IFERROR(VLOOKUP(B168,Estoque_US!D:E,2,FALSE),"")</f>
        <v>-7600</v>
      </c>
      <c r="E168" s="1">
        <f>IFERROR(VLOOKUP(B168,Petróleo!F:G,2,FALSE),"")</f>
        <v>8791</v>
      </c>
      <c r="F168" s="1">
        <f>IFERROR(VLOOKUP(B168,Petróleo!H:I,2,FALSE),"")</f>
        <v>4125</v>
      </c>
      <c r="G168" s="1">
        <f>IFERROR(VLOOKUP(B168,Petróleo!J:K,2,FALSE),"")</f>
        <v>1920</v>
      </c>
      <c r="H168" s="1">
        <f>IFERROR(VLOOKUP(B168,Petróleo!L:M,2,FALSE),"")</f>
        <v>1470</v>
      </c>
      <c r="I168" s="1">
        <f>IFERROR(VLOOKUP(B168,Petróleo!N:O,2,FALSE),"")</f>
        <v>2337.5219999999999</v>
      </c>
      <c r="J168" s="1">
        <f>IFERROR(VLOOKUP(B168,Petróleo!P:Q,2,FALSE),"")</f>
        <v>8823.6980000000003</v>
      </c>
      <c r="K168" s="1">
        <f>IFERROR(VLOOKUP(B168,Petróleo!R:S,2,FALSE),"")</f>
        <v>2376.627</v>
      </c>
      <c r="L168" s="1">
        <f>IFERROR(VLOOKUP(B168,Petróleo!T:U,2,FALSE),"")</f>
        <v>3336.1390000000001</v>
      </c>
      <c r="M168" s="8">
        <f>IFERROR(VLOOKUP(B168,Petróleo!X:Y,2,FALSE),"")</f>
        <v>28180</v>
      </c>
      <c r="N168" s="8">
        <f>IFERROR(VLOOKUP(B168,Petróleo!Z:AA,2,FALSE),"")</f>
        <v>8530</v>
      </c>
      <c r="O168" s="8">
        <f>IFERROR(VLOOKUP(B168,Petróleo!AB:AC,2,FALSE),"")</f>
        <v>2190</v>
      </c>
      <c r="P168" s="8">
        <f>IFERROR(VLOOKUP(B168,Petróleo!AD:AE,2,FALSE),"")</f>
        <v>3950</v>
      </c>
      <c r="Q168" s="8">
        <f>IFERROR(VLOOKUP(B168,Petróleo!AF:AG,2,FALSE),"")</f>
        <v>2060</v>
      </c>
      <c r="R168" s="8">
        <f>IFERROR(VLOOKUP(B168,Petróleo!AH:AI,2,FALSE),"")</f>
        <v>1470</v>
      </c>
      <c r="S168" s="8">
        <f>IFERROR(VLOOKUP(B168,Petróleo!AJ:AK,2,FALSE),"")</f>
        <v>2230</v>
      </c>
      <c r="T168" s="8">
        <f>IFERROR(VLOOKUP(B168,Petróleo!AL:AM,2,FALSE),"")</f>
        <v>2590</v>
      </c>
      <c r="U168" s="8">
        <f>IFERROR(VLOOKUP(B168,Petróleo!AN:AO,2,FALSE),"")</f>
        <v>2260</v>
      </c>
      <c r="V168" s="10" t="str">
        <f>IFERROR(VLOOKUP(A168,Petróleo!AR:AT,3,FALSE),"")</f>
        <v/>
      </c>
    </row>
    <row r="169" spans="1:22" x14ac:dyDescent="0.25">
      <c r="A169" s="9" t="str">
        <f t="shared" si="2"/>
        <v>122003</v>
      </c>
      <c r="B169" s="9">
        <v>37986</v>
      </c>
      <c r="C169" s="1">
        <f>IFERROR(VLOOKUP(B169,Petróleo!A:B,2,FALSE),"")</f>
        <v>5571</v>
      </c>
      <c r="D169" s="1">
        <f>IFERROR(VLOOKUP(B169,Estoque_US!D:E,2,FALSE),"")</f>
        <v>-13600</v>
      </c>
      <c r="E169" s="1">
        <f>IFERROR(VLOOKUP(B169,Petróleo!F:G,2,FALSE),"")</f>
        <v>8835.5</v>
      </c>
      <c r="F169" s="1">
        <f>IFERROR(VLOOKUP(B169,Petróleo!H:I,2,FALSE),"")</f>
        <v>3925</v>
      </c>
      <c r="G169" s="1">
        <f>IFERROR(VLOOKUP(B169,Petróleo!J:K,2,FALSE),"")</f>
        <v>1970</v>
      </c>
      <c r="H169" s="1">
        <f>IFERROR(VLOOKUP(B169,Petróleo!L:M,2,FALSE),"")</f>
        <v>1480</v>
      </c>
      <c r="I169" s="1">
        <f>IFERROR(VLOOKUP(B169,Petróleo!N:O,2,FALSE),"")</f>
        <v>2377.5219999999999</v>
      </c>
      <c r="J169" s="1">
        <f>IFERROR(VLOOKUP(B169,Petróleo!P:Q,2,FALSE),"")</f>
        <v>8854.9429999999993</v>
      </c>
      <c r="K169" s="1">
        <f>IFERROR(VLOOKUP(B169,Petróleo!R:S,2,FALSE),"")</f>
        <v>2544.3719999999998</v>
      </c>
      <c r="L169" s="1">
        <f>IFERROR(VLOOKUP(B169,Petróleo!T:U,2,FALSE),"")</f>
        <v>3384.2469999999998</v>
      </c>
      <c r="M169" s="8">
        <f>IFERROR(VLOOKUP(B169,Petróleo!X:Y,2,FALSE),"")</f>
        <v>28200</v>
      </c>
      <c r="N169" s="8">
        <f>IFERROR(VLOOKUP(B169,Petróleo!Z:AA,2,FALSE),"")</f>
        <v>8520</v>
      </c>
      <c r="O169" s="8">
        <f>IFERROR(VLOOKUP(B169,Petróleo!AB:AC,2,FALSE),"")</f>
        <v>2280</v>
      </c>
      <c r="P169" s="8">
        <f>IFERROR(VLOOKUP(B169,Petróleo!AD:AE,2,FALSE),"")</f>
        <v>3930</v>
      </c>
      <c r="Q169" s="8">
        <f>IFERROR(VLOOKUP(B169,Petróleo!AF:AG,2,FALSE),"")</f>
        <v>1980</v>
      </c>
      <c r="R169" s="8">
        <f>IFERROR(VLOOKUP(B169,Petróleo!AH:AI,2,FALSE),"")</f>
        <v>1480</v>
      </c>
      <c r="S169" s="8">
        <f>IFERROR(VLOOKUP(B169,Petróleo!AJ:AK,2,FALSE),"")</f>
        <v>2260</v>
      </c>
      <c r="T169" s="8">
        <f>IFERROR(VLOOKUP(B169,Petróleo!AL:AM,2,FALSE),"")</f>
        <v>2580</v>
      </c>
      <c r="U169" s="8">
        <f>IFERROR(VLOOKUP(B169,Petróleo!AN:AO,2,FALSE),"")</f>
        <v>2260</v>
      </c>
      <c r="V169" s="10" t="str">
        <f>IFERROR(VLOOKUP(A169,Petróleo!AR:AT,3,FALSE),"")</f>
        <v/>
      </c>
    </row>
    <row r="170" spans="1:22" x14ac:dyDescent="0.25">
      <c r="A170" s="9" t="str">
        <f t="shared" si="2"/>
        <v>12004</v>
      </c>
      <c r="B170" s="9">
        <v>38017</v>
      </c>
      <c r="C170" s="1">
        <f>IFERROR(VLOOKUP(B170,Petróleo!A:B,2,FALSE),"")</f>
        <v>5585</v>
      </c>
      <c r="D170" s="1">
        <f>IFERROR(VLOOKUP(B170,Estoque_US!D:E,2,FALSE),"")</f>
        <v>900</v>
      </c>
      <c r="E170" s="1">
        <f>IFERROR(VLOOKUP(B170,Petróleo!F:G,2,FALSE),"")</f>
        <v>8432.5</v>
      </c>
      <c r="F170" s="1">
        <f>IFERROR(VLOOKUP(B170,Petróleo!H:I,2,FALSE),"")</f>
        <v>4079</v>
      </c>
      <c r="G170" s="1">
        <f>IFERROR(VLOOKUP(B170,Petróleo!J:K,2,FALSE),"")</f>
        <v>2043</v>
      </c>
      <c r="H170" s="1">
        <f>IFERROR(VLOOKUP(B170,Petróleo!L:M,2,FALSE),"")</f>
        <v>1490</v>
      </c>
      <c r="I170" s="1">
        <f>IFERROR(VLOOKUP(B170,Petróleo!N:O,2,FALSE),"")</f>
        <v>2415</v>
      </c>
      <c r="J170" s="1">
        <f>IFERROR(VLOOKUP(B170,Petróleo!P:Q,2,FALSE),"")</f>
        <v>8899.4279999999999</v>
      </c>
      <c r="K170" s="1">
        <f>IFERROR(VLOOKUP(B170,Petróleo!R:S,2,FALSE),"")</f>
        <v>2379.1610000000001</v>
      </c>
      <c r="L170" s="1">
        <f>IFERROR(VLOOKUP(B170,Petróleo!T:U,2,FALSE),"")</f>
        <v>3409.15</v>
      </c>
      <c r="M170" s="8">
        <f>IFERROR(VLOOKUP(B170,Petróleo!X:Y,2,FALSE),"")</f>
        <v>28080</v>
      </c>
      <c r="N170" s="8">
        <f>IFERROR(VLOOKUP(B170,Petróleo!Z:AA,2,FALSE),"")</f>
        <v>8480</v>
      </c>
      <c r="O170" s="8">
        <f>IFERROR(VLOOKUP(B170,Petróleo!AB:AC,2,FALSE),"")</f>
        <v>2260</v>
      </c>
      <c r="P170" s="8">
        <f>IFERROR(VLOOKUP(B170,Petróleo!AD:AE,2,FALSE),"")</f>
        <v>3920</v>
      </c>
      <c r="Q170" s="8">
        <f>IFERROR(VLOOKUP(B170,Petróleo!AF:AG,2,FALSE),"")</f>
        <v>1960</v>
      </c>
      <c r="R170" s="8">
        <f>IFERROR(VLOOKUP(B170,Petróleo!AH:AI,2,FALSE),"")</f>
        <v>1480</v>
      </c>
      <c r="S170" s="8">
        <f>IFERROR(VLOOKUP(B170,Petróleo!AJ:AK,2,FALSE),"")</f>
        <v>2300</v>
      </c>
      <c r="T170" s="8">
        <f>IFERROR(VLOOKUP(B170,Petróleo!AL:AM,2,FALSE),"")</f>
        <v>2580</v>
      </c>
      <c r="U170" s="8">
        <f>IFERROR(VLOOKUP(B170,Petróleo!AN:AO,2,FALSE),"")</f>
        <v>2220</v>
      </c>
      <c r="V170" s="10" t="str">
        <f>IFERROR(VLOOKUP(A170,Petróleo!AR:AT,3,FALSE),"")</f>
        <v/>
      </c>
    </row>
    <row r="171" spans="1:22" x14ac:dyDescent="0.25">
      <c r="A171" s="9" t="str">
        <f t="shared" si="2"/>
        <v>22004</v>
      </c>
      <c r="B171" s="9">
        <v>38046</v>
      </c>
      <c r="C171" s="1">
        <f>IFERROR(VLOOKUP(B171,Petróleo!A:B,2,FALSE),"")</f>
        <v>5572</v>
      </c>
      <c r="D171" s="1">
        <f>IFERROR(VLOOKUP(B171,Estoque_US!D:E,2,FALSE),"")</f>
        <v>4200</v>
      </c>
      <c r="E171" s="1">
        <f>IFERROR(VLOOKUP(B171,Petróleo!F:G,2,FALSE),"")</f>
        <v>8515.5</v>
      </c>
      <c r="F171" s="1">
        <f>IFERROR(VLOOKUP(B171,Petróleo!H:I,2,FALSE),"")</f>
        <v>3979</v>
      </c>
      <c r="G171" s="1">
        <f>IFERROR(VLOOKUP(B171,Petróleo!J:K,2,FALSE),"")</f>
        <v>1893</v>
      </c>
      <c r="H171" s="1">
        <f>IFERROR(VLOOKUP(B171,Petróleo!L:M,2,FALSE),"")</f>
        <v>1500</v>
      </c>
      <c r="I171" s="1">
        <f>IFERROR(VLOOKUP(B171,Petróleo!N:O,2,FALSE),"")</f>
        <v>2390</v>
      </c>
      <c r="J171" s="1">
        <f>IFERROR(VLOOKUP(B171,Petróleo!P:Q,2,FALSE),"")</f>
        <v>8937.8389999999999</v>
      </c>
      <c r="K171" s="1">
        <f>IFERROR(VLOOKUP(B171,Petróleo!R:S,2,FALSE),"")</f>
        <v>2515.518</v>
      </c>
      <c r="L171" s="1">
        <f>IFERROR(VLOOKUP(B171,Petróleo!T:U,2,FALSE),"")</f>
        <v>3461.5720000000001</v>
      </c>
      <c r="M171" s="8">
        <f>IFERROR(VLOOKUP(B171,Petróleo!X:Y,2,FALSE),"")</f>
        <v>28030</v>
      </c>
      <c r="N171" s="8">
        <f>IFERROR(VLOOKUP(B171,Petróleo!Z:AA,2,FALSE),"")</f>
        <v>8440</v>
      </c>
      <c r="O171" s="8">
        <f>IFERROR(VLOOKUP(B171,Petróleo!AB:AC,2,FALSE),"")</f>
        <v>2280</v>
      </c>
      <c r="P171" s="8">
        <f>IFERROR(VLOOKUP(B171,Petróleo!AD:AE,2,FALSE),"")</f>
        <v>3950</v>
      </c>
      <c r="Q171" s="8">
        <f>IFERROR(VLOOKUP(B171,Petróleo!AF:AG,2,FALSE),"")</f>
        <v>1970</v>
      </c>
      <c r="R171" s="8">
        <f>IFERROR(VLOOKUP(B171,Petróleo!AH:AI,2,FALSE),"")</f>
        <v>1490</v>
      </c>
      <c r="S171" s="8">
        <f>IFERROR(VLOOKUP(B171,Petróleo!AJ:AK,2,FALSE),"")</f>
        <v>2280</v>
      </c>
      <c r="T171" s="8">
        <f>IFERROR(VLOOKUP(B171,Petróleo!AL:AM,2,FALSE),"")</f>
        <v>2540</v>
      </c>
      <c r="U171" s="8">
        <f>IFERROR(VLOOKUP(B171,Petróleo!AN:AO,2,FALSE),"")</f>
        <v>2210</v>
      </c>
      <c r="V171" s="10" t="str">
        <f>IFERROR(VLOOKUP(A171,Petróleo!AR:AT,3,FALSE),"")</f>
        <v/>
      </c>
    </row>
    <row r="172" spans="1:22" x14ac:dyDescent="0.25">
      <c r="A172" s="9" t="str">
        <f t="shared" si="2"/>
        <v>32004</v>
      </c>
      <c r="B172" s="9">
        <v>38077</v>
      </c>
      <c r="C172" s="1">
        <f>IFERROR(VLOOKUP(B172,Petróleo!A:B,2,FALSE),"")</f>
        <v>5617</v>
      </c>
      <c r="D172" s="1">
        <f>IFERROR(VLOOKUP(B172,Estoque_US!D:E,2,FALSE),"")</f>
        <v>18500</v>
      </c>
      <c r="E172" s="1">
        <f>IFERROR(VLOOKUP(B172,Petróleo!F:G,2,FALSE),"")</f>
        <v>8381.5</v>
      </c>
      <c r="F172" s="1">
        <f>IFERROR(VLOOKUP(B172,Petróleo!H:I,2,FALSE),"")</f>
        <v>4089</v>
      </c>
      <c r="G172" s="1">
        <f>IFERROR(VLOOKUP(B172,Petróleo!J:K,2,FALSE),"")</f>
        <v>2378</v>
      </c>
      <c r="H172" s="1">
        <f>IFERROR(VLOOKUP(B172,Petróleo!L:M,2,FALSE),"")</f>
        <v>1505</v>
      </c>
      <c r="I172" s="1">
        <f>IFERROR(VLOOKUP(B172,Petróleo!N:O,2,FALSE),"")</f>
        <v>2400</v>
      </c>
      <c r="J172" s="1">
        <f>IFERROR(VLOOKUP(B172,Petróleo!P:Q,2,FALSE),"")</f>
        <v>9001.5560000000005</v>
      </c>
      <c r="K172" s="1">
        <f>IFERROR(VLOOKUP(B172,Petróleo!R:S,2,FALSE),"")</f>
        <v>2654.752</v>
      </c>
      <c r="L172" s="1">
        <f>IFERROR(VLOOKUP(B172,Petróleo!T:U,2,FALSE),"")</f>
        <v>3380.5079999999998</v>
      </c>
      <c r="M172" s="8">
        <f>IFERROR(VLOOKUP(B172,Petróleo!X:Y,2,FALSE),"")</f>
        <v>28450</v>
      </c>
      <c r="N172" s="8">
        <f>IFERROR(VLOOKUP(B172,Petróleo!Z:AA,2,FALSE),"")</f>
        <v>8420</v>
      </c>
      <c r="O172" s="8">
        <f>IFERROR(VLOOKUP(B172,Petróleo!AB:AC,2,FALSE),"")</f>
        <v>2270</v>
      </c>
      <c r="P172" s="8">
        <f>IFERROR(VLOOKUP(B172,Petróleo!AD:AE,2,FALSE),"")</f>
        <v>3940</v>
      </c>
      <c r="Q172" s="8">
        <f>IFERROR(VLOOKUP(B172,Petróleo!AF:AG,2,FALSE),"")</f>
        <v>2380</v>
      </c>
      <c r="R172" s="8">
        <f>IFERROR(VLOOKUP(B172,Petróleo!AH:AI,2,FALSE),"")</f>
        <v>1490</v>
      </c>
      <c r="S172" s="8">
        <f>IFERROR(VLOOKUP(B172,Petróleo!AJ:AK,2,FALSE),"")</f>
        <v>2310</v>
      </c>
      <c r="T172" s="8">
        <f>IFERROR(VLOOKUP(B172,Petróleo!AL:AM,2,FALSE),"")</f>
        <v>2530</v>
      </c>
      <c r="U172" s="8">
        <f>IFERROR(VLOOKUP(B172,Petróleo!AN:AO,2,FALSE),"")</f>
        <v>2230</v>
      </c>
      <c r="V172" s="10" t="str">
        <f>IFERROR(VLOOKUP(A172,Petróleo!AR:AT,3,FALSE),"")</f>
        <v/>
      </c>
    </row>
    <row r="173" spans="1:22" x14ac:dyDescent="0.25">
      <c r="A173" s="9" t="str">
        <f t="shared" si="2"/>
        <v>42004</v>
      </c>
      <c r="B173" s="9">
        <v>38107</v>
      </c>
      <c r="C173" s="1">
        <f>IFERROR(VLOOKUP(B173,Petróleo!A:B,2,FALSE),"")</f>
        <v>5560</v>
      </c>
      <c r="D173" s="1">
        <f>IFERROR(VLOOKUP(B173,Estoque_US!D:E,2,FALSE),"")</f>
        <v>4600</v>
      </c>
      <c r="E173" s="1">
        <f>IFERROR(VLOOKUP(B173,Petróleo!F:G,2,FALSE),"")</f>
        <v>8168.5</v>
      </c>
      <c r="F173" s="1">
        <f>IFERROR(VLOOKUP(B173,Petróleo!H:I,2,FALSE),"")</f>
        <v>4159</v>
      </c>
      <c r="G173" s="1">
        <f>IFERROR(VLOOKUP(B173,Petróleo!J:K,2,FALSE),"")</f>
        <v>2343</v>
      </c>
      <c r="H173" s="1">
        <f>IFERROR(VLOOKUP(B173,Petróleo!L:M,2,FALSE),"")</f>
        <v>1515</v>
      </c>
      <c r="I173" s="1">
        <f>IFERROR(VLOOKUP(B173,Petróleo!N:O,2,FALSE),"")</f>
        <v>2350</v>
      </c>
      <c r="J173" s="1">
        <f>IFERROR(VLOOKUP(B173,Petróleo!P:Q,2,FALSE),"")</f>
        <v>9064.0849999999991</v>
      </c>
      <c r="K173" s="1">
        <f>IFERROR(VLOOKUP(B173,Petróleo!R:S,2,FALSE),"")</f>
        <v>2534.4789999999998</v>
      </c>
      <c r="L173" s="1">
        <f>IFERROR(VLOOKUP(B173,Petróleo!T:U,2,FALSE),"")</f>
        <v>3423.9639999999999</v>
      </c>
      <c r="M173" s="8">
        <f>IFERROR(VLOOKUP(B173,Petróleo!X:Y,2,FALSE),"")</f>
        <v>28200</v>
      </c>
      <c r="N173" s="8">
        <f>IFERROR(VLOOKUP(B173,Petróleo!Z:AA,2,FALSE),"")</f>
        <v>8350</v>
      </c>
      <c r="O173" s="8">
        <f>IFERROR(VLOOKUP(B173,Petróleo!AB:AC,2,FALSE),"")</f>
        <v>2140</v>
      </c>
      <c r="P173" s="8">
        <f>IFERROR(VLOOKUP(B173,Petróleo!AD:AE,2,FALSE),"")</f>
        <v>3900</v>
      </c>
      <c r="Q173" s="8">
        <f>IFERROR(VLOOKUP(B173,Petróleo!AF:AG,2,FALSE),"")</f>
        <v>2350</v>
      </c>
      <c r="R173" s="8">
        <f>IFERROR(VLOOKUP(B173,Petróleo!AH:AI,2,FALSE),"")</f>
        <v>1500</v>
      </c>
      <c r="S173" s="8">
        <f>IFERROR(VLOOKUP(B173,Petróleo!AJ:AK,2,FALSE),"")</f>
        <v>2280</v>
      </c>
      <c r="T173" s="8">
        <f>IFERROR(VLOOKUP(B173,Petróleo!AL:AM,2,FALSE),"")</f>
        <v>2530</v>
      </c>
      <c r="U173" s="8">
        <f>IFERROR(VLOOKUP(B173,Petróleo!AN:AO,2,FALSE),"")</f>
        <v>2260</v>
      </c>
      <c r="V173" s="10" t="str">
        <f>IFERROR(VLOOKUP(A173,Petróleo!AR:AT,3,FALSE),"")</f>
        <v/>
      </c>
    </row>
    <row r="174" spans="1:22" x14ac:dyDescent="0.25">
      <c r="A174" s="9" t="str">
        <f t="shared" si="2"/>
        <v>52004</v>
      </c>
      <c r="B174" s="9">
        <v>38138</v>
      </c>
      <c r="C174" s="1">
        <f>IFERROR(VLOOKUP(B174,Petróleo!A:B,2,FALSE),"")</f>
        <v>5556</v>
      </c>
      <c r="D174" s="1">
        <f>IFERROR(VLOOKUP(B174,Estoque_US!D:E,2,FALSE),"")</f>
        <v>2825</v>
      </c>
      <c r="E174" s="1">
        <f>IFERROR(VLOOKUP(B174,Petróleo!F:G,2,FALSE),"")</f>
        <v>9089.5</v>
      </c>
      <c r="F174" s="1">
        <f>IFERROR(VLOOKUP(B174,Petróleo!H:I,2,FALSE),"")</f>
        <v>3954</v>
      </c>
      <c r="G174" s="1">
        <f>IFERROR(VLOOKUP(B174,Petróleo!J:K,2,FALSE),"")</f>
        <v>1958</v>
      </c>
      <c r="H174" s="1">
        <f>IFERROR(VLOOKUP(B174,Petróleo!L:M,2,FALSE),"")</f>
        <v>1535</v>
      </c>
      <c r="I174" s="1">
        <f>IFERROR(VLOOKUP(B174,Petróleo!N:O,2,FALSE),"")</f>
        <v>2345</v>
      </c>
      <c r="J174" s="1">
        <f>IFERROR(VLOOKUP(B174,Petróleo!P:Q,2,FALSE),"")</f>
        <v>9133.6270000000004</v>
      </c>
      <c r="K174" s="1">
        <f>IFERROR(VLOOKUP(B174,Petróleo!R:S,2,FALSE),"")</f>
        <v>2591.2809999999999</v>
      </c>
      <c r="L174" s="1">
        <f>IFERROR(VLOOKUP(B174,Petróleo!T:U,2,FALSE),"")</f>
        <v>3458.047</v>
      </c>
      <c r="M174" s="8">
        <f>IFERROR(VLOOKUP(B174,Petróleo!X:Y,2,FALSE),"")</f>
        <v>28560</v>
      </c>
      <c r="N174" s="8">
        <f>IFERROR(VLOOKUP(B174,Petróleo!Z:AA,2,FALSE),"")</f>
        <v>8650</v>
      </c>
      <c r="O174" s="8">
        <f>IFERROR(VLOOKUP(B174,Petróleo!AB:AC,2,FALSE),"")</f>
        <v>2250</v>
      </c>
      <c r="P174" s="8">
        <f>IFERROR(VLOOKUP(B174,Petróleo!AD:AE,2,FALSE),"")</f>
        <v>3970</v>
      </c>
      <c r="Q174" s="8">
        <f>IFERROR(VLOOKUP(B174,Petróleo!AF:AG,2,FALSE),"")</f>
        <v>2050</v>
      </c>
      <c r="R174" s="8">
        <f>IFERROR(VLOOKUP(B174,Petróleo!AH:AI,2,FALSE),"")</f>
        <v>1500</v>
      </c>
      <c r="S174" s="8">
        <f>IFERROR(VLOOKUP(B174,Petróleo!AJ:AK,2,FALSE),"")</f>
        <v>2330</v>
      </c>
      <c r="T174" s="8">
        <f>IFERROR(VLOOKUP(B174,Petróleo!AL:AM,2,FALSE),"")</f>
        <v>2580</v>
      </c>
      <c r="U174" s="8">
        <f>IFERROR(VLOOKUP(B174,Petróleo!AN:AO,2,FALSE),"")</f>
        <v>2280</v>
      </c>
      <c r="V174" s="10" t="str">
        <f>IFERROR(VLOOKUP(A174,Petróleo!AR:AT,3,FALSE),"")</f>
        <v/>
      </c>
    </row>
    <row r="175" spans="1:22" x14ac:dyDescent="0.25">
      <c r="A175" s="9" t="str">
        <f t="shared" si="2"/>
        <v>62004</v>
      </c>
      <c r="B175" s="9">
        <v>38168</v>
      </c>
      <c r="C175" s="1">
        <f>IFERROR(VLOOKUP(B175,Petróleo!A:B,2,FALSE),"")</f>
        <v>5407</v>
      </c>
      <c r="D175" s="1">
        <f>IFERROR(VLOOKUP(B175,Estoque_US!D:E,2,FALSE),"")</f>
        <v>3200</v>
      </c>
      <c r="E175" s="1">
        <f>IFERROR(VLOOKUP(B175,Petróleo!F:G,2,FALSE),"")</f>
        <v>9759.5</v>
      </c>
      <c r="F175" s="1">
        <f>IFERROR(VLOOKUP(B175,Petróleo!H:I,2,FALSE),"")</f>
        <v>4129</v>
      </c>
      <c r="G175" s="1">
        <f>IFERROR(VLOOKUP(B175,Petróleo!J:K,2,FALSE),"")</f>
        <v>1583</v>
      </c>
      <c r="H175" s="1">
        <f>IFERROR(VLOOKUP(B175,Petróleo!L:M,2,FALSE),"")</f>
        <v>1565</v>
      </c>
      <c r="I175" s="1">
        <f>IFERROR(VLOOKUP(B175,Petróleo!N:O,2,FALSE),"")</f>
        <v>2375</v>
      </c>
      <c r="J175" s="1">
        <f>IFERROR(VLOOKUP(B175,Petróleo!P:Q,2,FALSE),"")</f>
        <v>9303.991</v>
      </c>
      <c r="K175" s="1">
        <f>IFERROR(VLOOKUP(B175,Petróleo!R:S,2,FALSE),"")</f>
        <v>2831.8470000000002</v>
      </c>
      <c r="L175" s="1">
        <f>IFERROR(VLOOKUP(B175,Petróleo!T:U,2,FALSE),"")</f>
        <v>3494.826</v>
      </c>
      <c r="M175" s="8">
        <f>IFERROR(VLOOKUP(B175,Petróleo!X:Y,2,FALSE),"")</f>
        <v>29290</v>
      </c>
      <c r="N175" s="8">
        <f>IFERROR(VLOOKUP(B175,Petróleo!Z:AA,2,FALSE),"")</f>
        <v>9260</v>
      </c>
      <c r="O175" s="8">
        <f>IFERROR(VLOOKUP(B175,Petróleo!AB:AC,2,FALSE),"")</f>
        <v>2350</v>
      </c>
      <c r="P175" s="8">
        <f>IFERROR(VLOOKUP(B175,Petróleo!AD:AE,2,FALSE),"")</f>
        <v>4040</v>
      </c>
      <c r="Q175" s="8">
        <f>IFERROR(VLOOKUP(B175,Petróleo!AF:AG,2,FALSE),"")</f>
        <v>1780</v>
      </c>
      <c r="R175" s="8">
        <f>IFERROR(VLOOKUP(B175,Petróleo!AH:AI,2,FALSE),"")</f>
        <v>1560</v>
      </c>
      <c r="S175" s="8">
        <f>IFERROR(VLOOKUP(B175,Petróleo!AJ:AK,2,FALSE),"")</f>
        <v>2350</v>
      </c>
      <c r="T175" s="8">
        <f>IFERROR(VLOOKUP(B175,Petróleo!AL:AM,2,FALSE),"")</f>
        <v>2600</v>
      </c>
      <c r="U175" s="8">
        <f>IFERROR(VLOOKUP(B175,Petróleo!AN:AO,2,FALSE),"")</f>
        <v>2360</v>
      </c>
      <c r="V175" s="10" t="str">
        <f>IFERROR(VLOOKUP(A175,Petróleo!AR:AT,3,FALSE),"")</f>
        <v/>
      </c>
    </row>
    <row r="176" spans="1:22" x14ac:dyDescent="0.25">
      <c r="A176" s="9" t="str">
        <f t="shared" si="2"/>
        <v>72004</v>
      </c>
      <c r="B176" s="9">
        <v>38199</v>
      </c>
      <c r="C176" s="1">
        <f>IFERROR(VLOOKUP(B176,Petróleo!A:B,2,FALSE),"")</f>
        <v>5484</v>
      </c>
      <c r="D176" s="1">
        <f>IFERROR(VLOOKUP(B176,Estoque_US!D:E,2,FALSE),"")</f>
        <v>-6300</v>
      </c>
      <c r="E176" s="1">
        <f>IFERROR(VLOOKUP(B176,Petróleo!F:G,2,FALSE),"")</f>
        <v>9885.5</v>
      </c>
      <c r="F176" s="1">
        <f>IFERROR(VLOOKUP(B176,Petróleo!H:I,2,FALSE),"")</f>
        <v>4024</v>
      </c>
      <c r="G176" s="1">
        <f>IFERROR(VLOOKUP(B176,Petróleo!J:K,2,FALSE),"")</f>
        <v>1888</v>
      </c>
      <c r="H176" s="1">
        <f>IFERROR(VLOOKUP(B176,Petróleo!L:M,2,FALSE),"")</f>
        <v>1605</v>
      </c>
      <c r="I176" s="1">
        <f>IFERROR(VLOOKUP(B176,Petróleo!N:O,2,FALSE),"")</f>
        <v>2455</v>
      </c>
      <c r="J176" s="1">
        <f>IFERROR(VLOOKUP(B176,Petróleo!P:Q,2,FALSE),"")</f>
        <v>9353.9040000000005</v>
      </c>
      <c r="K176" s="1">
        <f>IFERROR(VLOOKUP(B176,Petróleo!R:S,2,FALSE),"")</f>
        <v>2653.3919999999998</v>
      </c>
      <c r="L176" s="1">
        <f>IFERROR(VLOOKUP(B176,Petróleo!T:U,2,FALSE),"")</f>
        <v>3482.8110000000001</v>
      </c>
      <c r="M176" s="8">
        <f>IFERROR(VLOOKUP(B176,Petróleo!X:Y,2,FALSE),"")</f>
        <v>29560</v>
      </c>
      <c r="N176" s="8">
        <f>IFERROR(VLOOKUP(B176,Petróleo!Z:AA,2,FALSE),"")</f>
        <v>9360</v>
      </c>
      <c r="O176" s="8">
        <f>IFERROR(VLOOKUP(B176,Petróleo!AB:AC,2,FALSE),"")</f>
        <v>2400</v>
      </c>
      <c r="P176" s="8">
        <f>IFERROR(VLOOKUP(B176,Petróleo!AD:AE,2,FALSE),"")</f>
        <v>3930</v>
      </c>
      <c r="Q176" s="8">
        <f>IFERROR(VLOOKUP(B176,Petróleo!AF:AG,2,FALSE),"")</f>
        <v>1950</v>
      </c>
      <c r="R176" s="8">
        <f>IFERROR(VLOOKUP(B176,Petróleo!AH:AI,2,FALSE),"")</f>
        <v>1600</v>
      </c>
      <c r="S176" s="8">
        <f>IFERROR(VLOOKUP(B176,Petróleo!AJ:AK,2,FALSE),"")</f>
        <v>2350</v>
      </c>
      <c r="T176" s="8">
        <f>IFERROR(VLOOKUP(B176,Petróleo!AL:AM,2,FALSE),"")</f>
        <v>2610</v>
      </c>
      <c r="U176" s="8">
        <f>IFERROR(VLOOKUP(B176,Petróleo!AN:AO,2,FALSE),"")</f>
        <v>2380</v>
      </c>
      <c r="V176" s="10" t="str">
        <f>IFERROR(VLOOKUP(A176,Petróleo!AR:AT,3,FALSE),"")</f>
        <v/>
      </c>
    </row>
    <row r="177" spans="1:22" x14ac:dyDescent="0.25">
      <c r="A177" s="9" t="str">
        <f t="shared" si="2"/>
        <v>82004</v>
      </c>
      <c r="B177" s="9">
        <v>38230</v>
      </c>
      <c r="C177" s="1">
        <f>IFERROR(VLOOKUP(B177,Petróleo!A:B,2,FALSE),"")</f>
        <v>5325</v>
      </c>
      <c r="D177" s="1">
        <f>IFERROR(VLOOKUP(B177,Estoque_US!D:E,2,FALSE),"")</f>
        <v>-11500</v>
      </c>
      <c r="E177" s="1">
        <f>IFERROR(VLOOKUP(B177,Petróleo!F:G,2,FALSE),"")</f>
        <v>9912.5</v>
      </c>
      <c r="F177" s="1">
        <f>IFERROR(VLOOKUP(B177,Petróleo!H:I,2,FALSE),"")</f>
        <v>4034</v>
      </c>
      <c r="G177" s="1">
        <f>IFERROR(VLOOKUP(B177,Petróleo!J:K,2,FALSE),"")</f>
        <v>1643</v>
      </c>
      <c r="H177" s="1">
        <f>IFERROR(VLOOKUP(B177,Petróleo!L:M,2,FALSE),"")</f>
        <v>1615</v>
      </c>
      <c r="I177" s="1">
        <f>IFERROR(VLOOKUP(B177,Petróleo!N:O,2,FALSE),"")</f>
        <v>2405</v>
      </c>
      <c r="J177" s="1">
        <f>IFERROR(VLOOKUP(B177,Petróleo!P:Q,2,FALSE),"")</f>
        <v>9425.4</v>
      </c>
      <c r="K177" s="1">
        <f>IFERROR(VLOOKUP(B177,Petróleo!R:S,2,FALSE),"")</f>
        <v>2528.7089999999998</v>
      </c>
      <c r="L177" s="1">
        <f>IFERROR(VLOOKUP(B177,Petróleo!T:U,2,FALSE),"")</f>
        <v>3531.5279999999998</v>
      </c>
      <c r="M177" s="8">
        <f>IFERROR(VLOOKUP(B177,Petróleo!X:Y,2,FALSE),"")</f>
        <v>29920</v>
      </c>
      <c r="N177" s="8">
        <f>IFERROR(VLOOKUP(B177,Petróleo!Z:AA,2,FALSE),"")</f>
        <v>9650</v>
      </c>
      <c r="O177" s="8">
        <f>IFERROR(VLOOKUP(B177,Petróleo!AB:AC,2,FALSE),"")</f>
        <v>2450</v>
      </c>
      <c r="P177" s="8">
        <f>IFERROR(VLOOKUP(B177,Petróleo!AD:AE,2,FALSE),"")</f>
        <v>3980</v>
      </c>
      <c r="Q177" s="8">
        <f>IFERROR(VLOOKUP(B177,Petróleo!AF:AG,2,FALSE),"")</f>
        <v>1810</v>
      </c>
      <c r="R177" s="8">
        <f>IFERROR(VLOOKUP(B177,Petróleo!AH:AI,2,FALSE),"")</f>
        <v>1610</v>
      </c>
      <c r="S177" s="8">
        <f>IFERROR(VLOOKUP(B177,Petróleo!AJ:AK,2,FALSE),"")</f>
        <v>2400</v>
      </c>
      <c r="T177" s="8">
        <f>IFERROR(VLOOKUP(B177,Petróleo!AL:AM,2,FALSE),"")</f>
        <v>2630</v>
      </c>
      <c r="U177" s="8">
        <f>IFERROR(VLOOKUP(B177,Petróleo!AN:AO,2,FALSE),"")</f>
        <v>2400</v>
      </c>
      <c r="V177" s="10" t="str">
        <f>IFERROR(VLOOKUP(A177,Petróleo!AR:AT,3,FALSE),"")</f>
        <v/>
      </c>
    </row>
    <row r="178" spans="1:22" x14ac:dyDescent="0.25">
      <c r="A178" s="9" t="str">
        <f t="shared" si="2"/>
        <v>92004</v>
      </c>
      <c r="B178" s="9">
        <v>38260</v>
      </c>
      <c r="C178" s="1">
        <f>IFERROR(VLOOKUP(B178,Petróleo!A:B,2,FALSE),"")</f>
        <v>5081</v>
      </c>
      <c r="D178" s="1">
        <f>IFERROR(VLOOKUP(B178,Estoque_US!D:E,2,FALSE),"")</f>
        <v>-14200</v>
      </c>
      <c r="E178" s="1">
        <f>IFERROR(VLOOKUP(B178,Petróleo!F:G,2,FALSE),"")</f>
        <v>9763.5</v>
      </c>
      <c r="F178" s="1">
        <f>IFERROR(VLOOKUP(B178,Petróleo!H:I,2,FALSE),"")</f>
        <v>3984</v>
      </c>
      <c r="G178" s="1">
        <f>IFERROR(VLOOKUP(B178,Petróleo!J:K,2,FALSE),"")</f>
        <v>2248</v>
      </c>
      <c r="H178" s="1">
        <f>IFERROR(VLOOKUP(B178,Petróleo!L:M,2,FALSE),"")</f>
        <v>1615</v>
      </c>
      <c r="I178" s="1">
        <f>IFERROR(VLOOKUP(B178,Petróleo!N:O,2,FALSE),"")</f>
        <v>2405</v>
      </c>
      <c r="J178" s="1">
        <f>IFERROR(VLOOKUP(B178,Petróleo!P:Q,2,FALSE),"")</f>
        <v>9470.9809999999998</v>
      </c>
      <c r="K178" s="1">
        <f>IFERROR(VLOOKUP(B178,Petróleo!R:S,2,FALSE),"")</f>
        <v>2495.1489999999999</v>
      </c>
      <c r="L178" s="1">
        <f>IFERROR(VLOOKUP(B178,Petróleo!T:U,2,FALSE),"")</f>
        <v>3559.7139999999999</v>
      </c>
      <c r="M178" s="8">
        <f>IFERROR(VLOOKUP(B178,Petróleo!X:Y,2,FALSE),"")</f>
        <v>30460</v>
      </c>
      <c r="N178" s="8">
        <f>IFERROR(VLOOKUP(B178,Petróleo!Z:AA,2,FALSE),"")</f>
        <v>9730</v>
      </c>
      <c r="O178" s="8">
        <f>IFERROR(VLOOKUP(B178,Petróleo!AB:AC,2,FALSE),"")</f>
        <v>2450</v>
      </c>
      <c r="P178" s="8">
        <f>IFERROR(VLOOKUP(B178,Petróleo!AD:AE,2,FALSE),"")</f>
        <v>3940</v>
      </c>
      <c r="Q178" s="8">
        <f>IFERROR(VLOOKUP(B178,Petróleo!AF:AG,2,FALSE),"")</f>
        <v>2230</v>
      </c>
      <c r="R178" s="8">
        <f>IFERROR(VLOOKUP(B178,Petróleo!AH:AI,2,FALSE),"")</f>
        <v>1610</v>
      </c>
      <c r="S178" s="8">
        <f>IFERROR(VLOOKUP(B178,Petróleo!AJ:AK,2,FALSE),"")</f>
        <v>2380</v>
      </c>
      <c r="T178" s="8">
        <f>IFERROR(VLOOKUP(B178,Petróleo!AL:AM,2,FALSE),"")</f>
        <v>2620</v>
      </c>
      <c r="U178" s="8">
        <f>IFERROR(VLOOKUP(B178,Petróleo!AN:AO,2,FALSE),"")</f>
        <v>2470</v>
      </c>
      <c r="V178" s="10" t="str">
        <f>IFERROR(VLOOKUP(A178,Petróleo!AR:AT,3,FALSE),"")</f>
        <v/>
      </c>
    </row>
    <row r="179" spans="1:22" x14ac:dyDescent="0.25">
      <c r="A179" s="9" t="str">
        <f t="shared" si="2"/>
        <v>102004</v>
      </c>
      <c r="B179" s="9">
        <v>38291</v>
      </c>
      <c r="C179" s="1">
        <f>IFERROR(VLOOKUP(B179,Petróleo!A:B,2,FALSE),"")</f>
        <v>5170</v>
      </c>
      <c r="D179" s="1">
        <f>IFERROR(VLOOKUP(B179,Estoque_US!D:E,2,FALSE),"")</f>
        <v>16800</v>
      </c>
      <c r="E179" s="1">
        <f>IFERROR(VLOOKUP(B179,Petróleo!F:G,2,FALSE),"")</f>
        <v>9840.5</v>
      </c>
      <c r="F179" s="1">
        <f>IFERROR(VLOOKUP(B179,Petróleo!H:I,2,FALSE),"")</f>
        <v>4017.3150000000001</v>
      </c>
      <c r="G179" s="1">
        <f>IFERROR(VLOOKUP(B179,Petróleo!J:K,2,FALSE),"")</f>
        <v>2218</v>
      </c>
      <c r="H179" s="1">
        <f>IFERROR(VLOOKUP(B179,Petróleo!L:M,2,FALSE),"")</f>
        <v>1645</v>
      </c>
      <c r="I179" s="1">
        <f>IFERROR(VLOOKUP(B179,Petróleo!N:O,2,FALSE),"")</f>
        <v>2435</v>
      </c>
      <c r="J179" s="1">
        <f>IFERROR(VLOOKUP(B179,Petróleo!P:Q,2,FALSE),"")</f>
        <v>9449.5630000000001</v>
      </c>
      <c r="K179" s="1">
        <f>IFERROR(VLOOKUP(B179,Petróleo!R:S,2,FALSE),"")</f>
        <v>2553</v>
      </c>
      <c r="L179" s="1">
        <f>IFERROR(VLOOKUP(B179,Petróleo!T:U,2,FALSE),"")</f>
        <v>3459.8110000000001</v>
      </c>
      <c r="M179" s="8">
        <f>IFERROR(VLOOKUP(B179,Petróleo!X:Y,2,FALSE),"")</f>
        <v>30540</v>
      </c>
      <c r="N179" s="8">
        <f>IFERROR(VLOOKUP(B179,Petróleo!Z:AA,2,FALSE),"")</f>
        <v>9780</v>
      </c>
      <c r="O179" s="8">
        <f>IFERROR(VLOOKUP(B179,Petróleo!AB:AC,2,FALSE),"")</f>
        <v>2440</v>
      </c>
      <c r="P179" s="8">
        <f>IFERROR(VLOOKUP(B179,Petróleo!AD:AE,2,FALSE),"")</f>
        <v>3960</v>
      </c>
      <c r="Q179" s="8">
        <f>IFERROR(VLOOKUP(B179,Petróleo!AF:AG,2,FALSE),"")</f>
        <v>2250</v>
      </c>
      <c r="R179" s="8">
        <f>IFERROR(VLOOKUP(B179,Petróleo!AH:AI,2,FALSE),"")</f>
        <v>1630</v>
      </c>
      <c r="S179" s="8">
        <f>IFERROR(VLOOKUP(B179,Petróleo!AJ:AK,2,FALSE),"")</f>
        <v>2360</v>
      </c>
      <c r="T179" s="8">
        <f>IFERROR(VLOOKUP(B179,Petróleo!AL:AM,2,FALSE),"")</f>
        <v>2580</v>
      </c>
      <c r="U179" s="8">
        <f>IFERROR(VLOOKUP(B179,Petróleo!AN:AO,2,FALSE),"")</f>
        <v>2480</v>
      </c>
      <c r="V179" s="10" t="str">
        <f>IFERROR(VLOOKUP(A179,Petróleo!AR:AT,3,FALSE),"")</f>
        <v/>
      </c>
    </row>
    <row r="180" spans="1:22" x14ac:dyDescent="0.25">
      <c r="A180" s="9" t="str">
        <f t="shared" si="2"/>
        <v>112004</v>
      </c>
      <c r="B180" s="9">
        <v>38321</v>
      </c>
      <c r="C180" s="1">
        <f>IFERROR(VLOOKUP(B180,Petróleo!A:B,2,FALSE),"")</f>
        <v>5423</v>
      </c>
      <c r="D180" s="1">
        <f>IFERROR(VLOOKUP(B180,Estoque_US!D:E,2,FALSE),"")</f>
        <v>3600</v>
      </c>
      <c r="E180" s="1">
        <f>IFERROR(VLOOKUP(B180,Petróleo!F:G,2,FALSE),"")</f>
        <v>9992.5</v>
      </c>
      <c r="F180" s="1">
        <f>IFERROR(VLOOKUP(B180,Petróleo!H:I,2,FALSE),"")</f>
        <v>4162.3149999999996</v>
      </c>
      <c r="G180" s="1">
        <f>IFERROR(VLOOKUP(B180,Petróleo!J:K,2,FALSE),"")</f>
        <v>1788</v>
      </c>
      <c r="H180" s="1">
        <f>IFERROR(VLOOKUP(B180,Petróleo!L:M,2,FALSE),"")</f>
        <v>1645</v>
      </c>
      <c r="I180" s="1">
        <f>IFERROR(VLOOKUP(B180,Petróleo!N:O,2,FALSE),"")</f>
        <v>2420</v>
      </c>
      <c r="J180" s="1">
        <f>IFERROR(VLOOKUP(B180,Petróleo!P:Q,2,FALSE),"")</f>
        <v>9438.8369999999995</v>
      </c>
      <c r="K180" s="1">
        <f>IFERROR(VLOOKUP(B180,Petróleo!R:S,2,FALSE),"")</f>
        <v>2431.5529999999999</v>
      </c>
      <c r="L180" s="1">
        <f>IFERROR(VLOOKUP(B180,Petróleo!T:U,2,FALSE),"")</f>
        <v>3523.4760000000001</v>
      </c>
      <c r="M180" s="8">
        <f>IFERROR(VLOOKUP(B180,Petróleo!X:Y,2,FALSE),"")</f>
        <v>30000</v>
      </c>
      <c r="N180" s="8">
        <f>IFERROR(VLOOKUP(B180,Petróleo!Z:AA,2,FALSE),"")</f>
        <v>9720</v>
      </c>
      <c r="O180" s="8">
        <f>IFERROR(VLOOKUP(B180,Petróleo!AB:AC,2,FALSE),"")</f>
        <v>2470</v>
      </c>
      <c r="P180" s="8">
        <f>IFERROR(VLOOKUP(B180,Petróleo!AD:AE,2,FALSE),"")</f>
        <v>3960</v>
      </c>
      <c r="Q180" s="8">
        <f>IFERROR(VLOOKUP(B180,Petróleo!AF:AG,2,FALSE),"")</f>
        <v>1770</v>
      </c>
      <c r="R180" s="8">
        <f>IFERROR(VLOOKUP(B180,Petróleo!AH:AI,2,FALSE),"")</f>
        <v>1620</v>
      </c>
      <c r="S180" s="8">
        <f>IFERROR(VLOOKUP(B180,Petróleo!AJ:AK,2,FALSE),"")</f>
        <v>2350</v>
      </c>
      <c r="T180" s="8">
        <f>IFERROR(VLOOKUP(B180,Petróleo!AL:AM,2,FALSE),"")</f>
        <v>2610</v>
      </c>
      <c r="U180" s="8">
        <f>IFERROR(VLOOKUP(B180,Petróleo!AN:AO,2,FALSE),"")</f>
        <v>2440</v>
      </c>
      <c r="V180" s="10" t="str">
        <f>IFERROR(VLOOKUP(A180,Petróleo!AR:AT,3,FALSE),"")</f>
        <v/>
      </c>
    </row>
    <row r="181" spans="1:22" x14ac:dyDescent="0.25">
      <c r="A181" s="9" t="str">
        <f t="shared" si="2"/>
        <v>122004</v>
      </c>
      <c r="B181" s="9">
        <v>38352</v>
      </c>
      <c r="C181" s="1">
        <f>IFERROR(VLOOKUP(B181,Petróleo!A:B,2,FALSE),"")</f>
        <v>5510</v>
      </c>
      <c r="D181" s="1">
        <f>IFERROR(VLOOKUP(B181,Estoque_US!D:E,2,FALSE),"")</f>
        <v>-1500</v>
      </c>
      <c r="E181" s="1">
        <f>IFERROR(VLOOKUP(B181,Petróleo!F:G,2,FALSE),"")</f>
        <v>9722.5</v>
      </c>
      <c r="F181" s="1">
        <f>IFERROR(VLOOKUP(B181,Petróleo!H:I,2,FALSE),"")</f>
        <v>4147.3149999999996</v>
      </c>
      <c r="G181" s="1">
        <f>IFERROR(VLOOKUP(B181,Petróleo!J:K,2,FALSE),"")</f>
        <v>1948</v>
      </c>
      <c r="H181" s="1">
        <f>IFERROR(VLOOKUP(B181,Petróleo!L:M,2,FALSE),"")</f>
        <v>1645</v>
      </c>
      <c r="I181" s="1">
        <f>IFERROR(VLOOKUP(B181,Petróleo!N:O,2,FALSE),"")</f>
        <v>2320</v>
      </c>
      <c r="J181" s="1">
        <f>IFERROR(VLOOKUP(B181,Petróleo!P:Q,2,FALSE),"")</f>
        <v>9381.7009999999991</v>
      </c>
      <c r="K181" s="1">
        <f>IFERROR(VLOOKUP(B181,Petróleo!R:S,2,FALSE),"")</f>
        <v>2596.1460000000002</v>
      </c>
      <c r="L181" s="1">
        <f>IFERROR(VLOOKUP(B181,Petróleo!T:U,2,FALSE),"")</f>
        <v>3505.1149999999998</v>
      </c>
      <c r="M181" s="8">
        <f>IFERROR(VLOOKUP(B181,Petróleo!X:Y,2,FALSE),"")</f>
        <v>29810</v>
      </c>
      <c r="N181" s="8">
        <f>IFERROR(VLOOKUP(B181,Petróleo!Z:AA,2,FALSE),"")</f>
        <v>9330</v>
      </c>
      <c r="O181" s="8">
        <f>IFERROR(VLOOKUP(B181,Petróleo!AB:AC,2,FALSE),"")</f>
        <v>2450</v>
      </c>
      <c r="P181" s="8">
        <f>IFERROR(VLOOKUP(B181,Petróleo!AD:AE,2,FALSE),"")</f>
        <v>3990</v>
      </c>
      <c r="Q181" s="8">
        <f>IFERROR(VLOOKUP(B181,Petróleo!AF:AG,2,FALSE),"")</f>
        <v>1910</v>
      </c>
      <c r="R181" s="8">
        <f>IFERROR(VLOOKUP(B181,Petróleo!AH:AI,2,FALSE),"")</f>
        <v>1610</v>
      </c>
      <c r="S181" s="8">
        <f>IFERROR(VLOOKUP(B181,Petróleo!AJ:AK,2,FALSE),"")</f>
        <v>2290</v>
      </c>
      <c r="T181" s="8">
        <f>IFERROR(VLOOKUP(B181,Petróleo!AL:AM,2,FALSE),"")</f>
        <v>2750</v>
      </c>
      <c r="U181" s="8">
        <f>IFERROR(VLOOKUP(B181,Petróleo!AN:AO,2,FALSE),"")</f>
        <v>2440</v>
      </c>
      <c r="V181" s="10" t="str">
        <f>IFERROR(VLOOKUP(A181,Petróleo!AR:AT,3,FALSE),"")</f>
        <v/>
      </c>
    </row>
    <row r="182" spans="1:22" x14ac:dyDescent="0.25">
      <c r="A182" s="9" t="str">
        <f t="shared" si="2"/>
        <v>12005</v>
      </c>
      <c r="B182" s="9">
        <v>38383</v>
      </c>
      <c r="C182" s="1">
        <f>IFERROR(VLOOKUP(B182,Petróleo!A:B,2,FALSE),"")</f>
        <v>5446</v>
      </c>
      <c r="D182" s="1">
        <f>IFERROR(VLOOKUP(B182,Estoque_US!D:E,2,FALSE),"")</f>
        <v>3500</v>
      </c>
      <c r="E182" s="1">
        <f>IFERROR(VLOOKUP(B182,Petróleo!F:G,2,FALSE),"")</f>
        <v>9323.43</v>
      </c>
      <c r="F182" s="1">
        <f>IFERROR(VLOOKUP(B182,Petróleo!H:I,2,FALSE),"")</f>
        <v>4129</v>
      </c>
      <c r="G182" s="1">
        <f>IFERROR(VLOOKUP(B182,Petróleo!J:K,2,FALSE),"")</f>
        <v>1788</v>
      </c>
      <c r="H182" s="1">
        <f>IFERROR(VLOOKUP(B182,Petróleo!L:M,2,FALSE),"")</f>
        <v>1635</v>
      </c>
      <c r="I182" s="1">
        <f>IFERROR(VLOOKUP(B182,Petróleo!N:O,2,FALSE),"")</f>
        <v>2344.4560000000001</v>
      </c>
      <c r="J182" s="1">
        <f>IFERROR(VLOOKUP(B182,Petróleo!P:Q,2,FALSE),"")</f>
        <v>9315.5229999999992</v>
      </c>
      <c r="K182" s="1">
        <f>IFERROR(VLOOKUP(B182,Petróleo!R:S,2,FALSE),"")</f>
        <v>2825.0630000000001</v>
      </c>
      <c r="L182" s="1">
        <f>IFERROR(VLOOKUP(B182,Petróleo!T:U,2,FALSE),"")</f>
        <v>3588.357</v>
      </c>
      <c r="M182" s="8">
        <f>IFERROR(VLOOKUP(B182,Petróleo!X:Y,2,FALSE),"")</f>
        <v>29363</v>
      </c>
      <c r="N182" s="8">
        <f>IFERROR(VLOOKUP(B182,Petróleo!Z:AA,2,FALSE),"")</f>
        <v>9130</v>
      </c>
      <c r="O182" s="8">
        <f>IFERROR(VLOOKUP(B182,Petróleo!AB:AC,2,FALSE),"")</f>
        <v>2400</v>
      </c>
      <c r="P182" s="8">
        <f>IFERROR(VLOOKUP(B182,Petróleo!AD:AE,2,FALSE),"")</f>
        <v>3940</v>
      </c>
      <c r="Q182" s="8">
        <f>IFERROR(VLOOKUP(B182,Petróleo!AF:AG,2,FALSE),"")</f>
        <v>1820</v>
      </c>
      <c r="R182" s="8">
        <f>IFERROR(VLOOKUP(B182,Petróleo!AH:AI,2,FALSE),"")</f>
        <v>1600</v>
      </c>
      <c r="S182" s="8">
        <f>IFERROR(VLOOKUP(B182,Petróleo!AJ:AK,2,FALSE),"")</f>
        <v>2340</v>
      </c>
      <c r="T182" s="8">
        <f>IFERROR(VLOOKUP(B182,Petróleo!AL:AM,2,FALSE),"")</f>
        <v>2750</v>
      </c>
      <c r="U182" s="8">
        <f>IFERROR(VLOOKUP(B182,Petróleo!AN:AO,2,FALSE),"")</f>
        <v>2370</v>
      </c>
      <c r="V182" s="10" t="str">
        <f>IFERROR(VLOOKUP(A182,Petróleo!AR:AT,3,FALSE),"")</f>
        <v/>
      </c>
    </row>
    <row r="183" spans="1:22" x14ac:dyDescent="0.25">
      <c r="A183" s="9" t="str">
        <f t="shared" si="2"/>
        <v>22005</v>
      </c>
      <c r="B183" s="9">
        <v>38411</v>
      </c>
      <c r="C183" s="1">
        <f>IFERROR(VLOOKUP(B183,Petróleo!A:B,2,FALSE),"")</f>
        <v>5501</v>
      </c>
      <c r="D183" s="1">
        <f>IFERROR(VLOOKUP(B183,Estoque_US!D:E,2,FALSE),"")</f>
        <v>4100</v>
      </c>
      <c r="E183" s="1">
        <f>IFERROR(VLOOKUP(B183,Petróleo!F:G,2,FALSE),"")</f>
        <v>9747.43</v>
      </c>
      <c r="F183" s="1">
        <f>IFERROR(VLOOKUP(B183,Petróleo!H:I,2,FALSE),"")</f>
        <v>4094</v>
      </c>
      <c r="G183" s="1">
        <f>IFERROR(VLOOKUP(B183,Petróleo!J:K,2,FALSE),"")</f>
        <v>1798</v>
      </c>
      <c r="H183" s="1">
        <f>IFERROR(VLOOKUP(B183,Petróleo!L:M,2,FALSE),"")</f>
        <v>1655</v>
      </c>
      <c r="I183" s="1">
        <f>IFERROR(VLOOKUP(B183,Petróleo!N:O,2,FALSE),"")</f>
        <v>2454.4560000000001</v>
      </c>
      <c r="J183" s="1">
        <f>IFERROR(VLOOKUP(B183,Petróleo!P:Q,2,FALSE),"")</f>
        <v>9378.4950000000008</v>
      </c>
      <c r="K183" s="1">
        <f>IFERROR(VLOOKUP(B183,Petróleo!R:S,2,FALSE),"")</f>
        <v>2990.13</v>
      </c>
      <c r="L183" s="1">
        <f>IFERROR(VLOOKUP(B183,Petróleo!T:U,2,FALSE),"")</f>
        <v>3588.357</v>
      </c>
      <c r="M183" s="8">
        <f>IFERROR(VLOOKUP(B183,Petróleo!X:Y,2,FALSE),"")</f>
        <v>29682</v>
      </c>
      <c r="N183" s="8">
        <f>IFERROR(VLOOKUP(B183,Petróleo!Z:AA,2,FALSE),"")</f>
        <v>9250</v>
      </c>
      <c r="O183" s="8">
        <f>IFERROR(VLOOKUP(B183,Petróleo!AB:AC,2,FALSE),"")</f>
        <v>2350</v>
      </c>
      <c r="P183" s="8">
        <f>IFERROR(VLOOKUP(B183,Petróleo!AD:AE,2,FALSE),"")</f>
        <v>3940</v>
      </c>
      <c r="Q183" s="8">
        <f>IFERROR(VLOOKUP(B183,Petróleo!AF:AG,2,FALSE),"")</f>
        <v>1870</v>
      </c>
      <c r="R183" s="8">
        <f>IFERROR(VLOOKUP(B183,Petróleo!AH:AI,2,FALSE),"")</f>
        <v>1630</v>
      </c>
      <c r="S183" s="8">
        <f>IFERROR(VLOOKUP(B183,Petróleo!AJ:AK,2,FALSE),"")</f>
        <v>2350</v>
      </c>
      <c r="T183" s="8">
        <f>IFERROR(VLOOKUP(B183,Petróleo!AL:AM,2,FALSE),"")</f>
        <v>2770</v>
      </c>
      <c r="U183" s="8">
        <f>IFERROR(VLOOKUP(B183,Petróleo!AN:AO,2,FALSE),"")</f>
        <v>2450</v>
      </c>
      <c r="V183" s="10" t="str">
        <f>IFERROR(VLOOKUP(A183,Petróleo!AR:AT,3,FALSE),"")</f>
        <v/>
      </c>
    </row>
    <row r="184" spans="1:22" x14ac:dyDescent="0.25">
      <c r="A184" s="9" t="str">
        <f t="shared" si="2"/>
        <v>32005</v>
      </c>
      <c r="B184" s="9">
        <v>38442</v>
      </c>
      <c r="C184" s="1">
        <f>IFERROR(VLOOKUP(B184,Petróleo!A:B,2,FALSE),"")</f>
        <v>5601</v>
      </c>
      <c r="D184" s="1">
        <f>IFERROR(VLOOKUP(B184,Estoque_US!D:E,2,FALSE),"")</f>
        <v>15300</v>
      </c>
      <c r="E184" s="1">
        <f>IFERROR(VLOOKUP(B184,Petróleo!F:G,2,FALSE),"")</f>
        <v>9630.43</v>
      </c>
      <c r="F184" s="1">
        <f>IFERROR(VLOOKUP(B184,Petróleo!H:I,2,FALSE),"")</f>
        <v>3944</v>
      </c>
      <c r="G184" s="1">
        <f>IFERROR(VLOOKUP(B184,Petróleo!J:K,2,FALSE),"")</f>
        <v>1798</v>
      </c>
      <c r="H184" s="1">
        <f>IFERROR(VLOOKUP(B184,Petróleo!L:M,2,FALSE),"")</f>
        <v>1655</v>
      </c>
      <c r="I184" s="1">
        <f>IFERROR(VLOOKUP(B184,Petróleo!N:O,2,FALSE),"")</f>
        <v>2464.4560000000001</v>
      </c>
      <c r="J184" s="1">
        <f>IFERROR(VLOOKUP(B184,Petróleo!P:Q,2,FALSE),"")</f>
        <v>9382.5310000000009</v>
      </c>
      <c r="K184" s="1">
        <f>IFERROR(VLOOKUP(B184,Petróleo!R:S,2,FALSE),"")</f>
        <v>2829.4270000000001</v>
      </c>
      <c r="L184" s="1">
        <f>IFERROR(VLOOKUP(B184,Petróleo!T:U,2,FALSE),"")</f>
        <v>3557.8020000000001</v>
      </c>
      <c r="M184" s="8">
        <f>IFERROR(VLOOKUP(B184,Petróleo!X:Y,2,FALSE),"")</f>
        <v>29790</v>
      </c>
      <c r="N184" s="8">
        <f>IFERROR(VLOOKUP(B184,Petróleo!Z:AA,2,FALSE),"")</f>
        <v>9350</v>
      </c>
      <c r="O184" s="8">
        <f>IFERROR(VLOOKUP(B184,Petróleo!AB:AC,2,FALSE),"")</f>
        <v>2430</v>
      </c>
      <c r="P184" s="8">
        <f>IFERROR(VLOOKUP(B184,Petróleo!AD:AE,2,FALSE),"")</f>
        <v>3910</v>
      </c>
      <c r="Q184" s="8">
        <f>IFERROR(VLOOKUP(B184,Petróleo!AF:AG,2,FALSE),"")</f>
        <v>1850</v>
      </c>
      <c r="R184" s="8">
        <f>IFERROR(VLOOKUP(B184,Petróleo!AH:AI,2,FALSE),"")</f>
        <v>1620</v>
      </c>
      <c r="S184" s="8">
        <f>IFERROR(VLOOKUP(B184,Petróleo!AJ:AK,2,FALSE),"")</f>
        <v>2380</v>
      </c>
      <c r="T184" s="8">
        <f>IFERROR(VLOOKUP(B184,Petróleo!AL:AM,2,FALSE),"")</f>
        <v>2730</v>
      </c>
      <c r="U184" s="8">
        <f>IFERROR(VLOOKUP(B184,Petróleo!AN:AO,2,FALSE),"")</f>
        <v>2430</v>
      </c>
      <c r="V184" s="10" t="str">
        <f>IFERROR(VLOOKUP(A184,Petróleo!AR:AT,3,FALSE),"")</f>
        <v/>
      </c>
    </row>
    <row r="185" spans="1:22" x14ac:dyDescent="0.25">
      <c r="A185" s="9" t="str">
        <f t="shared" si="2"/>
        <v>42005</v>
      </c>
      <c r="B185" s="9">
        <v>38472</v>
      </c>
      <c r="C185" s="1">
        <f>IFERROR(VLOOKUP(B185,Petróleo!A:B,2,FALSE),"")</f>
        <v>5563</v>
      </c>
      <c r="D185" s="1">
        <f>IFERROR(VLOOKUP(B185,Estoque_US!D:E,2,FALSE),"")</f>
        <v>12295</v>
      </c>
      <c r="E185" s="1">
        <f>IFERROR(VLOOKUP(B185,Petróleo!F:G,2,FALSE),"")</f>
        <v>9681.43</v>
      </c>
      <c r="F185" s="1">
        <f>IFERROR(VLOOKUP(B185,Petróleo!H:I,2,FALSE),"")</f>
        <v>4069</v>
      </c>
      <c r="G185" s="1">
        <f>IFERROR(VLOOKUP(B185,Petróleo!J:K,2,FALSE),"")</f>
        <v>1853</v>
      </c>
      <c r="H185" s="1">
        <f>IFERROR(VLOOKUP(B185,Petróleo!L:M,2,FALSE),"")</f>
        <v>1670</v>
      </c>
      <c r="I185" s="1">
        <f>IFERROR(VLOOKUP(B185,Petróleo!N:O,2,FALSE),"")</f>
        <v>2473.3620000000001</v>
      </c>
      <c r="J185" s="1">
        <f>IFERROR(VLOOKUP(B185,Petróleo!P:Q,2,FALSE),"")</f>
        <v>9349.5689999999995</v>
      </c>
      <c r="K185" s="1">
        <f>IFERROR(VLOOKUP(B185,Petróleo!R:S,2,FALSE),"")</f>
        <v>2993.453</v>
      </c>
      <c r="L185" s="1">
        <f>IFERROR(VLOOKUP(B185,Petróleo!T:U,2,FALSE),"")</f>
        <v>3571.857</v>
      </c>
      <c r="M185" s="8">
        <f>IFERROR(VLOOKUP(B185,Petróleo!X:Y,2,FALSE),"")</f>
        <v>29930</v>
      </c>
      <c r="N185" s="8">
        <f>IFERROR(VLOOKUP(B185,Petróleo!Z:AA,2,FALSE),"")</f>
        <v>9460</v>
      </c>
      <c r="O185" s="8">
        <f>IFERROR(VLOOKUP(B185,Petróleo!AB:AC,2,FALSE),"")</f>
        <v>2420</v>
      </c>
      <c r="P185" s="8">
        <f>IFERROR(VLOOKUP(B185,Petróleo!AD:AE,2,FALSE),"")</f>
        <v>3880</v>
      </c>
      <c r="Q185" s="8">
        <f>IFERROR(VLOOKUP(B185,Petróleo!AF:AG,2,FALSE),"")</f>
        <v>1880</v>
      </c>
      <c r="R185" s="8">
        <f>IFERROR(VLOOKUP(B185,Petróleo!AH:AI,2,FALSE),"")</f>
        <v>1620</v>
      </c>
      <c r="S185" s="8">
        <f>IFERROR(VLOOKUP(B185,Petróleo!AJ:AK,2,FALSE),"")</f>
        <v>2400</v>
      </c>
      <c r="T185" s="8">
        <f>IFERROR(VLOOKUP(B185,Petróleo!AL:AM,2,FALSE),"")</f>
        <v>2690</v>
      </c>
      <c r="U185" s="8">
        <f>IFERROR(VLOOKUP(B185,Petróleo!AN:AO,2,FALSE),"")</f>
        <v>2470</v>
      </c>
      <c r="V185" s="10" t="str">
        <f>IFERROR(VLOOKUP(A185,Petróleo!AR:AT,3,FALSE),"")</f>
        <v/>
      </c>
    </row>
    <row r="186" spans="1:22" x14ac:dyDescent="0.25">
      <c r="A186" s="9" t="str">
        <f t="shared" si="2"/>
        <v>52005</v>
      </c>
      <c r="B186" s="9">
        <v>38503</v>
      </c>
      <c r="C186" s="1">
        <f>IFERROR(VLOOKUP(B186,Petróleo!A:B,2,FALSE),"")</f>
        <v>5596</v>
      </c>
      <c r="D186" s="1">
        <f>IFERROR(VLOOKUP(B186,Estoque_US!D:E,2,FALSE),"")</f>
        <v>6810</v>
      </c>
      <c r="E186" s="1">
        <f>IFERROR(VLOOKUP(B186,Petróleo!F:G,2,FALSE),"")</f>
        <v>9858.43</v>
      </c>
      <c r="F186" s="1">
        <f>IFERROR(VLOOKUP(B186,Petróleo!H:I,2,FALSE),"")</f>
        <v>4189</v>
      </c>
      <c r="G186" s="1">
        <f>IFERROR(VLOOKUP(B186,Petróleo!J:K,2,FALSE),"")</f>
        <v>1823</v>
      </c>
      <c r="H186" s="1">
        <f>IFERROR(VLOOKUP(B186,Petróleo!L:M,2,FALSE),"")</f>
        <v>1685</v>
      </c>
      <c r="I186" s="1">
        <f>IFERROR(VLOOKUP(B186,Petróleo!N:O,2,FALSE),"")</f>
        <v>2473.3620000000001</v>
      </c>
      <c r="J186" s="1">
        <f>IFERROR(VLOOKUP(B186,Petróleo!P:Q,2,FALSE),"")</f>
        <v>9375.5939999999991</v>
      </c>
      <c r="K186" s="1">
        <f>IFERROR(VLOOKUP(B186,Petróleo!R:S,2,FALSE),"")</f>
        <v>2939.8629999999998</v>
      </c>
      <c r="L186" s="1">
        <f>IFERROR(VLOOKUP(B186,Petróleo!T:U,2,FALSE),"")</f>
        <v>3594.806</v>
      </c>
      <c r="M186" s="8">
        <f>IFERROR(VLOOKUP(B186,Petróleo!X:Y,2,FALSE),"")</f>
        <v>29950</v>
      </c>
      <c r="N186" s="8">
        <f>IFERROR(VLOOKUP(B186,Petróleo!Z:AA,2,FALSE),"")</f>
        <v>9500</v>
      </c>
      <c r="O186" s="8">
        <f>IFERROR(VLOOKUP(B186,Petróleo!AB:AC,2,FALSE),"")</f>
        <v>2380</v>
      </c>
      <c r="P186" s="8">
        <f>IFERROR(VLOOKUP(B186,Petróleo!AD:AE,2,FALSE),"")</f>
        <v>3920</v>
      </c>
      <c r="Q186" s="8">
        <f>IFERROR(VLOOKUP(B186,Petróleo!AF:AG,2,FALSE),"")</f>
        <v>1780</v>
      </c>
      <c r="R186" s="8">
        <f>IFERROR(VLOOKUP(B186,Petróleo!AH:AI,2,FALSE),"")</f>
        <v>1650</v>
      </c>
      <c r="S186" s="8">
        <f>IFERROR(VLOOKUP(B186,Petróleo!AJ:AK,2,FALSE),"")</f>
        <v>2450</v>
      </c>
      <c r="T186" s="8">
        <f>IFERROR(VLOOKUP(B186,Petróleo!AL:AM,2,FALSE),"")</f>
        <v>2670</v>
      </c>
      <c r="U186" s="8">
        <f>IFERROR(VLOOKUP(B186,Petróleo!AN:AO,2,FALSE),"")</f>
        <v>2500</v>
      </c>
      <c r="V186" s="10" t="str">
        <f>IFERROR(VLOOKUP(A186,Petróleo!AR:AT,3,FALSE),"")</f>
        <v/>
      </c>
    </row>
    <row r="187" spans="1:22" x14ac:dyDescent="0.25">
      <c r="A187" s="9" t="str">
        <f t="shared" si="2"/>
        <v>62005</v>
      </c>
      <c r="B187" s="9">
        <v>38533</v>
      </c>
      <c r="C187" s="1">
        <f>IFERROR(VLOOKUP(B187,Petróleo!A:B,2,FALSE),"")</f>
        <v>5442</v>
      </c>
      <c r="D187" s="1">
        <f>IFERROR(VLOOKUP(B187,Estoque_US!D:E,2,FALSE),"")</f>
        <v>-5352</v>
      </c>
      <c r="E187" s="1">
        <f>IFERROR(VLOOKUP(B187,Petróleo!F:G,2,FALSE),"")</f>
        <v>9858.43</v>
      </c>
      <c r="F187" s="1">
        <f>IFERROR(VLOOKUP(B187,Petróleo!H:I,2,FALSE),"")</f>
        <v>4184</v>
      </c>
      <c r="G187" s="1">
        <f>IFERROR(VLOOKUP(B187,Petróleo!J:K,2,FALSE),"")</f>
        <v>1858</v>
      </c>
      <c r="H187" s="1">
        <f>IFERROR(VLOOKUP(B187,Petróleo!L:M,2,FALSE),"")</f>
        <v>1685</v>
      </c>
      <c r="I187" s="1">
        <f>IFERROR(VLOOKUP(B187,Petróleo!N:O,2,FALSE),"")</f>
        <v>2508.3620000000001</v>
      </c>
      <c r="J187" s="1">
        <f>IFERROR(VLOOKUP(B187,Petróleo!P:Q,2,FALSE),"")</f>
        <v>9470.9419999999991</v>
      </c>
      <c r="K187" s="1">
        <f>IFERROR(VLOOKUP(B187,Petróleo!R:S,2,FALSE),"")</f>
        <v>2889.636</v>
      </c>
      <c r="L187" s="1">
        <f>IFERROR(VLOOKUP(B187,Petróleo!T:U,2,FALSE),"")</f>
        <v>3630.268</v>
      </c>
      <c r="M187" s="8">
        <f>IFERROR(VLOOKUP(B187,Petróleo!X:Y,2,FALSE),"")</f>
        <v>30006</v>
      </c>
      <c r="N187" s="8">
        <f>IFERROR(VLOOKUP(B187,Petróleo!Z:AA,2,FALSE),"")</f>
        <v>9520</v>
      </c>
      <c r="O187" s="8">
        <f>IFERROR(VLOOKUP(B187,Petróleo!AB:AC,2,FALSE),"")</f>
        <v>2350</v>
      </c>
      <c r="P187" s="8">
        <f>IFERROR(VLOOKUP(B187,Petróleo!AD:AE,2,FALSE),"")</f>
        <v>3960</v>
      </c>
      <c r="Q187" s="8">
        <f>IFERROR(VLOOKUP(B187,Petróleo!AF:AG,2,FALSE),"")</f>
        <v>1826</v>
      </c>
      <c r="R187" s="8">
        <f>IFERROR(VLOOKUP(B187,Petróleo!AH:AI,2,FALSE),"")</f>
        <v>1670</v>
      </c>
      <c r="S187" s="8">
        <f>IFERROR(VLOOKUP(B187,Petróleo!AJ:AK,2,FALSE),"")</f>
        <v>2460</v>
      </c>
      <c r="T187" s="8">
        <f>IFERROR(VLOOKUP(B187,Petróleo!AL:AM,2,FALSE),"")</f>
        <v>2690</v>
      </c>
      <c r="U187" s="8">
        <f>IFERROR(VLOOKUP(B187,Petróleo!AN:AO,2,FALSE),"")</f>
        <v>2430</v>
      </c>
      <c r="V187" s="10" t="str">
        <f>IFERROR(VLOOKUP(A187,Petróleo!AR:AT,3,FALSE),"")</f>
        <v/>
      </c>
    </row>
    <row r="188" spans="1:22" x14ac:dyDescent="0.25">
      <c r="A188" s="9" t="str">
        <f t="shared" si="2"/>
        <v>72005</v>
      </c>
      <c r="B188" s="9">
        <v>38564</v>
      </c>
      <c r="C188" s="1">
        <f>IFERROR(VLOOKUP(B188,Petróleo!A:B,2,FALSE),"")</f>
        <v>5253</v>
      </c>
      <c r="D188" s="1">
        <f>IFERROR(VLOOKUP(B188,Estoque_US!D:E,2,FALSE),"")</f>
        <v>-10461</v>
      </c>
      <c r="E188" s="1">
        <f>IFERROR(VLOOKUP(B188,Petróleo!F:G,2,FALSE),"")</f>
        <v>9927.43</v>
      </c>
      <c r="F188" s="1">
        <f>IFERROR(VLOOKUP(B188,Petróleo!H:I,2,FALSE),"")</f>
        <v>4069</v>
      </c>
      <c r="G188" s="1">
        <f>IFERROR(VLOOKUP(B188,Petróleo!J:K,2,FALSE),"")</f>
        <v>1958</v>
      </c>
      <c r="H188" s="1">
        <f>IFERROR(VLOOKUP(B188,Petróleo!L:M,2,FALSE),"")</f>
        <v>1695</v>
      </c>
      <c r="I188" s="1">
        <f>IFERROR(VLOOKUP(B188,Petróleo!N:O,2,FALSE),"")</f>
        <v>2481.308</v>
      </c>
      <c r="J188" s="1">
        <f>IFERROR(VLOOKUP(B188,Petróleo!P:Q,2,FALSE),"")</f>
        <v>9507.8130000000001</v>
      </c>
      <c r="K188" s="1">
        <f>IFERROR(VLOOKUP(B188,Petróleo!R:S,2,FALSE),"")</f>
        <v>2896.0169999999998</v>
      </c>
      <c r="L188" s="1">
        <f>IFERROR(VLOOKUP(B188,Petróleo!T:U,2,FALSE),"")</f>
        <v>3623.6210000000001</v>
      </c>
      <c r="M188" s="8">
        <f>IFERROR(VLOOKUP(B188,Petróleo!X:Y,2,FALSE),"")</f>
        <v>30300</v>
      </c>
      <c r="N188" s="8">
        <f>IFERROR(VLOOKUP(B188,Petróleo!Z:AA,2,FALSE),"")</f>
        <v>9580</v>
      </c>
      <c r="O188" s="8">
        <f>IFERROR(VLOOKUP(B188,Petróleo!AB:AC,2,FALSE),"")</f>
        <v>2440</v>
      </c>
      <c r="P188" s="8">
        <f>IFERROR(VLOOKUP(B188,Petróleo!AD:AE,2,FALSE),"")</f>
        <v>3980</v>
      </c>
      <c r="Q188" s="8">
        <f>IFERROR(VLOOKUP(B188,Petróleo!AF:AG,2,FALSE),"")</f>
        <v>1930</v>
      </c>
      <c r="R188" s="8">
        <f>IFERROR(VLOOKUP(B188,Petróleo!AH:AI,2,FALSE),"")</f>
        <v>1680</v>
      </c>
      <c r="S188" s="8">
        <f>IFERROR(VLOOKUP(B188,Petróleo!AJ:AK,2,FALSE),"")</f>
        <v>2460</v>
      </c>
      <c r="T188" s="8">
        <f>IFERROR(VLOOKUP(B188,Petróleo!AL:AM,2,FALSE),"")</f>
        <v>2700</v>
      </c>
      <c r="U188" s="8">
        <f>IFERROR(VLOOKUP(B188,Petróleo!AN:AO,2,FALSE),"")</f>
        <v>2430</v>
      </c>
      <c r="V188" s="10" t="str">
        <f>IFERROR(VLOOKUP(A188,Petróleo!AR:AT,3,FALSE),"")</f>
        <v/>
      </c>
    </row>
    <row r="189" spans="1:22" x14ac:dyDescent="0.25">
      <c r="A189" s="9" t="str">
        <f t="shared" si="2"/>
        <v>82005</v>
      </c>
      <c r="B189" s="9">
        <v>38595</v>
      </c>
      <c r="C189" s="1">
        <f>IFERROR(VLOOKUP(B189,Petróleo!A:B,2,FALSE),"")</f>
        <v>5198</v>
      </c>
      <c r="D189" s="1">
        <f>IFERROR(VLOOKUP(B189,Estoque_US!D:E,2,FALSE),"")</f>
        <v>3370</v>
      </c>
      <c r="E189" s="1">
        <f>IFERROR(VLOOKUP(B189,Petróleo!F:G,2,FALSE),"")</f>
        <v>9927.43</v>
      </c>
      <c r="F189" s="1">
        <f>IFERROR(VLOOKUP(B189,Petróleo!H:I,2,FALSE),"")</f>
        <v>4034</v>
      </c>
      <c r="G189" s="1">
        <f>IFERROR(VLOOKUP(B189,Petróleo!J:K,2,FALSE),"")</f>
        <v>1923</v>
      </c>
      <c r="H189" s="1">
        <f>IFERROR(VLOOKUP(B189,Petróleo!L:M,2,FALSE),"")</f>
        <v>1695</v>
      </c>
      <c r="I189" s="1">
        <f>IFERROR(VLOOKUP(B189,Petróleo!N:O,2,FALSE),"")</f>
        <v>2456.308</v>
      </c>
      <c r="J189" s="1">
        <f>IFERROR(VLOOKUP(B189,Petróleo!P:Q,2,FALSE),"")</f>
        <v>9548.6790000000001</v>
      </c>
      <c r="K189" s="1">
        <f>IFERROR(VLOOKUP(B189,Petróleo!R:S,2,FALSE),"")</f>
        <v>2946.402</v>
      </c>
      <c r="L189" s="1">
        <f>IFERROR(VLOOKUP(B189,Petróleo!T:U,2,FALSE),"")</f>
        <v>3642.723</v>
      </c>
      <c r="M189" s="8">
        <f>IFERROR(VLOOKUP(B189,Petróleo!X:Y,2,FALSE),"")</f>
        <v>30410</v>
      </c>
      <c r="N189" s="8">
        <f>IFERROR(VLOOKUP(B189,Petróleo!Z:AA,2,FALSE),"")</f>
        <v>9580</v>
      </c>
      <c r="O189" s="8">
        <f>IFERROR(VLOOKUP(B189,Petróleo!AB:AC,2,FALSE),"")</f>
        <v>2500</v>
      </c>
      <c r="P189" s="8">
        <f>IFERROR(VLOOKUP(B189,Petróleo!AD:AE,2,FALSE),"")</f>
        <v>4080</v>
      </c>
      <c r="Q189" s="8">
        <f>IFERROR(VLOOKUP(B189,Petróleo!AF:AG,2,FALSE),"")</f>
        <v>1870</v>
      </c>
      <c r="R189" s="8">
        <f>IFERROR(VLOOKUP(B189,Petróleo!AH:AI,2,FALSE),"")</f>
        <v>1690</v>
      </c>
      <c r="S189" s="8">
        <f>IFERROR(VLOOKUP(B189,Petróleo!AJ:AK,2,FALSE),"")</f>
        <v>2450</v>
      </c>
      <c r="T189" s="8">
        <f>IFERROR(VLOOKUP(B189,Petróleo!AL:AM,2,FALSE),"")</f>
        <v>2700</v>
      </c>
      <c r="U189" s="8">
        <f>IFERROR(VLOOKUP(B189,Petróleo!AN:AO,2,FALSE),"")</f>
        <v>2450</v>
      </c>
      <c r="V189" s="10" t="str">
        <f>IFERROR(VLOOKUP(A189,Petróleo!AR:AT,3,FALSE),"")</f>
        <v/>
      </c>
    </row>
    <row r="190" spans="1:22" x14ac:dyDescent="0.25">
      <c r="A190" s="9" t="str">
        <f t="shared" si="2"/>
        <v>92005</v>
      </c>
      <c r="B190" s="9">
        <v>38625</v>
      </c>
      <c r="C190" s="1">
        <f>IFERROR(VLOOKUP(B190,Petróleo!A:B,2,FALSE),"")</f>
        <v>4214</v>
      </c>
      <c r="D190" s="1">
        <f>IFERROR(VLOOKUP(B190,Estoque_US!D:E,2,FALSE),"")</f>
        <v>-15993</v>
      </c>
      <c r="E190" s="1">
        <f>IFERROR(VLOOKUP(B190,Petróleo!F:G,2,FALSE),"")</f>
        <v>9871.43</v>
      </c>
      <c r="F190" s="1">
        <f>IFERROR(VLOOKUP(B190,Petróleo!H:I,2,FALSE),"")</f>
        <v>3884</v>
      </c>
      <c r="G190" s="1">
        <f>IFERROR(VLOOKUP(B190,Petróleo!J:K,2,FALSE),"")</f>
        <v>2013</v>
      </c>
      <c r="H190" s="1">
        <f>IFERROR(VLOOKUP(B190,Petróleo!L:M,2,FALSE),"")</f>
        <v>1695</v>
      </c>
      <c r="I190" s="1">
        <f>IFERROR(VLOOKUP(B190,Petróleo!N:O,2,FALSE),"")</f>
        <v>2401.308</v>
      </c>
      <c r="J190" s="1">
        <f>IFERROR(VLOOKUP(B190,Petróleo!P:Q,2,FALSE),"")</f>
        <v>9598.4879999999994</v>
      </c>
      <c r="K190" s="1">
        <f>IFERROR(VLOOKUP(B190,Petróleo!R:S,2,FALSE),"")</f>
        <v>2482.4839999999999</v>
      </c>
      <c r="L190" s="1">
        <f>IFERROR(VLOOKUP(B190,Petróleo!T:U,2,FALSE),"")</f>
        <v>3599.7220000000002</v>
      </c>
      <c r="M190" s="8">
        <f>IFERROR(VLOOKUP(B190,Petróleo!X:Y,2,FALSE),"")</f>
        <v>30460</v>
      </c>
      <c r="N190" s="8">
        <f>IFERROR(VLOOKUP(B190,Petróleo!Z:AA,2,FALSE),"")</f>
        <v>9580</v>
      </c>
      <c r="O190" s="8">
        <f>IFERROR(VLOOKUP(B190,Petróleo!AB:AC,2,FALSE),"")</f>
        <v>2580</v>
      </c>
      <c r="P190" s="8">
        <f>IFERROR(VLOOKUP(B190,Petróleo!AD:AE,2,FALSE),"")</f>
        <v>3850</v>
      </c>
      <c r="Q190" s="8">
        <f>IFERROR(VLOOKUP(B190,Petróleo!AF:AG,2,FALSE),"")</f>
        <v>2055</v>
      </c>
      <c r="R190" s="8">
        <f>IFERROR(VLOOKUP(B190,Petróleo!AH:AI,2,FALSE),"")</f>
        <v>1680</v>
      </c>
      <c r="S190" s="8">
        <f>IFERROR(VLOOKUP(B190,Petróleo!AJ:AK,2,FALSE),"")</f>
        <v>2425</v>
      </c>
      <c r="T190" s="8">
        <f>IFERROR(VLOOKUP(B190,Petróleo!AL:AM,2,FALSE),"")</f>
        <v>2700</v>
      </c>
      <c r="U190" s="8">
        <f>IFERROR(VLOOKUP(B190,Petróleo!AN:AO,2,FALSE),"")</f>
        <v>2500</v>
      </c>
      <c r="V190" s="10" t="str">
        <f>IFERROR(VLOOKUP(A190,Petróleo!AR:AT,3,FALSE),"")</f>
        <v/>
      </c>
    </row>
    <row r="191" spans="1:22" x14ac:dyDescent="0.25">
      <c r="A191" s="9" t="str">
        <f t="shared" si="2"/>
        <v>102005</v>
      </c>
      <c r="B191" s="9">
        <v>38656</v>
      </c>
      <c r="C191" s="1">
        <f>IFERROR(VLOOKUP(B191,Petróleo!A:B,2,FALSE),"")</f>
        <v>4555</v>
      </c>
      <c r="D191" s="1">
        <f>IFERROR(VLOOKUP(B191,Estoque_US!D:E,2,FALSE),"")</f>
        <v>13720</v>
      </c>
      <c r="E191" s="1">
        <f>IFERROR(VLOOKUP(B191,Petróleo!F:G,2,FALSE),"")</f>
        <v>9926.43</v>
      </c>
      <c r="F191" s="1">
        <f>IFERROR(VLOOKUP(B191,Petróleo!H:I,2,FALSE),"")</f>
        <v>4104</v>
      </c>
      <c r="G191" s="1">
        <f>IFERROR(VLOOKUP(B191,Petróleo!J:K,2,FALSE),"")</f>
        <v>1743</v>
      </c>
      <c r="H191" s="1">
        <f>IFERROR(VLOOKUP(B191,Petróleo!L:M,2,FALSE),"")</f>
        <v>1695</v>
      </c>
      <c r="I191" s="1">
        <f>IFERROR(VLOOKUP(B191,Petróleo!N:O,2,FALSE),"")</f>
        <v>2494.0309999999999</v>
      </c>
      <c r="J191" s="1">
        <f>IFERROR(VLOOKUP(B191,Petróleo!P:Q,2,FALSE),"")</f>
        <v>9639.3279999999995</v>
      </c>
      <c r="K191" s="1">
        <f>IFERROR(VLOOKUP(B191,Petróleo!R:S,2,FALSE),"")</f>
        <v>2641.8139999999999</v>
      </c>
      <c r="L191" s="1">
        <f>IFERROR(VLOOKUP(B191,Petróleo!T:U,2,FALSE),"")</f>
        <v>3624.5709999999999</v>
      </c>
      <c r="M191" s="8">
        <f>IFERROR(VLOOKUP(B191,Petróleo!X:Y,2,FALSE),"")</f>
        <v>30220</v>
      </c>
      <c r="N191" s="8">
        <f>IFERROR(VLOOKUP(B191,Petróleo!Z:AA,2,FALSE),"")</f>
        <v>9500</v>
      </c>
      <c r="O191" s="8">
        <f>IFERROR(VLOOKUP(B191,Petróleo!AB:AC,2,FALSE),"")</f>
        <v>2600</v>
      </c>
      <c r="P191" s="8">
        <f>IFERROR(VLOOKUP(B191,Petróleo!AD:AE,2,FALSE),"")</f>
        <v>3910</v>
      </c>
      <c r="Q191" s="8">
        <f>IFERROR(VLOOKUP(B191,Petróleo!AF:AG,2,FALSE),"")</f>
        <v>1780</v>
      </c>
      <c r="R191" s="8">
        <f>IFERROR(VLOOKUP(B191,Petróleo!AH:AI,2,FALSE),"")</f>
        <v>1680</v>
      </c>
      <c r="S191" s="8">
        <f>IFERROR(VLOOKUP(B191,Petróleo!AJ:AK,2,FALSE),"")</f>
        <v>2450</v>
      </c>
      <c r="T191" s="8">
        <f>IFERROR(VLOOKUP(B191,Petróleo!AL:AM,2,FALSE),"")</f>
        <v>2700</v>
      </c>
      <c r="U191" s="8">
        <f>IFERROR(VLOOKUP(B191,Petróleo!AN:AO,2,FALSE),"")</f>
        <v>2500</v>
      </c>
      <c r="V191" s="10" t="str">
        <f>IFERROR(VLOOKUP(A191,Petróleo!AR:AT,3,FALSE),"")</f>
        <v/>
      </c>
    </row>
    <row r="192" spans="1:22" x14ac:dyDescent="0.25">
      <c r="A192" s="9" t="str">
        <f t="shared" si="2"/>
        <v>112005</v>
      </c>
      <c r="B192" s="9">
        <v>38686</v>
      </c>
      <c r="C192" s="1">
        <f>IFERROR(VLOOKUP(B192,Petróleo!A:B,2,FALSE),"")</f>
        <v>4857</v>
      </c>
      <c r="D192" s="1">
        <f>IFERROR(VLOOKUP(B192,Estoque_US!D:E,2,FALSE),"")</f>
        <v>-1569</v>
      </c>
      <c r="E192" s="1">
        <f>IFERROR(VLOOKUP(B192,Petróleo!F:G,2,FALSE),"")</f>
        <v>9904.43</v>
      </c>
      <c r="F192" s="1">
        <f>IFERROR(VLOOKUP(B192,Petróleo!H:I,2,FALSE),"")</f>
        <v>4039</v>
      </c>
      <c r="G192" s="1">
        <f>IFERROR(VLOOKUP(B192,Petróleo!J:K,2,FALSE),"")</f>
        <v>1703</v>
      </c>
      <c r="H192" s="1">
        <f>IFERROR(VLOOKUP(B192,Petróleo!L:M,2,FALSE),"")</f>
        <v>1695</v>
      </c>
      <c r="I192" s="1">
        <f>IFERROR(VLOOKUP(B192,Petróleo!N:O,2,FALSE),"")</f>
        <v>2544.0309999999999</v>
      </c>
      <c r="J192" s="1">
        <f>IFERROR(VLOOKUP(B192,Petróleo!P:Q,2,FALSE),"")</f>
        <v>9664.8970000000008</v>
      </c>
      <c r="K192" s="1">
        <f>IFERROR(VLOOKUP(B192,Petróleo!R:S,2,FALSE),"")</f>
        <v>2725.6170000000002</v>
      </c>
      <c r="L192" s="1">
        <f>IFERROR(VLOOKUP(B192,Petróleo!T:U,2,FALSE),"")</f>
        <v>3597.65</v>
      </c>
      <c r="M192" s="8">
        <f>IFERROR(VLOOKUP(B192,Petróleo!X:Y,2,FALSE),"")</f>
        <v>29905</v>
      </c>
      <c r="N192" s="8">
        <f>IFERROR(VLOOKUP(B192,Petróleo!Z:AA,2,FALSE),"")</f>
        <v>9550</v>
      </c>
      <c r="O192" s="8">
        <f>IFERROR(VLOOKUP(B192,Petróleo!AB:AC,2,FALSE),"")</f>
        <v>2570</v>
      </c>
      <c r="P192" s="8">
        <f>IFERROR(VLOOKUP(B192,Petróleo!AD:AE,2,FALSE),"")</f>
        <v>3910</v>
      </c>
      <c r="Q192" s="8">
        <f>IFERROR(VLOOKUP(B192,Petróleo!AF:AG,2,FALSE),"")</f>
        <v>1550</v>
      </c>
      <c r="R192" s="8">
        <f>IFERROR(VLOOKUP(B192,Petróleo!AH:AI,2,FALSE),"")</f>
        <v>1680</v>
      </c>
      <c r="S192" s="8">
        <f>IFERROR(VLOOKUP(B192,Petróleo!AJ:AK,2,FALSE),"")</f>
        <v>2450</v>
      </c>
      <c r="T192" s="8">
        <f>IFERROR(VLOOKUP(B192,Petróleo!AL:AM,2,FALSE),"")</f>
        <v>2600</v>
      </c>
      <c r="U192" s="8">
        <f>IFERROR(VLOOKUP(B192,Petróleo!AN:AO,2,FALSE),"")</f>
        <v>2510</v>
      </c>
      <c r="V192" s="10" t="str">
        <f>IFERROR(VLOOKUP(A192,Petróleo!AR:AT,3,FALSE),"")</f>
        <v/>
      </c>
    </row>
    <row r="193" spans="1:22" x14ac:dyDescent="0.25">
      <c r="A193" s="9" t="str">
        <f t="shared" si="2"/>
        <v>122005</v>
      </c>
      <c r="B193" s="9">
        <v>38717</v>
      </c>
      <c r="C193" s="1">
        <f>IFERROR(VLOOKUP(B193,Petróleo!A:B,2,FALSE),"")</f>
        <v>4988</v>
      </c>
      <c r="D193" s="1">
        <f>IFERROR(VLOOKUP(B193,Estoque_US!D:E,2,FALSE),"")</f>
        <v>4017</v>
      </c>
      <c r="E193" s="1">
        <f>IFERROR(VLOOKUP(B193,Petróleo!F:G,2,FALSE),"")</f>
        <v>9705.43</v>
      </c>
      <c r="F193" s="1">
        <f>IFERROR(VLOOKUP(B193,Petróleo!H:I,2,FALSE),"")</f>
        <v>4079</v>
      </c>
      <c r="G193" s="1">
        <f>IFERROR(VLOOKUP(B193,Petróleo!J:K,2,FALSE),"")</f>
        <v>1543</v>
      </c>
      <c r="H193" s="1">
        <f>IFERROR(VLOOKUP(B193,Petróleo!L:M,2,FALSE),"")</f>
        <v>1695</v>
      </c>
      <c r="I193" s="1">
        <f>IFERROR(VLOOKUP(B193,Petróleo!N:O,2,FALSE),"")</f>
        <v>2534.0309999999999</v>
      </c>
      <c r="J193" s="1">
        <f>IFERROR(VLOOKUP(B193,Petróleo!P:Q,2,FALSE),"")</f>
        <v>9652.5650000000005</v>
      </c>
      <c r="K193" s="1">
        <f>IFERROR(VLOOKUP(B193,Petróleo!R:S,2,FALSE),"")</f>
        <v>2920.6509999999998</v>
      </c>
      <c r="L193" s="1">
        <f>IFERROR(VLOOKUP(B193,Petróleo!T:U,2,FALSE),"")</f>
        <v>3504.2190000000001</v>
      </c>
      <c r="M193" s="8">
        <f>IFERROR(VLOOKUP(B193,Petróleo!X:Y,2,FALSE),"")</f>
        <v>29905</v>
      </c>
      <c r="N193" s="8">
        <f>IFERROR(VLOOKUP(B193,Petróleo!Z:AA,2,FALSE),"")</f>
        <v>9520</v>
      </c>
      <c r="O193" s="8">
        <f>IFERROR(VLOOKUP(B193,Petróleo!AB:AC,2,FALSE),"")</f>
        <v>2570</v>
      </c>
      <c r="P193" s="8">
        <f>IFERROR(VLOOKUP(B193,Petróleo!AD:AE,2,FALSE),"")</f>
        <v>3910</v>
      </c>
      <c r="Q193" s="8">
        <f>IFERROR(VLOOKUP(B193,Petróleo!AF:AG,2,FALSE),"")</f>
        <v>1550</v>
      </c>
      <c r="R193" s="8">
        <f>IFERROR(VLOOKUP(B193,Petróleo!AH:AI,2,FALSE),"")</f>
        <v>1680</v>
      </c>
      <c r="S193" s="8">
        <f>IFERROR(VLOOKUP(B193,Petróleo!AJ:AK,2,FALSE),"")</f>
        <v>2450</v>
      </c>
      <c r="T193" s="8">
        <f>IFERROR(VLOOKUP(B193,Petróleo!AL:AM,2,FALSE),"")</f>
        <v>2600</v>
      </c>
      <c r="U193" s="8">
        <f>IFERROR(VLOOKUP(B193,Petróleo!AN:AO,2,FALSE),"")</f>
        <v>2510</v>
      </c>
      <c r="V193" s="10" t="str">
        <f>IFERROR(VLOOKUP(A193,Petróleo!AR:AT,3,FALSE),"")</f>
        <v/>
      </c>
    </row>
    <row r="194" spans="1:22" x14ac:dyDescent="0.25">
      <c r="A194" s="9" t="str">
        <f t="shared" si="2"/>
        <v>12006</v>
      </c>
      <c r="B194" s="9">
        <v>38748</v>
      </c>
      <c r="C194" s="1">
        <f>IFERROR(VLOOKUP(B194,Petróleo!A:B,2,FALSE),"")</f>
        <v>5048</v>
      </c>
      <c r="D194" s="1">
        <f>IFERROR(VLOOKUP(B194,Estoque_US!D:E,2,FALSE),"")</f>
        <v>-536</v>
      </c>
      <c r="E194" s="1">
        <f>IFERROR(VLOOKUP(B194,Petróleo!F:G,2,FALSE),"")</f>
        <v>9986.68</v>
      </c>
      <c r="F194" s="1">
        <f>IFERROR(VLOOKUP(B194,Petróleo!H:I,2,FALSE),"")</f>
        <v>3877</v>
      </c>
      <c r="G194" s="1">
        <f>IFERROR(VLOOKUP(B194,Petróleo!J:K,2,FALSE),"")</f>
        <v>1503</v>
      </c>
      <c r="H194" s="1">
        <f>IFERROR(VLOOKUP(B194,Petróleo!L:M,2,FALSE),"")</f>
        <v>1705</v>
      </c>
      <c r="I194" s="1">
        <f>IFERROR(VLOOKUP(B194,Petróleo!N:O,2,FALSE),"")</f>
        <v>2430.1219999999998</v>
      </c>
      <c r="J194" s="1">
        <f>IFERROR(VLOOKUP(B194,Petróleo!P:Q,2,FALSE),"")</f>
        <v>9439.1479999999992</v>
      </c>
      <c r="K194" s="1">
        <f>IFERROR(VLOOKUP(B194,Petróleo!R:S,2,FALSE),"")</f>
        <v>2979.8560000000002</v>
      </c>
      <c r="L194" s="1">
        <f>IFERROR(VLOOKUP(B194,Petróleo!T:U,2,FALSE),"")</f>
        <v>3640.5349999999999</v>
      </c>
      <c r="M194" s="8">
        <f>IFERROR(VLOOKUP(B194,Petróleo!X:Y,2,FALSE),"")</f>
        <v>29490</v>
      </c>
      <c r="N194" s="8">
        <f>IFERROR(VLOOKUP(B194,Petróleo!Z:AA,2,FALSE),"")</f>
        <v>9490</v>
      </c>
      <c r="O194" s="8">
        <f>IFERROR(VLOOKUP(B194,Petróleo!AB:AC,2,FALSE),"")</f>
        <v>2530</v>
      </c>
      <c r="P194" s="8">
        <f>IFERROR(VLOOKUP(B194,Petróleo!AD:AE,2,FALSE),"")</f>
        <v>3700</v>
      </c>
      <c r="Q194" s="8">
        <f>IFERROR(VLOOKUP(B194,Petróleo!AF:AG,2,FALSE),"")</f>
        <v>1530</v>
      </c>
      <c r="R194" s="8">
        <f>IFERROR(VLOOKUP(B194,Petróleo!AH:AI,2,FALSE),"")</f>
        <v>1680</v>
      </c>
      <c r="S194" s="8">
        <f>IFERROR(VLOOKUP(B194,Petróleo!AJ:AK,2,FALSE),"")</f>
        <v>2360</v>
      </c>
      <c r="T194" s="8">
        <f>IFERROR(VLOOKUP(B194,Petróleo!AL:AM,2,FALSE),"")</f>
        <v>2580</v>
      </c>
      <c r="U194" s="8">
        <f>IFERROR(VLOOKUP(B194,Petróleo!AN:AO,2,FALSE),"")</f>
        <v>2520</v>
      </c>
      <c r="V194" s="10" t="str">
        <f>IFERROR(VLOOKUP(A194,Petróleo!AR:AT,3,FALSE),"")</f>
        <v/>
      </c>
    </row>
    <row r="195" spans="1:22" x14ac:dyDescent="0.25">
      <c r="A195" s="9" t="str">
        <f t="shared" ref="A195:A258" si="3">MONTH(B195)&amp;YEAR(B195)</f>
        <v>22006</v>
      </c>
      <c r="B195" s="9">
        <v>38776</v>
      </c>
      <c r="C195" s="1">
        <f>IFERROR(VLOOKUP(B195,Petróleo!A:B,2,FALSE),"")</f>
        <v>5032</v>
      </c>
      <c r="D195" s="1">
        <f>IFERROR(VLOOKUP(B195,Estoque_US!D:E,2,FALSE),"")</f>
        <v>7294</v>
      </c>
      <c r="E195" s="1">
        <f>IFERROR(VLOOKUP(B195,Petróleo!F:G,2,FALSE),"")</f>
        <v>10036.68</v>
      </c>
      <c r="F195" s="1">
        <f>IFERROR(VLOOKUP(B195,Petróleo!H:I,2,FALSE),"")</f>
        <v>4097</v>
      </c>
      <c r="G195" s="1">
        <f>IFERROR(VLOOKUP(B195,Petróleo!J:K,2,FALSE),"")</f>
        <v>1838</v>
      </c>
      <c r="H195" s="1">
        <f>IFERROR(VLOOKUP(B195,Petróleo!L:M,2,FALSE),"")</f>
        <v>1725</v>
      </c>
      <c r="I195" s="1">
        <f>IFERROR(VLOOKUP(B195,Petróleo!N:O,2,FALSE),"")</f>
        <v>2350.1219999999998</v>
      </c>
      <c r="J195" s="1">
        <f>IFERROR(VLOOKUP(B195,Petróleo!P:Q,2,FALSE),"")</f>
        <v>9455.7000000000007</v>
      </c>
      <c r="K195" s="1">
        <f>IFERROR(VLOOKUP(B195,Petróleo!R:S,2,FALSE),"")</f>
        <v>2787.2539999999999</v>
      </c>
      <c r="L195" s="1">
        <f>IFERROR(VLOOKUP(B195,Petróleo!T:U,2,FALSE),"")</f>
        <v>3610.8249999999998</v>
      </c>
      <c r="M195" s="8">
        <f>IFERROR(VLOOKUP(B195,Petróleo!X:Y,2,FALSE),"")</f>
        <v>29865</v>
      </c>
      <c r="N195" s="8">
        <f>IFERROR(VLOOKUP(B195,Petróleo!Z:AA,2,FALSE),"")</f>
        <v>9450</v>
      </c>
      <c r="O195" s="8">
        <f>IFERROR(VLOOKUP(B195,Petróleo!AB:AC,2,FALSE),"")</f>
        <v>2480</v>
      </c>
      <c r="P195" s="8">
        <f>IFERROR(VLOOKUP(B195,Petróleo!AD:AE,2,FALSE),"")</f>
        <v>3900</v>
      </c>
      <c r="Q195" s="8">
        <f>IFERROR(VLOOKUP(B195,Petróleo!AF:AG,2,FALSE),"")</f>
        <v>1835</v>
      </c>
      <c r="R195" s="8">
        <f>IFERROR(VLOOKUP(B195,Petróleo!AH:AI,2,FALSE),"")</f>
        <v>1680</v>
      </c>
      <c r="S195" s="8">
        <f>IFERROR(VLOOKUP(B195,Petróleo!AJ:AK,2,FALSE),"")</f>
        <v>2280</v>
      </c>
      <c r="T195" s="8">
        <f>IFERROR(VLOOKUP(B195,Petróleo!AL:AM,2,FALSE),"")</f>
        <v>2620</v>
      </c>
      <c r="U195" s="8">
        <f>IFERROR(VLOOKUP(B195,Petróleo!AN:AO,2,FALSE),"")</f>
        <v>2520</v>
      </c>
      <c r="V195" s="10" t="str">
        <f>IFERROR(VLOOKUP(A195,Petróleo!AR:AT,3,FALSE),"")</f>
        <v/>
      </c>
    </row>
    <row r="196" spans="1:22" x14ac:dyDescent="0.25">
      <c r="A196" s="9" t="str">
        <f t="shared" si="3"/>
        <v>32006</v>
      </c>
      <c r="B196" s="9">
        <v>38807</v>
      </c>
      <c r="C196" s="1">
        <f>IFERROR(VLOOKUP(B196,Petróleo!A:B,2,FALSE),"")</f>
        <v>5027</v>
      </c>
      <c r="D196" s="1">
        <f>IFERROR(VLOOKUP(B196,Estoque_US!D:E,2,FALSE),"")</f>
        <v>14429</v>
      </c>
      <c r="E196" s="1">
        <f>IFERROR(VLOOKUP(B196,Petróleo!F:G,2,FALSE),"")</f>
        <v>9946.68</v>
      </c>
      <c r="F196" s="1">
        <f>IFERROR(VLOOKUP(B196,Petróleo!H:I,2,FALSE),"")</f>
        <v>4187</v>
      </c>
      <c r="G196" s="1">
        <f>IFERROR(VLOOKUP(B196,Petróleo!J:K,2,FALSE),"")</f>
        <v>1808</v>
      </c>
      <c r="H196" s="1">
        <f>IFERROR(VLOOKUP(B196,Petróleo!L:M,2,FALSE),"")</f>
        <v>1735</v>
      </c>
      <c r="I196" s="1">
        <f>IFERROR(VLOOKUP(B196,Petróleo!N:O,2,FALSE),"")</f>
        <v>2155.1219999999998</v>
      </c>
      <c r="J196" s="1">
        <f>IFERROR(VLOOKUP(B196,Petróleo!P:Q,2,FALSE),"")</f>
        <v>9547.9159999999993</v>
      </c>
      <c r="K196" s="1">
        <f>IFERROR(VLOOKUP(B196,Petróleo!R:S,2,FALSE),"")</f>
        <v>2941.6689999999999</v>
      </c>
      <c r="L196" s="1">
        <f>IFERROR(VLOOKUP(B196,Petróleo!T:U,2,FALSE),"")</f>
        <v>3650.3580000000002</v>
      </c>
      <c r="M196" s="8">
        <f>IFERROR(VLOOKUP(B196,Petróleo!X:Y,2,FALSE),"")</f>
        <v>29790</v>
      </c>
      <c r="N196" s="8">
        <f>IFERROR(VLOOKUP(B196,Petróleo!Z:AA,2,FALSE),"")</f>
        <v>9550</v>
      </c>
      <c r="O196" s="8">
        <f>IFERROR(VLOOKUP(B196,Petróleo!AB:AC,2,FALSE),"")</f>
        <v>2500</v>
      </c>
      <c r="P196" s="8">
        <f>IFERROR(VLOOKUP(B196,Petróleo!AD:AE,2,FALSE),"")</f>
        <v>3900</v>
      </c>
      <c r="Q196" s="8">
        <f>IFERROR(VLOOKUP(B196,Petróleo!AF:AG,2,FALSE),"")</f>
        <v>1810</v>
      </c>
      <c r="R196" s="8">
        <f>IFERROR(VLOOKUP(B196,Petróleo!AH:AI,2,FALSE),"")</f>
        <v>1700</v>
      </c>
      <c r="S196" s="8">
        <f>IFERROR(VLOOKUP(B196,Petróleo!AJ:AK,2,FALSE),"")</f>
        <v>2030</v>
      </c>
      <c r="T196" s="8">
        <f>IFERROR(VLOOKUP(B196,Petróleo!AL:AM,2,FALSE),"")</f>
        <v>2640</v>
      </c>
      <c r="U196" s="8">
        <f>IFERROR(VLOOKUP(B196,Petróleo!AN:AO,2,FALSE),"")</f>
        <v>2520</v>
      </c>
      <c r="V196" s="10" t="str">
        <f>IFERROR(VLOOKUP(A196,Petróleo!AR:AT,3,FALSE),"")</f>
        <v/>
      </c>
    </row>
    <row r="197" spans="1:22" x14ac:dyDescent="0.25">
      <c r="A197" s="9" t="str">
        <f t="shared" si="3"/>
        <v>42006</v>
      </c>
      <c r="B197" s="9">
        <v>38837</v>
      </c>
      <c r="C197" s="1">
        <f>IFERROR(VLOOKUP(B197,Petróleo!A:B,2,FALSE),"")</f>
        <v>5082</v>
      </c>
      <c r="D197" s="1">
        <f>IFERROR(VLOOKUP(B197,Estoque_US!D:E,2,FALSE),"")</f>
        <v>3925</v>
      </c>
      <c r="E197" s="1">
        <f>IFERROR(VLOOKUP(B197,Petróleo!F:G,2,FALSE),"")</f>
        <v>9650.68</v>
      </c>
      <c r="F197" s="1">
        <f>IFERROR(VLOOKUP(B197,Petróleo!H:I,2,FALSE),"")</f>
        <v>3857</v>
      </c>
      <c r="G197" s="1">
        <f>IFERROR(VLOOKUP(B197,Petróleo!J:K,2,FALSE),"")</f>
        <v>1998</v>
      </c>
      <c r="H197" s="1">
        <f>IFERROR(VLOOKUP(B197,Petróleo!L:M,2,FALSE),"")</f>
        <v>1755</v>
      </c>
      <c r="I197" s="1">
        <f>IFERROR(VLOOKUP(B197,Petróleo!N:O,2,FALSE),"")</f>
        <v>2167.096</v>
      </c>
      <c r="J197" s="1">
        <f>IFERROR(VLOOKUP(B197,Petróleo!P:Q,2,FALSE),"")</f>
        <v>9594.9699999999993</v>
      </c>
      <c r="K197" s="1">
        <f>IFERROR(VLOOKUP(B197,Petróleo!R:S,2,FALSE),"")</f>
        <v>2748.268</v>
      </c>
      <c r="L197" s="1">
        <f>IFERROR(VLOOKUP(B197,Petróleo!T:U,2,FALSE),"")</f>
        <v>3623.799</v>
      </c>
      <c r="M197" s="8">
        <f>IFERROR(VLOOKUP(B197,Petróleo!X:Y,2,FALSE),"")</f>
        <v>29645</v>
      </c>
      <c r="N197" s="8">
        <f>IFERROR(VLOOKUP(B197,Petróleo!Z:AA,2,FALSE),"")</f>
        <v>9200</v>
      </c>
      <c r="O197" s="8">
        <f>IFERROR(VLOOKUP(B197,Petróleo!AB:AC,2,FALSE),"")</f>
        <v>2550</v>
      </c>
      <c r="P197" s="8">
        <f>IFERROR(VLOOKUP(B197,Petróleo!AD:AE,2,FALSE),"")</f>
        <v>3750</v>
      </c>
      <c r="Q197" s="8">
        <f>IFERROR(VLOOKUP(B197,Petróleo!AF:AG,2,FALSE),"")</f>
        <v>2050</v>
      </c>
      <c r="R197" s="8">
        <f>IFERROR(VLOOKUP(B197,Petróleo!AH:AI,2,FALSE),"")</f>
        <v>1720</v>
      </c>
      <c r="S197" s="8">
        <f>IFERROR(VLOOKUP(B197,Petróleo!AJ:AK,2,FALSE),"")</f>
        <v>2080</v>
      </c>
      <c r="T197" s="8">
        <f>IFERROR(VLOOKUP(B197,Petróleo!AL:AM,2,FALSE),"")</f>
        <v>2650</v>
      </c>
      <c r="U197" s="8">
        <f>IFERROR(VLOOKUP(B197,Petróleo!AN:AO,2,FALSE),"")</f>
        <v>2520</v>
      </c>
      <c r="V197" s="10" t="str">
        <f>IFERROR(VLOOKUP(A197,Petróleo!AR:AT,3,FALSE),"")</f>
        <v/>
      </c>
    </row>
    <row r="198" spans="1:22" x14ac:dyDescent="0.25">
      <c r="A198" s="9" t="str">
        <f t="shared" si="3"/>
        <v>52006</v>
      </c>
      <c r="B198" s="9">
        <v>38868</v>
      </c>
      <c r="C198" s="1">
        <f>IFERROR(VLOOKUP(B198,Petróleo!A:B,2,FALSE),"")</f>
        <v>5151</v>
      </c>
      <c r="D198" s="1">
        <f>IFERROR(VLOOKUP(B198,Estoque_US!D:E,2,FALSE),"")</f>
        <v>-1192</v>
      </c>
      <c r="E198" s="1">
        <f>IFERROR(VLOOKUP(B198,Petróleo!F:G,2,FALSE),"")</f>
        <v>9425.68</v>
      </c>
      <c r="F198" s="1">
        <f>IFERROR(VLOOKUP(B198,Petróleo!H:I,2,FALSE),"")</f>
        <v>3907</v>
      </c>
      <c r="G198" s="1">
        <f>IFERROR(VLOOKUP(B198,Petróleo!J:K,2,FALSE),"")</f>
        <v>1918</v>
      </c>
      <c r="H198" s="1">
        <f>IFERROR(VLOOKUP(B198,Petróleo!L:M,2,FALSE),"")</f>
        <v>1755</v>
      </c>
      <c r="I198" s="1">
        <f>IFERROR(VLOOKUP(B198,Petróleo!N:O,2,FALSE),"")</f>
        <v>2277.096</v>
      </c>
      <c r="J198" s="1">
        <f>IFERROR(VLOOKUP(B198,Petróleo!P:Q,2,FALSE),"")</f>
        <v>9621.2160000000003</v>
      </c>
      <c r="K198" s="1">
        <f>IFERROR(VLOOKUP(B198,Petróleo!R:S,2,FALSE),"")</f>
        <v>2850.0120000000002</v>
      </c>
      <c r="L198" s="1">
        <f>IFERROR(VLOOKUP(B198,Petróleo!T:U,2,FALSE),"")</f>
        <v>3649.3319999999999</v>
      </c>
      <c r="M198" s="8">
        <f>IFERROR(VLOOKUP(B198,Petróleo!X:Y,2,FALSE),"")</f>
        <v>29655</v>
      </c>
      <c r="N198" s="8">
        <f>IFERROR(VLOOKUP(B198,Petróleo!Z:AA,2,FALSE),"")</f>
        <v>9300</v>
      </c>
      <c r="O198" s="8">
        <f>IFERROR(VLOOKUP(B198,Petróleo!AB:AC,2,FALSE),"")</f>
        <v>2580</v>
      </c>
      <c r="P198" s="8">
        <f>IFERROR(VLOOKUP(B198,Petróleo!AD:AE,2,FALSE),"")</f>
        <v>3700</v>
      </c>
      <c r="Q198" s="8">
        <f>IFERROR(VLOOKUP(B198,Petróleo!AF:AG,2,FALSE),"")</f>
        <v>1935</v>
      </c>
      <c r="R198" s="8">
        <f>IFERROR(VLOOKUP(B198,Petróleo!AH:AI,2,FALSE),"")</f>
        <v>1720</v>
      </c>
      <c r="S198" s="8">
        <f>IFERROR(VLOOKUP(B198,Petróleo!AJ:AK,2,FALSE),"")</f>
        <v>2200</v>
      </c>
      <c r="T198" s="8">
        <f>IFERROR(VLOOKUP(B198,Petróleo!AL:AM,2,FALSE),"")</f>
        <v>2600</v>
      </c>
      <c r="U198" s="8">
        <f>IFERROR(VLOOKUP(B198,Petróleo!AN:AO,2,FALSE),"")</f>
        <v>2500</v>
      </c>
      <c r="V198" s="10" t="str">
        <f>IFERROR(VLOOKUP(A198,Petróleo!AR:AT,3,FALSE),"")</f>
        <v/>
      </c>
    </row>
    <row r="199" spans="1:22" x14ac:dyDescent="0.25">
      <c r="A199" s="9" t="str">
        <f t="shared" si="3"/>
        <v>62006</v>
      </c>
      <c r="B199" s="9">
        <v>38898</v>
      </c>
      <c r="C199" s="1">
        <f>IFERROR(VLOOKUP(B199,Petróleo!A:B,2,FALSE),"")</f>
        <v>5163</v>
      </c>
      <c r="D199" s="1">
        <f>IFERROR(VLOOKUP(B199,Estoque_US!D:E,2,FALSE),"")</f>
        <v>-4199</v>
      </c>
      <c r="E199" s="1">
        <f>IFERROR(VLOOKUP(B199,Petróleo!F:G,2,FALSE),"")</f>
        <v>9775.68</v>
      </c>
      <c r="F199" s="1">
        <f>IFERROR(VLOOKUP(B199,Petróleo!H:I,2,FALSE),"")</f>
        <v>4248</v>
      </c>
      <c r="G199" s="1">
        <f>IFERROR(VLOOKUP(B199,Petróleo!J:K,2,FALSE),"")</f>
        <v>2068</v>
      </c>
      <c r="H199" s="1">
        <f>IFERROR(VLOOKUP(B199,Petróleo!L:M,2,FALSE),"")</f>
        <v>1755</v>
      </c>
      <c r="I199" s="1">
        <f>IFERROR(VLOOKUP(B199,Petróleo!N:O,2,FALSE),"")</f>
        <v>2387.096</v>
      </c>
      <c r="J199" s="1">
        <f>IFERROR(VLOOKUP(B199,Petróleo!P:Q,2,FALSE),"")</f>
        <v>9660.94</v>
      </c>
      <c r="K199" s="1">
        <f>IFERROR(VLOOKUP(B199,Petróleo!R:S,2,FALSE),"")</f>
        <v>2566.3969999999999</v>
      </c>
      <c r="L199" s="1">
        <f>IFERROR(VLOOKUP(B199,Petróleo!T:U,2,FALSE),"")</f>
        <v>3674.36</v>
      </c>
      <c r="M199" s="8">
        <f>IFERROR(VLOOKUP(B199,Petróleo!X:Y,2,FALSE),"")</f>
        <v>29850</v>
      </c>
      <c r="N199" s="8">
        <f>IFERROR(VLOOKUP(B199,Petróleo!Z:AA,2,FALSE),"")</f>
        <v>9220</v>
      </c>
      <c r="O199" s="8">
        <f>IFERROR(VLOOKUP(B199,Petróleo!AB:AC,2,FALSE),"")</f>
        <v>2560</v>
      </c>
      <c r="P199" s="8">
        <f>IFERROR(VLOOKUP(B199,Petróleo!AD:AE,2,FALSE),"")</f>
        <v>3850</v>
      </c>
      <c r="Q199" s="8">
        <f>IFERROR(VLOOKUP(B199,Petróleo!AF:AG,2,FALSE),"")</f>
        <v>2090</v>
      </c>
      <c r="R199" s="8">
        <f>IFERROR(VLOOKUP(B199,Petróleo!AH:AI,2,FALSE),"")</f>
        <v>1700</v>
      </c>
      <c r="S199" s="8">
        <f>IFERROR(VLOOKUP(B199,Petróleo!AJ:AK,2,FALSE),"")</f>
        <v>2250</v>
      </c>
      <c r="T199" s="8">
        <f>IFERROR(VLOOKUP(B199,Petróleo!AL:AM,2,FALSE),"")</f>
        <v>2580</v>
      </c>
      <c r="U199" s="8">
        <f>IFERROR(VLOOKUP(B199,Petróleo!AN:AO,2,FALSE),"")</f>
        <v>2500</v>
      </c>
      <c r="V199" s="10" t="str">
        <f>IFERROR(VLOOKUP(A199,Petróleo!AR:AT,3,FALSE),"")</f>
        <v/>
      </c>
    </row>
    <row r="200" spans="1:22" x14ac:dyDescent="0.25">
      <c r="A200" s="9" t="str">
        <f t="shared" si="3"/>
        <v>72006</v>
      </c>
      <c r="B200" s="9">
        <v>38929</v>
      </c>
      <c r="C200" s="1">
        <f>IFERROR(VLOOKUP(B200,Petróleo!A:B,2,FALSE),"")</f>
        <v>5094</v>
      </c>
      <c r="D200" s="1">
        <f>IFERROR(VLOOKUP(B200,Estoque_US!D:E,2,FALSE),"")</f>
        <v>-7578</v>
      </c>
      <c r="E200" s="1">
        <f>IFERROR(VLOOKUP(B200,Petróleo!F:G,2,FALSE),"")</f>
        <v>9725.68</v>
      </c>
      <c r="F200" s="1">
        <f>IFERROR(VLOOKUP(B200,Petróleo!H:I,2,FALSE),"")</f>
        <v>4387</v>
      </c>
      <c r="G200" s="1">
        <f>IFERROR(VLOOKUP(B200,Petróleo!J:K,2,FALSE),"")</f>
        <v>2063</v>
      </c>
      <c r="H200" s="1">
        <f>IFERROR(VLOOKUP(B200,Petróleo!L:M,2,FALSE),"")</f>
        <v>1785</v>
      </c>
      <c r="I200" s="1">
        <f>IFERROR(VLOOKUP(B200,Petróleo!N:O,2,FALSE),"")</f>
        <v>2391.2089999999998</v>
      </c>
      <c r="J200" s="1">
        <f>IFERROR(VLOOKUP(B200,Petróleo!P:Q,2,FALSE),"")</f>
        <v>9677.9639999999999</v>
      </c>
      <c r="K200" s="1">
        <f>IFERROR(VLOOKUP(B200,Petróleo!R:S,2,FALSE),"")</f>
        <v>2798.8440000000001</v>
      </c>
      <c r="L200" s="1">
        <f>IFERROR(VLOOKUP(B200,Petróleo!T:U,2,FALSE),"")</f>
        <v>3653.9009999999998</v>
      </c>
      <c r="M200" s="8">
        <f>IFERROR(VLOOKUP(B200,Petróleo!X:Y,2,FALSE),"")</f>
        <v>29910</v>
      </c>
      <c r="N200" s="8">
        <f>IFERROR(VLOOKUP(B200,Petróleo!Z:AA,2,FALSE),"")</f>
        <v>9320</v>
      </c>
      <c r="O200" s="8">
        <f>IFERROR(VLOOKUP(B200,Petróleo!AB:AC,2,FALSE),"")</f>
        <v>2560</v>
      </c>
      <c r="P200" s="8">
        <f>IFERROR(VLOOKUP(B200,Petróleo!AD:AE,2,FALSE),"")</f>
        <v>4070</v>
      </c>
      <c r="Q200" s="8">
        <f>IFERROR(VLOOKUP(B200,Petróleo!AF:AG,2,FALSE),"")</f>
        <v>2060</v>
      </c>
      <c r="R200" s="8">
        <f>IFERROR(VLOOKUP(B200,Petróleo!AH:AI,2,FALSE),"")</f>
        <v>1700</v>
      </c>
      <c r="S200" s="8">
        <f>IFERROR(VLOOKUP(B200,Petróleo!AJ:AK,2,FALSE),"")</f>
        <v>2200</v>
      </c>
      <c r="T200" s="8">
        <f>IFERROR(VLOOKUP(B200,Petróleo!AL:AM,2,FALSE),"")</f>
        <v>2450</v>
      </c>
      <c r="U200" s="8">
        <f>IFERROR(VLOOKUP(B200,Petróleo!AN:AO,2,FALSE),"")</f>
        <v>2460</v>
      </c>
      <c r="V200" s="10" t="str">
        <f>IFERROR(VLOOKUP(A200,Petróleo!AR:AT,3,FALSE),"")</f>
        <v/>
      </c>
    </row>
    <row r="201" spans="1:22" x14ac:dyDescent="0.25">
      <c r="A201" s="9" t="str">
        <f t="shared" si="3"/>
        <v>82006</v>
      </c>
      <c r="B201" s="9">
        <v>38960</v>
      </c>
      <c r="C201" s="1">
        <f>IFERROR(VLOOKUP(B201,Petróleo!A:B,2,FALSE),"")</f>
        <v>5040</v>
      </c>
      <c r="D201" s="1">
        <f>IFERROR(VLOOKUP(B201,Estoque_US!D:E,2,FALSE),"")</f>
        <v>-883</v>
      </c>
      <c r="E201" s="1">
        <f>IFERROR(VLOOKUP(B201,Petróleo!F:G,2,FALSE),"")</f>
        <v>9675.68</v>
      </c>
      <c r="F201" s="1">
        <f>IFERROR(VLOOKUP(B201,Petróleo!H:I,2,FALSE),"")</f>
        <v>4296</v>
      </c>
      <c r="G201" s="1">
        <f>IFERROR(VLOOKUP(B201,Petróleo!J:K,2,FALSE),"")</f>
        <v>2003</v>
      </c>
      <c r="H201" s="1">
        <f>IFERROR(VLOOKUP(B201,Petróleo!L:M,2,FALSE),"")</f>
        <v>1785</v>
      </c>
      <c r="I201" s="1">
        <f>IFERROR(VLOOKUP(B201,Petróleo!N:O,2,FALSE),"")</f>
        <v>2401.2089999999998</v>
      </c>
      <c r="J201" s="1">
        <f>IFERROR(VLOOKUP(B201,Petróleo!P:Q,2,FALSE),"")</f>
        <v>9488.8029999999999</v>
      </c>
      <c r="K201" s="1">
        <f>IFERROR(VLOOKUP(B201,Petróleo!R:S,2,FALSE),"")</f>
        <v>2731.1289999999999</v>
      </c>
      <c r="L201" s="1">
        <f>IFERROR(VLOOKUP(B201,Petróleo!T:U,2,FALSE),"")</f>
        <v>3608.8029999999999</v>
      </c>
      <c r="M201" s="8">
        <f>IFERROR(VLOOKUP(B201,Petróleo!X:Y,2,FALSE),"")</f>
        <v>29820</v>
      </c>
      <c r="N201" s="8">
        <f>IFERROR(VLOOKUP(B201,Petróleo!Z:AA,2,FALSE),"")</f>
        <v>9320</v>
      </c>
      <c r="O201" s="8">
        <f>IFERROR(VLOOKUP(B201,Petróleo!AB:AC,2,FALSE),"")</f>
        <v>2600</v>
      </c>
      <c r="P201" s="8">
        <f>IFERROR(VLOOKUP(B201,Petróleo!AD:AE,2,FALSE),"")</f>
        <v>4020</v>
      </c>
      <c r="Q201" s="8">
        <f>IFERROR(VLOOKUP(B201,Petróleo!AF:AG,2,FALSE),"")</f>
        <v>1980</v>
      </c>
      <c r="R201" s="8">
        <f>IFERROR(VLOOKUP(B201,Petróleo!AH:AI,2,FALSE),"")</f>
        <v>1700</v>
      </c>
      <c r="S201" s="8">
        <f>IFERROR(VLOOKUP(B201,Petróleo!AJ:AK,2,FALSE),"")</f>
        <v>2180</v>
      </c>
      <c r="T201" s="8">
        <f>IFERROR(VLOOKUP(B201,Petróleo!AL:AM,2,FALSE),"")</f>
        <v>2500</v>
      </c>
      <c r="U201" s="8">
        <f>IFERROR(VLOOKUP(B201,Petróleo!AN:AO,2,FALSE),"")</f>
        <v>2470</v>
      </c>
      <c r="V201" s="10" t="str">
        <f>IFERROR(VLOOKUP(A201,Petróleo!AR:AT,3,FALSE),"")</f>
        <v/>
      </c>
    </row>
    <row r="202" spans="1:22" x14ac:dyDescent="0.25">
      <c r="A202" s="9" t="str">
        <f t="shared" si="3"/>
        <v>92006</v>
      </c>
      <c r="B202" s="9">
        <v>38990</v>
      </c>
      <c r="C202" s="1">
        <f>IFERROR(VLOOKUP(B202,Petróleo!A:B,2,FALSE),"")</f>
        <v>5031</v>
      </c>
      <c r="D202" s="1">
        <f>IFERROR(VLOOKUP(B202,Estoque_US!D:E,2,FALSE),"")</f>
        <v>-4718</v>
      </c>
      <c r="E202" s="1">
        <f>IFERROR(VLOOKUP(B202,Petróleo!F:G,2,FALSE),"")</f>
        <v>9570.18</v>
      </c>
      <c r="F202" s="1">
        <f>IFERROR(VLOOKUP(B202,Petróleo!H:I,2,FALSE),"")</f>
        <v>4177</v>
      </c>
      <c r="G202" s="1">
        <f>IFERROR(VLOOKUP(B202,Petróleo!J:K,2,FALSE),"")</f>
        <v>2053</v>
      </c>
      <c r="H202" s="1">
        <f>IFERROR(VLOOKUP(B202,Petróleo!L:M,2,FALSE),"")</f>
        <v>1815</v>
      </c>
      <c r="I202" s="1">
        <f>IFERROR(VLOOKUP(B202,Petróleo!N:O,2,FALSE),"")</f>
        <v>2316.2089999999998</v>
      </c>
      <c r="J202" s="1">
        <f>IFERROR(VLOOKUP(B202,Petróleo!P:Q,2,FALSE),"")</f>
        <v>9526.5570000000007</v>
      </c>
      <c r="K202" s="1">
        <f>IFERROR(VLOOKUP(B202,Petróleo!R:S,2,FALSE),"")</f>
        <v>2755.9749999999999</v>
      </c>
      <c r="L202" s="1">
        <f>IFERROR(VLOOKUP(B202,Petróleo!T:U,2,FALSE),"")</f>
        <v>3598.194</v>
      </c>
      <c r="M202" s="8">
        <f>IFERROR(VLOOKUP(B202,Petróleo!X:Y,2,FALSE),"")</f>
        <v>29605</v>
      </c>
      <c r="N202" s="8">
        <f>IFERROR(VLOOKUP(B202,Petróleo!Z:AA,2,FALSE),"")</f>
        <v>9180</v>
      </c>
      <c r="O202" s="8">
        <f>IFERROR(VLOOKUP(B202,Petróleo!AB:AC,2,FALSE),"")</f>
        <v>2600</v>
      </c>
      <c r="P202" s="8">
        <f>IFERROR(VLOOKUP(B202,Petróleo!AD:AE,2,FALSE),"")</f>
        <v>3900</v>
      </c>
      <c r="Q202" s="8">
        <f>IFERROR(VLOOKUP(B202,Petróleo!AF:AG,2,FALSE),"")</f>
        <v>2000</v>
      </c>
      <c r="R202" s="8">
        <f>IFERROR(VLOOKUP(B202,Petróleo!AH:AI,2,FALSE),"")</f>
        <v>1720</v>
      </c>
      <c r="S202" s="8">
        <f>IFERROR(VLOOKUP(B202,Petróleo!AJ:AK,2,FALSE),"")</f>
        <v>2180</v>
      </c>
      <c r="T202" s="8">
        <f>IFERROR(VLOOKUP(B202,Petróleo!AL:AM,2,FALSE),"")</f>
        <v>2470</v>
      </c>
      <c r="U202" s="8">
        <f>IFERROR(VLOOKUP(B202,Petróleo!AN:AO,2,FALSE),"")</f>
        <v>2490</v>
      </c>
      <c r="V202" s="10" t="str">
        <f>IFERROR(VLOOKUP(A202,Petróleo!AR:AT,3,FALSE),"")</f>
        <v/>
      </c>
    </row>
    <row r="203" spans="1:22" x14ac:dyDescent="0.25">
      <c r="A203" s="9" t="str">
        <f t="shared" si="3"/>
        <v>102006</v>
      </c>
      <c r="B203" s="9">
        <v>39021</v>
      </c>
      <c r="C203" s="1">
        <f>IFERROR(VLOOKUP(B203,Petróleo!A:B,2,FALSE),"")</f>
        <v>5108</v>
      </c>
      <c r="D203" s="1">
        <f>IFERROR(VLOOKUP(B203,Estoque_US!D:E,2,FALSE),"")</f>
        <v>6133</v>
      </c>
      <c r="E203" s="1">
        <f>IFERROR(VLOOKUP(B203,Petróleo!F:G,2,FALSE),"")</f>
        <v>9490.68</v>
      </c>
      <c r="F203" s="1">
        <f>IFERROR(VLOOKUP(B203,Petróleo!H:I,2,FALSE),"")</f>
        <v>4057</v>
      </c>
      <c r="G203" s="1">
        <f>IFERROR(VLOOKUP(B203,Petróleo!J:K,2,FALSE),"")</f>
        <v>1938</v>
      </c>
      <c r="H203" s="1">
        <f>IFERROR(VLOOKUP(B203,Petróleo!L:M,2,FALSE),"")</f>
        <v>1815</v>
      </c>
      <c r="I203" s="1">
        <f>IFERROR(VLOOKUP(B203,Petróleo!N:O,2,FALSE),"")</f>
        <v>2365</v>
      </c>
      <c r="J203" s="1">
        <f>IFERROR(VLOOKUP(B203,Petróleo!P:Q,2,FALSE),"")</f>
        <v>9583.384</v>
      </c>
      <c r="K203" s="1">
        <f>IFERROR(VLOOKUP(B203,Petróleo!R:S,2,FALSE),"")</f>
        <v>2756.8470000000002</v>
      </c>
      <c r="L203" s="1">
        <f>IFERROR(VLOOKUP(B203,Petróleo!T:U,2,FALSE),"")</f>
        <v>3599.3670000000002</v>
      </c>
      <c r="M203" s="8">
        <f>IFERROR(VLOOKUP(B203,Petróleo!X:Y,2,FALSE),"")</f>
        <v>29370</v>
      </c>
      <c r="N203" s="8">
        <f>IFERROR(VLOOKUP(B203,Petróleo!Z:AA,2,FALSE),"")</f>
        <v>9080</v>
      </c>
      <c r="O203" s="8">
        <f>IFERROR(VLOOKUP(B203,Petróleo!AB:AC,2,FALSE),"")</f>
        <v>2620</v>
      </c>
      <c r="P203" s="8">
        <f>IFERROR(VLOOKUP(B203,Petróleo!AD:AE,2,FALSE),"")</f>
        <v>3800</v>
      </c>
      <c r="Q203" s="8">
        <f>IFERROR(VLOOKUP(B203,Petróleo!AF:AG,2,FALSE),"")</f>
        <v>1865</v>
      </c>
      <c r="R203" s="8">
        <f>IFERROR(VLOOKUP(B203,Petróleo!AH:AI,2,FALSE),"")</f>
        <v>1720</v>
      </c>
      <c r="S203" s="8">
        <f>IFERROR(VLOOKUP(B203,Petróleo!AJ:AK,2,FALSE),"")</f>
        <v>2220</v>
      </c>
      <c r="T203" s="8">
        <f>IFERROR(VLOOKUP(B203,Petróleo!AL:AM,2,FALSE),"")</f>
        <v>2510</v>
      </c>
      <c r="U203" s="8">
        <f>IFERROR(VLOOKUP(B203,Petróleo!AN:AO,2,FALSE),"")</f>
        <v>2500</v>
      </c>
      <c r="V203" s="10" t="str">
        <f>IFERROR(VLOOKUP(A203,Petróleo!AR:AT,3,FALSE),"")</f>
        <v/>
      </c>
    </row>
    <row r="204" spans="1:22" x14ac:dyDescent="0.25">
      <c r="A204" s="9" t="str">
        <f t="shared" si="3"/>
        <v>112006</v>
      </c>
      <c r="B204" s="9">
        <v>39051</v>
      </c>
      <c r="C204" s="1">
        <f>IFERROR(VLOOKUP(B204,Petróleo!A:B,2,FALSE),"")</f>
        <v>5064</v>
      </c>
      <c r="D204" s="1">
        <f>IFERROR(VLOOKUP(B204,Estoque_US!D:E,2,FALSE),"")</f>
        <v>6519</v>
      </c>
      <c r="E204" s="1">
        <f>IFERROR(VLOOKUP(B204,Petróleo!F:G,2,FALSE),"")</f>
        <v>9325.68</v>
      </c>
      <c r="F204" s="1">
        <f>IFERROR(VLOOKUP(B204,Petróleo!H:I,2,FALSE),"")</f>
        <v>4187</v>
      </c>
      <c r="G204" s="1">
        <f>IFERROR(VLOOKUP(B204,Petróleo!J:K,2,FALSE),"")</f>
        <v>1843</v>
      </c>
      <c r="H204" s="1">
        <f>IFERROR(VLOOKUP(B204,Petróleo!L:M,2,FALSE),"")</f>
        <v>1795</v>
      </c>
      <c r="I204" s="1">
        <f>IFERROR(VLOOKUP(B204,Petróleo!N:O,2,FALSE),"")</f>
        <v>2330</v>
      </c>
      <c r="J204" s="1">
        <f>IFERROR(VLOOKUP(B204,Petróleo!P:Q,2,FALSE),"")</f>
        <v>9609.6299999999992</v>
      </c>
      <c r="K204" s="1">
        <f>IFERROR(VLOOKUP(B204,Petróleo!R:S,2,FALSE),"")</f>
        <v>2809.8249999999998</v>
      </c>
      <c r="L204" s="1">
        <f>IFERROR(VLOOKUP(B204,Petróleo!T:U,2,FALSE),"")</f>
        <v>3617.942</v>
      </c>
      <c r="M204" s="8">
        <f>IFERROR(VLOOKUP(B204,Petróleo!X:Y,2,FALSE),"")</f>
        <v>28860</v>
      </c>
      <c r="N204" s="8">
        <f>IFERROR(VLOOKUP(B204,Petróleo!Z:AA,2,FALSE),"")</f>
        <v>8800</v>
      </c>
      <c r="O204" s="8">
        <f>IFERROR(VLOOKUP(B204,Petróleo!AB:AC,2,FALSE),"")</f>
        <v>2580</v>
      </c>
      <c r="P204" s="8">
        <f>IFERROR(VLOOKUP(B204,Petróleo!AD:AE,2,FALSE),"")</f>
        <v>3800</v>
      </c>
      <c r="Q204" s="8">
        <f>IFERROR(VLOOKUP(B204,Petróleo!AF:AG,2,FALSE),"")</f>
        <v>1850</v>
      </c>
      <c r="R204" s="8">
        <f>IFERROR(VLOOKUP(B204,Petróleo!AH:AI,2,FALSE),"")</f>
        <v>1700</v>
      </c>
      <c r="S204" s="8">
        <f>IFERROR(VLOOKUP(B204,Petróleo!AJ:AK,2,FALSE),"")</f>
        <v>2200</v>
      </c>
      <c r="T204" s="8">
        <f>IFERROR(VLOOKUP(B204,Petróleo!AL:AM,2,FALSE),"")</f>
        <v>2440</v>
      </c>
      <c r="U204" s="8">
        <f>IFERROR(VLOOKUP(B204,Petróleo!AN:AO,2,FALSE),"")</f>
        <v>2470</v>
      </c>
      <c r="V204" s="10" t="str">
        <f>IFERROR(VLOOKUP(A204,Petróleo!AR:AT,3,FALSE),"")</f>
        <v/>
      </c>
    </row>
    <row r="205" spans="1:22" x14ac:dyDescent="0.25">
      <c r="A205" s="9" t="str">
        <f t="shared" si="3"/>
        <v>122006</v>
      </c>
      <c r="B205" s="9">
        <v>39082</v>
      </c>
      <c r="C205" s="1">
        <f>IFERROR(VLOOKUP(B205,Petróleo!A:B,2,FALSE),"")</f>
        <v>5186</v>
      </c>
      <c r="D205" s="1">
        <f>IFERROR(VLOOKUP(B205,Estoque_US!D:E,2,FALSE),"")</f>
        <v>-21098</v>
      </c>
      <c r="E205" s="1">
        <f>IFERROR(VLOOKUP(B205,Petróleo!F:G,2,FALSE),"")</f>
        <v>9125.68</v>
      </c>
      <c r="F205" s="1">
        <f>IFERROR(VLOOKUP(B205,Petróleo!H:I,2,FALSE),"")</f>
        <v>4117</v>
      </c>
      <c r="G205" s="1">
        <f>IFERROR(VLOOKUP(B205,Petróleo!J:K,2,FALSE),"")</f>
        <v>1773</v>
      </c>
      <c r="H205" s="1">
        <f>IFERROR(VLOOKUP(B205,Petróleo!L:M,2,FALSE),"")</f>
        <v>1795</v>
      </c>
      <c r="I205" s="1">
        <f>IFERROR(VLOOKUP(B205,Petróleo!N:O,2,FALSE),"")</f>
        <v>2335</v>
      </c>
      <c r="J205" s="1">
        <f>IFERROR(VLOOKUP(B205,Petróleo!P:Q,2,FALSE),"")</f>
        <v>9651.9549999999999</v>
      </c>
      <c r="K205" s="1">
        <f>IFERROR(VLOOKUP(B205,Petróleo!R:S,2,FALSE),"")</f>
        <v>2686.268</v>
      </c>
      <c r="L205" s="1">
        <f>IFERROR(VLOOKUP(B205,Petróleo!T:U,2,FALSE),"")</f>
        <v>3541.181</v>
      </c>
      <c r="M205" s="8">
        <f>IFERROR(VLOOKUP(B205,Petróleo!X:Y,2,FALSE),"")</f>
        <v>28695</v>
      </c>
      <c r="N205" s="8">
        <f>IFERROR(VLOOKUP(B205,Petróleo!Z:AA,2,FALSE),"")</f>
        <v>8700</v>
      </c>
      <c r="O205" s="8">
        <f>IFERROR(VLOOKUP(B205,Petróleo!AB:AC,2,FALSE),"")</f>
        <v>2500</v>
      </c>
      <c r="P205" s="8">
        <f>IFERROR(VLOOKUP(B205,Petróleo!AD:AE,2,FALSE),"")</f>
        <v>3840</v>
      </c>
      <c r="Q205" s="8">
        <f>IFERROR(VLOOKUP(B205,Petróleo!AF:AG,2,FALSE),"")</f>
        <v>1800</v>
      </c>
      <c r="R205" s="8">
        <f>IFERROR(VLOOKUP(B205,Petróleo!AH:AI,2,FALSE),"")</f>
        <v>1680</v>
      </c>
      <c r="S205" s="8">
        <f>IFERROR(VLOOKUP(B205,Petróleo!AJ:AK,2,FALSE),"")</f>
        <v>2230</v>
      </c>
      <c r="T205" s="8">
        <f>IFERROR(VLOOKUP(B205,Petróleo!AL:AM,2,FALSE),"")</f>
        <v>2500</v>
      </c>
      <c r="U205" s="8">
        <f>IFERROR(VLOOKUP(B205,Petróleo!AN:AO,2,FALSE),"")</f>
        <v>2450</v>
      </c>
      <c r="V205" s="10" t="str">
        <f>IFERROR(VLOOKUP(A205,Petróleo!AR:AT,3,FALSE),"")</f>
        <v/>
      </c>
    </row>
    <row r="206" spans="1:22" x14ac:dyDescent="0.25">
      <c r="A206" s="9" t="str">
        <f t="shared" si="3"/>
        <v>12007</v>
      </c>
      <c r="B206" s="9">
        <v>39113</v>
      </c>
      <c r="C206" s="1">
        <f>IFERROR(VLOOKUP(B206,Petróleo!A:B,2,FALSE),"")</f>
        <v>5108</v>
      </c>
      <c r="D206" s="1">
        <f>IFERROR(VLOOKUP(B206,Estoque_US!D:E,2,FALSE),"")</f>
        <v>5251</v>
      </c>
      <c r="E206" s="1">
        <f>IFERROR(VLOOKUP(B206,Petróleo!F:G,2,FALSE),"")</f>
        <v>9133.4189999999999</v>
      </c>
      <c r="F206" s="1">
        <f>IFERROR(VLOOKUP(B206,Petróleo!H:I,2,FALSE),"")</f>
        <v>4207</v>
      </c>
      <c r="G206" s="1">
        <f>IFERROR(VLOOKUP(B206,Petróleo!J:K,2,FALSE),"")</f>
        <v>1698.2819999999999</v>
      </c>
      <c r="H206" s="1">
        <f>IFERROR(VLOOKUP(B206,Petróleo!L:M,2,FALSE),"")</f>
        <v>1765</v>
      </c>
      <c r="I206" s="1">
        <f>IFERROR(VLOOKUP(B206,Petróleo!N:O,2,FALSE),"")</f>
        <v>2336.116</v>
      </c>
      <c r="J206" s="1">
        <f>IFERROR(VLOOKUP(B206,Petróleo!P:Q,2,FALSE),"")</f>
        <v>9848.2099999999991</v>
      </c>
      <c r="K206" s="1">
        <f>IFERROR(VLOOKUP(B206,Petróleo!R:S,2,FALSE),"")</f>
        <v>2686.5650000000001</v>
      </c>
      <c r="L206" s="1">
        <f>IFERROR(VLOOKUP(B206,Petróleo!T:U,2,FALSE),"")</f>
        <v>3736.047</v>
      </c>
      <c r="M206" s="8">
        <f>IFERROR(VLOOKUP(B206,Petróleo!X:Y,2,FALSE),"")</f>
        <v>29970</v>
      </c>
      <c r="N206" s="8">
        <f>IFERROR(VLOOKUP(B206,Petróleo!Z:AA,2,FALSE),"")</f>
        <v>8700</v>
      </c>
      <c r="O206" s="8">
        <f>IFERROR(VLOOKUP(B206,Petróleo!AB:AC,2,FALSE),"")</f>
        <v>2450</v>
      </c>
      <c r="P206" s="8">
        <f>IFERROR(VLOOKUP(B206,Petróleo!AD:AE,2,FALSE),"")</f>
        <v>3860</v>
      </c>
      <c r="Q206" s="8">
        <f>IFERROR(VLOOKUP(B206,Petróleo!AF:AG,2,FALSE),"")</f>
        <v>1660</v>
      </c>
      <c r="R206" s="8">
        <f>IFERROR(VLOOKUP(B206,Petróleo!AH:AI,2,FALSE),"")</f>
        <v>1690</v>
      </c>
      <c r="S206" s="8">
        <f>IFERROR(VLOOKUP(B206,Petróleo!AJ:AK,2,FALSE),"")</f>
        <v>2200</v>
      </c>
      <c r="T206" s="8">
        <f>IFERROR(VLOOKUP(B206,Petróleo!AL:AM,2,FALSE),"")</f>
        <v>2470</v>
      </c>
      <c r="U206" s="8">
        <f>IFERROR(VLOOKUP(B206,Petróleo!AN:AO,2,FALSE),"")</f>
        <v>2440</v>
      </c>
      <c r="V206" s="10" t="str">
        <f>IFERROR(VLOOKUP(A206,Petróleo!AR:AT,3,FALSE),"")</f>
        <v/>
      </c>
    </row>
    <row r="207" spans="1:22" x14ac:dyDescent="0.25">
      <c r="A207" s="9" t="str">
        <f t="shared" si="3"/>
        <v>22007</v>
      </c>
      <c r="B207" s="9">
        <v>39141</v>
      </c>
      <c r="C207" s="1">
        <f>IFERROR(VLOOKUP(B207,Petróleo!A:B,2,FALSE),"")</f>
        <v>5118</v>
      </c>
      <c r="D207" s="1">
        <f>IFERROR(VLOOKUP(B207,Estoque_US!D:E,2,FALSE),"")</f>
        <v>4077</v>
      </c>
      <c r="E207" s="1">
        <f>IFERROR(VLOOKUP(B207,Petróleo!F:G,2,FALSE),"")</f>
        <v>9032.9189999999999</v>
      </c>
      <c r="F207" s="1">
        <f>IFERROR(VLOOKUP(B207,Petróleo!H:I,2,FALSE),"")</f>
        <v>4017</v>
      </c>
      <c r="G207" s="1">
        <f>IFERROR(VLOOKUP(B207,Petróleo!J:K,2,FALSE),"")</f>
        <v>1978.1849999999999</v>
      </c>
      <c r="H207" s="1">
        <f>IFERROR(VLOOKUP(B207,Petróleo!L:M,2,FALSE),"")</f>
        <v>1755</v>
      </c>
      <c r="I207" s="1">
        <f>IFERROR(VLOOKUP(B207,Petróleo!N:O,2,FALSE),"")</f>
        <v>2339.116</v>
      </c>
      <c r="J207" s="1">
        <f>IFERROR(VLOOKUP(B207,Petróleo!P:Q,2,FALSE),"")</f>
        <v>9877.1749999999993</v>
      </c>
      <c r="K207" s="1">
        <f>IFERROR(VLOOKUP(B207,Petróleo!R:S,2,FALSE),"")</f>
        <v>2881.0070000000001</v>
      </c>
      <c r="L207" s="1">
        <f>IFERROR(VLOOKUP(B207,Petróleo!T:U,2,FALSE),"")</f>
        <v>3687.0250000000001</v>
      </c>
      <c r="M207" s="8">
        <f>IFERROR(VLOOKUP(B207,Petróleo!X:Y,2,FALSE),"")</f>
        <v>30070</v>
      </c>
      <c r="N207" s="8">
        <f>IFERROR(VLOOKUP(B207,Petróleo!Z:AA,2,FALSE),"")</f>
        <v>8550</v>
      </c>
      <c r="O207" s="8">
        <f>IFERROR(VLOOKUP(B207,Petróleo!AB:AC,2,FALSE),"")</f>
        <v>2450</v>
      </c>
      <c r="P207" s="8">
        <f>IFERROR(VLOOKUP(B207,Petróleo!AD:AE,2,FALSE),"")</f>
        <v>3820</v>
      </c>
      <c r="Q207" s="8">
        <f>IFERROR(VLOOKUP(B207,Petróleo!AF:AG,2,FALSE),"")</f>
        <v>2010</v>
      </c>
      <c r="R207" s="8">
        <f>IFERROR(VLOOKUP(B207,Petróleo!AH:AI,2,FALSE),"")</f>
        <v>1680</v>
      </c>
      <c r="S207" s="8">
        <f>IFERROR(VLOOKUP(B207,Petróleo!AJ:AK,2,FALSE),"")</f>
        <v>2200</v>
      </c>
      <c r="T207" s="8">
        <f>IFERROR(VLOOKUP(B207,Petróleo!AL:AM,2,FALSE),"")</f>
        <v>2450</v>
      </c>
      <c r="U207" s="8">
        <f>IFERROR(VLOOKUP(B207,Petróleo!AN:AO,2,FALSE),"")</f>
        <v>2400</v>
      </c>
      <c r="V207" s="10" t="str">
        <f>IFERROR(VLOOKUP(A207,Petróleo!AR:AT,3,FALSE),"")</f>
        <v/>
      </c>
    </row>
    <row r="208" spans="1:22" x14ac:dyDescent="0.25">
      <c r="A208" s="9" t="str">
        <f t="shared" si="3"/>
        <v>32007</v>
      </c>
      <c r="B208" s="9">
        <v>39172</v>
      </c>
      <c r="C208" s="1">
        <f>IFERROR(VLOOKUP(B208,Petróleo!A:B,2,FALSE),"")</f>
        <v>5119</v>
      </c>
      <c r="D208" s="1">
        <f>IFERROR(VLOOKUP(B208,Estoque_US!D:E,2,FALSE),"")</f>
        <v>3717</v>
      </c>
      <c r="E208" s="1">
        <f>IFERROR(VLOOKUP(B208,Petróleo!F:G,2,FALSE),"")</f>
        <v>8977.9189999999999</v>
      </c>
      <c r="F208" s="1">
        <f>IFERROR(VLOOKUP(B208,Petróleo!H:I,2,FALSE),"")</f>
        <v>4347</v>
      </c>
      <c r="G208" s="1">
        <f>IFERROR(VLOOKUP(B208,Petróleo!J:K,2,FALSE),"")</f>
        <v>2002.963</v>
      </c>
      <c r="H208" s="1">
        <f>IFERROR(VLOOKUP(B208,Petróleo!L:M,2,FALSE),"")</f>
        <v>1755</v>
      </c>
      <c r="I208" s="1">
        <f>IFERROR(VLOOKUP(B208,Petróleo!N:O,2,FALSE),"")</f>
        <v>2168.116</v>
      </c>
      <c r="J208" s="1">
        <f>IFERROR(VLOOKUP(B208,Petróleo!P:Q,2,FALSE),"")</f>
        <v>9886.0419999999995</v>
      </c>
      <c r="K208" s="1">
        <f>IFERROR(VLOOKUP(B208,Petróleo!R:S,2,FALSE),"")</f>
        <v>2789.6030000000001</v>
      </c>
      <c r="L208" s="1">
        <f>IFERROR(VLOOKUP(B208,Petróleo!T:U,2,FALSE),"")</f>
        <v>3632.9560000000001</v>
      </c>
      <c r="M208" s="8">
        <f>IFERROR(VLOOKUP(B208,Petróleo!X:Y,2,FALSE),"")</f>
        <v>29950</v>
      </c>
      <c r="N208" s="8">
        <f>IFERROR(VLOOKUP(B208,Petróleo!Z:AA,2,FALSE),"")</f>
        <v>8500</v>
      </c>
      <c r="O208" s="8">
        <f>IFERROR(VLOOKUP(B208,Petróleo!AB:AC,2,FALSE),"")</f>
        <v>2460</v>
      </c>
      <c r="P208" s="8">
        <f>IFERROR(VLOOKUP(B208,Petróleo!AD:AE,2,FALSE),"")</f>
        <v>3900</v>
      </c>
      <c r="Q208" s="8">
        <f>IFERROR(VLOOKUP(B208,Petróleo!AF:AG,2,FALSE),"")</f>
        <v>2000</v>
      </c>
      <c r="R208" s="8">
        <f>IFERROR(VLOOKUP(B208,Petróleo!AH:AI,2,FALSE),"")</f>
        <v>1680</v>
      </c>
      <c r="S208" s="8">
        <f>IFERROR(VLOOKUP(B208,Petróleo!AJ:AK,2,FALSE),"")</f>
        <v>2080</v>
      </c>
      <c r="T208" s="8">
        <f>IFERROR(VLOOKUP(B208,Petróleo!AL:AM,2,FALSE),"")</f>
        <v>2400</v>
      </c>
      <c r="U208" s="8">
        <f>IFERROR(VLOOKUP(B208,Petróleo!AN:AO,2,FALSE),"")</f>
        <v>2400</v>
      </c>
      <c r="V208" s="10" t="str">
        <f>IFERROR(VLOOKUP(A208,Petróleo!AR:AT,3,FALSE),"")</f>
        <v/>
      </c>
    </row>
    <row r="209" spans="1:22" x14ac:dyDescent="0.25">
      <c r="A209" s="9" t="str">
        <f t="shared" si="3"/>
        <v>42007</v>
      </c>
      <c r="B209" s="9">
        <v>39202</v>
      </c>
      <c r="C209" s="1">
        <f>IFERROR(VLOOKUP(B209,Petróleo!A:B,2,FALSE),"")</f>
        <v>5180</v>
      </c>
      <c r="D209" s="1">
        <f>IFERROR(VLOOKUP(B209,Estoque_US!D:E,2,FALSE),"")</f>
        <v>2927</v>
      </c>
      <c r="E209" s="1">
        <f>IFERROR(VLOOKUP(B209,Petróleo!F:G,2,FALSE),"")</f>
        <v>9033.4189999999999</v>
      </c>
      <c r="F209" s="1">
        <f>IFERROR(VLOOKUP(B209,Petróleo!H:I,2,FALSE),"")</f>
        <v>4240</v>
      </c>
      <c r="G209" s="1">
        <f>IFERROR(VLOOKUP(B209,Petróleo!J:K,2,FALSE),"")</f>
        <v>2102.9059999999999</v>
      </c>
      <c r="H209" s="1">
        <f>IFERROR(VLOOKUP(B209,Petróleo!L:M,2,FALSE),"")</f>
        <v>1755</v>
      </c>
      <c r="I209" s="1">
        <f>IFERROR(VLOOKUP(B209,Petróleo!N:O,2,FALSE),"")</f>
        <v>2172.991</v>
      </c>
      <c r="J209" s="1">
        <f>IFERROR(VLOOKUP(B209,Petróleo!P:Q,2,FALSE),"")</f>
        <v>9795.3230000000003</v>
      </c>
      <c r="K209" s="1">
        <f>IFERROR(VLOOKUP(B209,Petróleo!R:S,2,FALSE),"")</f>
        <v>2717.5720000000001</v>
      </c>
      <c r="L209" s="1">
        <f>IFERROR(VLOOKUP(B209,Petróleo!T:U,2,FALSE),"")</f>
        <v>3696.0949999999998</v>
      </c>
      <c r="M209" s="8">
        <f>IFERROR(VLOOKUP(B209,Petróleo!X:Y,2,FALSE),"")</f>
        <v>30325</v>
      </c>
      <c r="N209" s="8">
        <f>IFERROR(VLOOKUP(B209,Petróleo!Z:AA,2,FALSE),"")</f>
        <v>8600</v>
      </c>
      <c r="O209" s="8">
        <f>IFERROR(VLOOKUP(B209,Petróleo!AB:AC,2,FALSE),"")</f>
        <v>2540</v>
      </c>
      <c r="P209" s="8">
        <f>IFERROR(VLOOKUP(B209,Petróleo!AD:AE,2,FALSE),"")</f>
        <v>3850</v>
      </c>
      <c r="Q209" s="8">
        <f>IFERROR(VLOOKUP(B209,Petróleo!AF:AG,2,FALSE),"")</f>
        <v>1970</v>
      </c>
      <c r="R209" s="8">
        <f>IFERROR(VLOOKUP(B209,Petróleo!AH:AI,2,FALSE),"")</f>
        <v>1690</v>
      </c>
      <c r="S209" s="8">
        <f>IFERROR(VLOOKUP(B209,Petróleo!AJ:AK,2,FALSE),"")</f>
        <v>2200</v>
      </c>
      <c r="T209" s="8">
        <f>IFERROR(VLOOKUP(B209,Petróleo!AL:AM,2,FALSE),"")</f>
        <v>2400</v>
      </c>
      <c r="U209" s="8">
        <f>IFERROR(VLOOKUP(B209,Petróleo!AN:AO,2,FALSE),"")</f>
        <v>2410</v>
      </c>
      <c r="V209" s="10" t="str">
        <f>IFERROR(VLOOKUP(A209,Petróleo!AR:AT,3,FALSE),"")</f>
        <v/>
      </c>
    </row>
    <row r="210" spans="1:22" x14ac:dyDescent="0.25">
      <c r="A210" s="9" t="str">
        <f t="shared" si="3"/>
        <v>52007</v>
      </c>
      <c r="B210" s="9">
        <v>39233</v>
      </c>
      <c r="C210" s="1">
        <f>IFERROR(VLOOKUP(B210,Petróleo!A:B,2,FALSE),"")</f>
        <v>5211</v>
      </c>
      <c r="D210" s="1">
        <f>IFERROR(VLOOKUP(B210,Estoque_US!D:E,2,FALSE),"")</f>
        <v>6585</v>
      </c>
      <c r="E210" s="1">
        <f>IFERROR(VLOOKUP(B210,Petróleo!F:G,2,FALSE),"")</f>
        <v>9133.4189999999999</v>
      </c>
      <c r="F210" s="1">
        <f>IFERROR(VLOOKUP(B210,Petróleo!H:I,2,FALSE),"")</f>
        <v>4167</v>
      </c>
      <c r="G210" s="1">
        <f>IFERROR(VLOOKUP(B210,Petróleo!J:K,2,FALSE),"")</f>
        <v>2002.855</v>
      </c>
      <c r="H210" s="1">
        <f>IFERROR(VLOOKUP(B210,Petróleo!L:M,2,FALSE),"")</f>
        <v>1755</v>
      </c>
      <c r="I210" s="1">
        <f>IFERROR(VLOOKUP(B210,Petróleo!N:O,2,FALSE),"")</f>
        <v>1990.991</v>
      </c>
      <c r="J210" s="1">
        <f>IFERROR(VLOOKUP(B210,Petróleo!P:Q,2,FALSE),"")</f>
        <v>9815.1059999999998</v>
      </c>
      <c r="K210" s="1">
        <f>IFERROR(VLOOKUP(B210,Petróleo!R:S,2,FALSE),"")</f>
        <v>2859.596</v>
      </c>
      <c r="L210" s="1">
        <f>IFERROR(VLOOKUP(B210,Petróleo!T:U,2,FALSE),"")</f>
        <v>3728.1320000000001</v>
      </c>
      <c r="M210" s="8">
        <f>IFERROR(VLOOKUP(B210,Petróleo!X:Y,2,FALSE),"")</f>
        <v>30015</v>
      </c>
      <c r="N210" s="8">
        <f>IFERROR(VLOOKUP(B210,Petróleo!Z:AA,2,FALSE),"")</f>
        <v>8570</v>
      </c>
      <c r="O210" s="8">
        <f>IFERROR(VLOOKUP(B210,Petróleo!AB:AC,2,FALSE),"")</f>
        <v>2520</v>
      </c>
      <c r="P210" s="8">
        <f>IFERROR(VLOOKUP(B210,Petróleo!AD:AE,2,FALSE),"")</f>
        <v>3900</v>
      </c>
      <c r="Q210" s="8">
        <f>IFERROR(VLOOKUP(B210,Petróleo!AF:AG,2,FALSE),"")</f>
        <v>2000</v>
      </c>
      <c r="R210" s="8">
        <f>IFERROR(VLOOKUP(B210,Petróleo!AH:AI,2,FALSE),"")</f>
        <v>1690</v>
      </c>
      <c r="S210" s="8">
        <f>IFERROR(VLOOKUP(B210,Petróleo!AJ:AK,2,FALSE),"")</f>
        <v>2000</v>
      </c>
      <c r="T210" s="8">
        <f>IFERROR(VLOOKUP(B210,Petróleo!AL:AM,2,FALSE),"")</f>
        <v>2360</v>
      </c>
      <c r="U210" s="8">
        <f>IFERROR(VLOOKUP(B210,Petróleo!AN:AO,2,FALSE),"")</f>
        <v>2380</v>
      </c>
      <c r="V210" s="10" t="str">
        <f>IFERROR(VLOOKUP(A210,Petróleo!AR:AT,3,FALSE),"")</f>
        <v/>
      </c>
    </row>
    <row r="211" spans="1:22" x14ac:dyDescent="0.25">
      <c r="A211" s="9" t="str">
        <f t="shared" si="3"/>
        <v>62007</v>
      </c>
      <c r="B211" s="9">
        <v>39263</v>
      </c>
      <c r="C211" s="1">
        <f>IFERROR(VLOOKUP(B211,Petróleo!A:B,2,FALSE),"")</f>
        <v>5075</v>
      </c>
      <c r="D211" s="1">
        <f>IFERROR(VLOOKUP(B211,Estoque_US!D:E,2,FALSE),"")</f>
        <v>11809</v>
      </c>
      <c r="E211" s="1">
        <f>IFERROR(VLOOKUP(B211,Petróleo!F:G,2,FALSE),"")</f>
        <v>9053.4189999999999</v>
      </c>
      <c r="F211" s="1">
        <f>IFERROR(VLOOKUP(B211,Petróleo!H:I,2,FALSE),"")</f>
        <v>4207</v>
      </c>
      <c r="G211" s="1">
        <f>IFERROR(VLOOKUP(B211,Petróleo!J:K,2,FALSE),"")</f>
        <v>1927.809</v>
      </c>
      <c r="H211" s="1">
        <f>IFERROR(VLOOKUP(B211,Petróleo!L:M,2,FALSE),"")</f>
        <v>1765</v>
      </c>
      <c r="I211" s="1">
        <f>IFERROR(VLOOKUP(B211,Petróleo!N:O,2,FALSE),"")</f>
        <v>2088.991</v>
      </c>
      <c r="J211" s="1">
        <f>IFERROR(VLOOKUP(B211,Petróleo!P:Q,2,FALSE),"")</f>
        <v>9868.6229999999996</v>
      </c>
      <c r="K211" s="1">
        <f>IFERROR(VLOOKUP(B211,Petróleo!R:S,2,FALSE),"")</f>
        <v>2848.5039999999999</v>
      </c>
      <c r="L211" s="1">
        <f>IFERROR(VLOOKUP(B211,Petróleo!T:U,2,FALSE),"")</f>
        <v>3771.9119999999998</v>
      </c>
      <c r="M211" s="8">
        <f>IFERROR(VLOOKUP(B211,Petróleo!X:Y,2,FALSE),"")</f>
        <v>30035</v>
      </c>
      <c r="N211" s="8">
        <f>IFERROR(VLOOKUP(B211,Petróleo!Z:AA,2,FALSE),"")</f>
        <v>8580</v>
      </c>
      <c r="O211" s="8">
        <f>IFERROR(VLOOKUP(B211,Petróleo!AB:AC,2,FALSE),"")</f>
        <v>2520</v>
      </c>
      <c r="P211" s="8">
        <f>IFERROR(VLOOKUP(B211,Petróleo!AD:AE,2,FALSE),"")</f>
        <v>3920</v>
      </c>
      <c r="Q211" s="8">
        <f>IFERROR(VLOOKUP(B211,Petróleo!AF:AG,2,FALSE),"")</f>
        <v>1925</v>
      </c>
      <c r="R211" s="8">
        <f>IFERROR(VLOOKUP(B211,Petróleo!AH:AI,2,FALSE),"")</f>
        <v>1690</v>
      </c>
      <c r="S211" s="8">
        <f>IFERROR(VLOOKUP(B211,Petróleo!AJ:AK,2,FALSE),"")</f>
        <v>2050</v>
      </c>
      <c r="T211" s="8">
        <f>IFERROR(VLOOKUP(B211,Petróleo!AL:AM,2,FALSE),"")</f>
        <v>2360</v>
      </c>
      <c r="U211" s="8">
        <f>IFERROR(VLOOKUP(B211,Petróleo!AN:AO,2,FALSE),"")</f>
        <v>2400</v>
      </c>
      <c r="V211" s="10" t="str">
        <f>IFERROR(VLOOKUP(A211,Petróleo!AR:AT,3,FALSE),"")</f>
        <v/>
      </c>
    </row>
    <row r="212" spans="1:22" x14ac:dyDescent="0.25">
      <c r="A212" s="9" t="str">
        <f t="shared" si="3"/>
        <v>72007</v>
      </c>
      <c r="B212" s="9">
        <v>39294</v>
      </c>
      <c r="C212" s="1">
        <f>IFERROR(VLOOKUP(B212,Petróleo!A:B,2,FALSE),"")</f>
        <v>5038</v>
      </c>
      <c r="D212" s="1">
        <f>IFERROR(VLOOKUP(B212,Estoque_US!D:E,2,FALSE),"")</f>
        <v>-9511</v>
      </c>
      <c r="E212" s="1">
        <f>IFERROR(VLOOKUP(B212,Petróleo!F:G,2,FALSE),"")</f>
        <v>9183.4189999999999</v>
      </c>
      <c r="F212" s="1">
        <f>IFERROR(VLOOKUP(B212,Petróleo!H:I,2,FALSE),"")</f>
        <v>4197</v>
      </c>
      <c r="G212" s="1">
        <f>IFERROR(VLOOKUP(B212,Petróleo!J:K,2,FALSE),"")</f>
        <v>2187.7660000000001</v>
      </c>
      <c r="H212" s="1">
        <f>IFERROR(VLOOKUP(B212,Petróleo!L:M,2,FALSE),"")</f>
        <v>1765</v>
      </c>
      <c r="I212" s="1">
        <f>IFERROR(VLOOKUP(B212,Petróleo!N:O,2,FALSE),"")</f>
        <v>2206.1489999999999</v>
      </c>
      <c r="J212" s="1">
        <f>IFERROR(VLOOKUP(B212,Petróleo!P:Q,2,FALSE),"")</f>
        <v>9895.5</v>
      </c>
      <c r="K212" s="1">
        <f>IFERROR(VLOOKUP(B212,Petróleo!R:S,2,FALSE),"")</f>
        <v>2900.1190000000001</v>
      </c>
      <c r="L212" s="1">
        <f>IFERROR(VLOOKUP(B212,Petróleo!T:U,2,FALSE),"")</f>
        <v>3591.3809999999999</v>
      </c>
      <c r="M212" s="8">
        <f>IFERROR(VLOOKUP(B212,Petróleo!X:Y,2,FALSE),"")</f>
        <v>30400</v>
      </c>
      <c r="N212" s="8">
        <f>IFERROR(VLOOKUP(B212,Petróleo!Z:AA,2,FALSE),"")</f>
        <v>8580</v>
      </c>
      <c r="O212" s="8">
        <f>IFERROR(VLOOKUP(B212,Petróleo!AB:AC,2,FALSE),"")</f>
        <v>2520</v>
      </c>
      <c r="P212" s="8">
        <f>IFERROR(VLOOKUP(B212,Petróleo!AD:AE,2,FALSE),"")</f>
        <v>3900</v>
      </c>
      <c r="Q212" s="8">
        <f>IFERROR(VLOOKUP(B212,Petróleo!AF:AG,2,FALSE),"")</f>
        <v>2125</v>
      </c>
      <c r="R212" s="8">
        <f>IFERROR(VLOOKUP(B212,Petróleo!AH:AI,2,FALSE),"")</f>
        <v>1690</v>
      </c>
      <c r="S212" s="8">
        <f>IFERROR(VLOOKUP(B212,Petróleo!AJ:AK,2,FALSE),"")</f>
        <v>2200</v>
      </c>
      <c r="T212" s="8">
        <f>IFERROR(VLOOKUP(B212,Petróleo!AL:AM,2,FALSE),"")</f>
        <v>2380</v>
      </c>
      <c r="U212" s="8">
        <f>IFERROR(VLOOKUP(B212,Petróleo!AN:AO,2,FALSE),"")</f>
        <v>2400</v>
      </c>
      <c r="V212" s="10" t="str">
        <f>IFERROR(VLOOKUP(A212,Petróleo!AR:AT,3,FALSE),"")</f>
        <v/>
      </c>
    </row>
    <row r="213" spans="1:22" x14ac:dyDescent="0.25">
      <c r="A213" s="9" t="str">
        <f t="shared" si="3"/>
        <v>82007</v>
      </c>
      <c r="B213" s="9">
        <v>39325</v>
      </c>
      <c r="C213" s="1">
        <f>IFERROR(VLOOKUP(B213,Petróleo!A:B,2,FALSE),"")</f>
        <v>4970</v>
      </c>
      <c r="D213" s="1">
        <f>IFERROR(VLOOKUP(B213,Estoque_US!D:E,2,FALSE),"")</f>
        <v>-14871</v>
      </c>
      <c r="E213" s="1">
        <f>IFERROR(VLOOKUP(B213,Petróleo!F:G,2,FALSE),"")</f>
        <v>8932.9189999999999</v>
      </c>
      <c r="F213" s="1">
        <f>IFERROR(VLOOKUP(B213,Petróleo!H:I,2,FALSE),"")</f>
        <v>4157</v>
      </c>
      <c r="G213" s="1">
        <f>IFERROR(VLOOKUP(B213,Petróleo!J:K,2,FALSE),"")</f>
        <v>1987.7270000000001</v>
      </c>
      <c r="H213" s="1">
        <f>IFERROR(VLOOKUP(B213,Petróleo!L:M,2,FALSE),"")</f>
        <v>1765</v>
      </c>
      <c r="I213" s="1">
        <f>IFERROR(VLOOKUP(B213,Petróleo!N:O,2,FALSE),"")</f>
        <v>2236.1489999999999</v>
      </c>
      <c r="J213" s="1">
        <f>IFERROR(VLOOKUP(B213,Petróleo!P:Q,2,FALSE),"")</f>
        <v>9912.0519999999997</v>
      </c>
      <c r="K213" s="1">
        <f>IFERROR(VLOOKUP(B213,Petróleo!R:S,2,FALSE),"")</f>
        <v>2903.6640000000002</v>
      </c>
      <c r="L213" s="1">
        <f>IFERROR(VLOOKUP(B213,Petróleo!T:U,2,FALSE),"")</f>
        <v>3694.2539999999999</v>
      </c>
      <c r="M213" s="8">
        <f>IFERROR(VLOOKUP(B213,Petróleo!X:Y,2,FALSE),"")</f>
        <v>30345</v>
      </c>
      <c r="N213" s="8">
        <f>IFERROR(VLOOKUP(B213,Petróleo!Z:AA,2,FALSE),"")</f>
        <v>8600</v>
      </c>
      <c r="O213" s="8">
        <f>IFERROR(VLOOKUP(B213,Petróleo!AB:AC,2,FALSE),"")</f>
        <v>2560</v>
      </c>
      <c r="P213" s="8">
        <f>IFERROR(VLOOKUP(B213,Petróleo!AD:AE,2,FALSE),"")</f>
        <v>3850</v>
      </c>
      <c r="Q213" s="8">
        <f>IFERROR(VLOOKUP(B213,Petróleo!AF:AG,2,FALSE),"")</f>
        <v>1970</v>
      </c>
      <c r="R213" s="8">
        <f>IFERROR(VLOOKUP(B213,Petróleo!AH:AI,2,FALSE),"")</f>
        <v>1690</v>
      </c>
      <c r="S213" s="8">
        <f>IFERROR(VLOOKUP(B213,Petróleo!AJ:AK,2,FALSE),"")</f>
        <v>2200</v>
      </c>
      <c r="T213" s="8">
        <f>IFERROR(VLOOKUP(B213,Petróleo!AL:AM,2,FALSE),"")</f>
        <v>2400</v>
      </c>
      <c r="U213" s="8">
        <f>IFERROR(VLOOKUP(B213,Petróleo!AN:AO,2,FALSE),"")</f>
        <v>2410</v>
      </c>
      <c r="V213" s="10" t="str">
        <f>IFERROR(VLOOKUP(A213,Petróleo!AR:AT,3,FALSE),"")</f>
        <v/>
      </c>
    </row>
    <row r="214" spans="1:22" x14ac:dyDescent="0.25">
      <c r="A214" s="9" t="str">
        <f t="shared" si="3"/>
        <v>92007</v>
      </c>
      <c r="B214" s="9">
        <v>39355</v>
      </c>
      <c r="C214" s="1">
        <f>IFERROR(VLOOKUP(B214,Petróleo!A:B,2,FALSE),"")</f>
        <v>4902</v>
      </c>
      <c r="D214" s="1">
        <f>IFERROR(VLOOKUP(B214,Estoque_US!D:E,2,FALSE),"")</f>
        <v>-7905</v>
      </c>
      <c r="E214" s="1">
        <f>IFERROR(VLOOKUP(B214,Petróleo!F:G,2,FALSE),"")</f>
        <v>9283.4189999999999</v>
      </c>
      <c r="F214" s="1">
        <f>IFERROR(VLOOKUP(B214,Petróleo!H:I,2,FALSE),"")</f>
        <v>4192</v>
      </c>
      <c r="G214" s="1">
        <f>IFERROR(VLOOKUP(B214,Petróleo!J:K,2,FALSE),"")</f>
        <v>2177.7269999999999</v>
      </c>
      <c r="H214" s="1">
        <f>IFERROR(VLOOKUP(B214,Petróleo!L:M,2,FALSE),"")</f>
        <v>1780</v>
      </c>
      <c r="I214" s="1">
        <f>IFERROR(VLOOKUP(B214,Petróleo!N:O,2,FALSE),"")</f>
        <v>2310.1489999999999</v>
      </c>
      <c r="J214" s="1">
        <f>IFERROR(VLOOKUP(B214,Petróleo!P:Q,2,FALSE),"")</f>
        <v>9871.0669999999991</v>
      </c>
      <c r="K214" s="1">
        <f>IFERROR(VLOOKUP(B214,Petróleo!R:S,2,FALSE),"")</f>
        <v>2805.828</v>
      </c>
      <c r="L214" s="1">
        <f>IFERROR(VLOOKUP(B214,Petróleo!T:U,2,FALSE),"")</f>
        <v>3664.2289999999998</v>
      </c>
      <c r="M214" s="8">
        <f>IFERROR(VLOOKUP(B214,Petróleo!X:Y,2,FALSE),"")</f>
        <v>30665</v>
      </c>
      <c r="N214" s="8">
        <f>IFERROR(VLOOKUP(B214,Petróleo!Z:AA,2,FALSE),"")</f>
        <v>8650</v>
      </c>
      <c r="O214" s="8">
        <f>IFERROR(VLOOKUP(B214,Petróleo!AB:AC,2,FALSE),"")</f>
        <v>2540</v>
      </c>
      <c r="P214" s="8">
        <f>IFERROR(VLOOKUP(B214,Petróleo!AD:AE,2,FALSE),"")</f>
        <v>3900</v>
      </c>
      <c r="Q214" s="8">
        <f>IFERROR(VLOOKUP(B214,Petróleo!AF:AG,2,FALSE),"")</f>
        <v>2175</v>
      </c>
      <c r="R214" s="8">
        <f>IFERROR(VLOOKUP(B214,Petróleo!AH:AI,2,FALSE),"")</f>
        <v>1710</v>
      </c>
      <c r="S214" s="8">
        <f>IFERROR(VLOOKUP(B214,Petróleo!AJ:AK,2,FALSE),"")</f>
        <v>2150</v>
      </c>
      <c r="T214" s="8">
        <f>IFERROR(VLOOKUP(B214,Petróleo!AL:AM,2,FALSE),"")</f>
        <v>2420</v>
      </c>
      <c r="U214" s="8">
        <f>IFERROR(VLOOKUP(B214,Petróleo!AN:AO,2,FALSE),"")</f>
        <v>2430</v>
      </c>
      <c r="V214" s="10" t="str">
        <f>IFERROR(VLOOKUP(A214,Petróleo!AR:AT,3,FALSE),"")</f>
        <v/>
      </c>
    </row>
    <row r="215" spans="1:22" x14ac:dyDescent="0.25">
      <c r="A215" s="9" t="str">
        <f t="shared" si="3"/>
        <v>102007</v>
      </c>
      <c r="B215" s="9">
        <v>39386</v>
      </c>
      <c r="C215" s="1">
        <f>IFERROR(VLOOKUP(B215,Petróleo!A:B,2,FALSE),"")</f>
        <v>5022</v>
      </c>
      <c r="D215" s="1">
        <f>IFERROR(VLOOKUP(B215,Estoque_US!D:E,2,FALSE),"")</f>
        <v>-9072</v>
      </c>
      <c r="E215" s="1">
        <f>IFERROR(VLOOKUP(B215,Petróleo!F:G,2,FALSE),"")</f>
        <v>9483.4189999999999</v>
      </c>
      <c r="F215" s="1">
        <f>IFERROR(VLOOKUP(B215,Petróleo!H:I,2,FALSE),"")</f>
        <v>4337</v>
      </c>
      <c r="G215" s="1">
        <f>IFERROR(VLOOKUP(B215,Petróleo!J:K,2,FALSE),"")</f>
        <v>2302.7539999999999</v>
      </c>
      <c r="H215" s="1">
        <f>IFERROR(VLOOKUP(B215,Petróleo!L:M,2,FALSE),"")</f>
        <v>1785</v>
      </c>
      <c r="I215" s="1">
        <f>IFERROR(VLOOKUP(B215,Petróleo!N:O,2,FALSE),"")</f>
        <v>2255</v>
      </c>
      <c r="J215" s="1">
        <f>IFERROR(VLOOKUP(B215,Petróleo!P:Q,2,FALSE),"")</f>
        <v>9897.8639999999996</v>
      </c>
      <c r="K215" s="1">
        <f>IFERROR(VLOOKUP(B215,Petróleo!R:S,2,FALSE),"")</f>
        <v>2863.3009999999999</v>
      </c>
      <c r="L215" s="1">
        <f>IFERROR(VLOOKUP(B215,Petróleo!T:U,2,FALSE),"")</f>
        <v>3670.5210000000002</v>
      </c>
      <c r="M215" s="8">
        <f>IFERROR(VLOOKUP(B215,Petróleo!X:Y,2,FALSE),"")</f>
        <v>31260</v>
      </c>
      <c r="N215" s="8">
        <f>IFERROR(VLOOKUP(B215,Petróleo!Z:AA,2,FALSE),"")</f>
        <v>8850</v>
      </c>
      <c r="O215" s="8">
        <f>IFERROR(VLOOKUP(B215,Petróleo!AB:AC,2,FALSE),"")</f>
        <v>2590</v>
      </c>
      <c r="P215" s="8">
        <f>IFERROR(VLOOKUP(B215,Petróleo!AD:AE,2,FALSE),"")</f>
        <v>3940</v>
      </c>
      <c r="Q215" s="8">
        <f>IFERROR(VLOOKUP(B215,Petróleo!AF:AG,2,FALSE),"")</f>
        <v>2275</v>
      </c>
      <c r="R215" s="8">
        <f>IFERROR(VLOOKUP(B215,Petróleo!AH:AI,2,FALSE),"")</f>
        <v>1730</v>
      </c>
      <c r="S215" s="8">
        <f>IFERROR(VLOOKUP(B215,Petróleo!AJ:AK,2,FALSE),"")</f>
        <v>2180</v>
      </c>
      <c r="T215" s="8">
        <f>IFERROR(VLOOKUP(B215,Petróleo!AL:AM,2,FALSE),"")</f>
        <v>2440</v>
      </c>
      <c r="U215" s="8">
        <f>IFERROR(VLOOKUP(B215,Petróleo!AN:AO,2,FALSE),"")</f>
        <v>2450</v>
      </c>
      <c r="V215" s="10" t="str">
        <f>IFERROR(VLOOKUP(A215,Petróleo!AR:AT,3,FALSE),"")</f>
        <v/>
      </c>
    </row>
    <row r="216" spans="1:22" x14ac:dyDescent="0.25">
      <c r="A216" s="9" t="str">
        <f t="shared" si="3"/>
        <v>112007</v>
      </c>
      <c r="B216" s="9">
        <v>39416</v>
      </c>
      <c r="C216" s="1">
        <f>IFERROR(VLOOKUP(B216,Petróleo!A:B,2,FALSE),"")</f>
        <v>5034</v>
      </c>
      <c r="D216" s="1">
        <f>IFERROR(VLOOKUP(B216,Estoque_US!D:E,2,FALSE),"")</f>
        <v>-7443</v>
      </c>
      <c r="E216" s="1">
        <f>IFERROR(VLOOKUP(B216,Petróleo!F:G,2,FALSE),"")</f>
        <v>9488.4189999999999</v>
      </c>
      <c r="F216" s="1">
        <f>IFERROR(VLOOKUP(B216,Petróleo!H:I,2,FALSE),"")</f>
        <v>4292</v>
      </c>
      <c r="G216" s="1">
        <f>IFERROR(VLOOKUP(B216,Petróleo!J:K,2,FALSE),"")</f>
        <v>2397.7359999999999</v>
      </c>
      <c r="H216" s="1">
        <f>IFERROR(VLOOKUP(B216,Petróleo!L:M,2,FALSE),"")</f>
        <v>1815</v>
      </c>
      <c r="I216" s="1">
        <f>IFERROR(VLOOKUP(B216,Petróleo!N:O,2,FALSE),"")</f>
        <v>2201</v>
      </c>
      <c r="J216" s="1">
        <f>IFERROR(VLOOKUP(B216,Petróleo!P:Q,2,FALSE),"")</f>
        <v>9849.0769999999993</v>
      </c>
      <c r="K216" s="1">
        <f>IFERROR(VLOOKUP(B216,Petróleo!R:S,2,FALSE),"")</f>
        <v>2732.616</v>
      </c>
      <c r="L216" s="1">
        <f>IFERROR(VLOOKUP(B216,Petróleo!T:U,2,FALSE),"")</f>
        <v>3674.49</v>
      </c>
      <c r="M216" s="8">
        <f>IFERROR(VLOOKUP(B216,Petróleo!X:Y,2,FALSE),"")</f>
        <v>31700</v>
      </c>
      <c r="N216" s="8">
        <f>IFERROR(VLOOKUP(B216,Petróleo!Z:AA,2,FALSE),"")</f>
        <v>8980</v>
      </c>
      <c r="O216" s="8">
        <f>IFERROR(VLOOKUP(B216,Petróleo!AB:AC,2,FALSE),"")</f>
        <v>2190</v>
      </c>
      <c r="P216" s="8">
        <f>IFERROR(VLOOKUP(B216,Petróleo!AD:AE,2,FALSE),"")</f>
        <v>3950</v>
      </c>
      <c r="Q216" s="8">
        <f>IFERROR(VLOOKUP(B216,Petróleo!AF:AG,2,FALSE),"")</f>
        <v>2405</v>
      </c>
      <c r="R216" s="8">
        <f>IFERROR(VLOOKUP(B216,Petróleo!AH:AI,2,FALSE),"")</f>
        <v>1740</v>
      </c>
      <c r="S216" s="8">
        <f>IFERROR(VLOOKUP(B216,Petróleo!AJ:AK,2,FALSE),"")</f>
        <v>2180</v>
      </c>
      <c r="T216" s="8">
        <f>IFERROR(VLOOKUP(B216,Petróleo!AL:AM,2,FALSE),"")</f>
        <v>2440</v>
      </c>
      <c r="U216" s="8">
        <f>IFERROR(VLOOKUP(B216,Petróleo!AN:AO,2,FALSE),"")</f>
        <v>2490</v>
      </c>
      <c r="V216" s="10" t="str">
        <f>IFERROR(VLOOKUP(A216,Petróleo!AR:AT,3,FALSE),"")</f>
        <v/>
      </c>
    </row>
    <row r="217" spans="1:22" x14ac:dyDescent="0.25">
      <c r="A217" s="9" t="str">
        <f t="shared" si="3"/>
        <v>122007</v>
      </c>
      <c r="B217" s="9">
        <v>39447</v>
      </c>
      <c r="C217" s="1">
        <f>IFERROR(VLOOKUP(B217,Petróleo!A:B,2,FALSE),"")</f>
        <v>5111</v>
      </c>
      <c r="D217" s="1">
        <f>IFERROR(VLOOKUP(B217,Estoque_US!D:E,2,FALSE),"")</f>
        <v>-15663</v>
      </c>
      <c r="E217" s="1">
        <f>IFERROR(VLOOKUP(B217,Petróleo!F:G,2,FALSE),"")</f>
        <v>9532.9189999999999</v>
      </c>
      <c r="F217" s="1">
        <f>IFERROR(VLOOKUP(B217,Petróleo!H:I,2,FALSE),"")</f>
        <v>4167</v>
      </c>
      <c r="G217" s="1">
        <f>IFERROR(VLOOKUP(B217,Petróleo!J:K,2,FALSE),"")</f>
        <v>2297.7150000000001</v>
      </c>
      <c r="H217" s="1">
        <f>IFERROR(VLOOKUP(B217,Petróleo!L:M,2,FALSE),"")</f>
        <v>1815</v>
      </c>
      <c r="I217" s="1">
        <f>IFERROR(VLOOKUP(B217,Petróleo!N:O,2,FALSE),"")</f>
        <v>2191</v>
      </c>
      <c r="J217" s="1">
        <f>IFERROR(VLOOKUP(B217,Petróleo!P:Q,2,FALSE),"")</f>
        <v>9831.6579999999994</v>
      </c>
      <c r="K217" s="1">
        <f>IFERROR(VLOOKUP(B217,Petróleo!R:S,2,FALSE),"")</f>
        <v>2848.7350000000001</v>
      </c>
      <c r="L217" s="1">
        <f>IFERROR(VLOOKUP(B217,Petróleo!T:U,2,FALSE),"")</f>
        <v>3639.7359999999999</v>
      </c>
      <c r="M217" s="8">
        <f>IFERROR(VLOOKUP(B217,Petróleo!X:Y,2,FALSE),"")</f>
        <v>32000</v>
      </c>
      <c r="N217" s="8">
        <f>IFERROR(VLOOKUP(B217,Petróleo!Z:AA,2,FALSE),"")</f>
        <v>9100</v>
      </c>
      <c r="O217" s="8">
        <f>IFERROR(VLOOKUP(B217,Petróleo!AB:AC,2,FALSE),"")</f>
        <v>2530</v>
      </c>
      <c r="P217" s="8">
        <f>IFERROR(VLOOKUP(B217,Petróleo!AD:AE,2,FALSE),"")</f>
        <v>3840</v>
      </c>
      <c r="Q217" s="8">
        <f>IFERROR(VLOOKUP(B217,Petróleo!AF:AG,2,FALSE),"")</f>
        <v>2340</v>
      </c>
      <c r="R217" s="8">
        <f>IFERROR(VLOOKUP(B217,Petróleo!AH:AI,2,FALSE),"")</f>
        <v>1750</v>
      </c>
      <c r="S217" s="8">
        <f>IFERROR(VLOOKUP(B217,Petróleo!AJ:AK,2,FALSE),"")</f>
        <v>2150</v>
      </c>
      <c r="T217" s="8">
        <f>IFERROR(VLOOKUP(B217,Petróleo!AL:AM,2,FALSE),"")</f>
        <v>2430</v>
      </c>
      <c r="U217" s="8">
        <f>IFERROR(VLOOKUP(B217,Petróleo!AN:AO,2,FALSE),"")</f>
        <v>2500</v>
      </c>
      <c r="V217" s="10" t="str">
        <f>IFERROR(VLOOKUP(A217,Petróleo!AR:AT,3,FALSE),"")</f>
        <v/>
      </c>
    </row>
    <row r="218" spans="1:22" x14ac:dyDescent="0.25">
      <c r="A218" s="9" t="str">
        <f t="shared" si="3"/>
        <v>12008</v>
      </c>
      <c r="B218" s="9">
        <v>39478</v>
      </c>
      <c r="C218" s="1">
        <f>IFERROR(VLOOKUP(B218,Petróleo!A:B,2,FALSE),"")</f>
        <v>5115</v>
      </c>
      <c r="D218" s="1">
        <f>IFERROR(VLOOKUP(B218,Estoque_US!D:E,2,FALSE),"")</f>
        <v>3375</v>
      </c>
      <c r="E218" s="1">
        <f>IFERROR(VLOOKUP(B218,Petróleo!F:G,2,FALSE),"")</f>
        <v>9200</v>
      </c>
      <c r="F218" s="1">
        <f>IFERROR(VLOOKUP(B218,Petróleo!H:I,2,FALSE),"")</f>
        <v>4000</v>
      </c>
      <c r="G218" s="1">
        <f>IFERROR(VLOOKUP(B218,Petróleo!J:K,2,FALSE),"")</f>
        <v>2202.6950000000002</v>
      </c>
      <c r="H218" s="1">
        <f>IFERROR(VLOOKUP(B218,Petróleo!L:M,2,FALSE),"")</f>
        <v>1857</v>
      </c>
      <c r="I218" s="1">
        <f>IFERROR(VLOOKUP(B218,Petróleo!N:O,2,FALSE),"")</f>
        <v>2230</v>
      </c>
      <c r="J218" s="1">
        <f>IFERROR(VLOOKUP(B218,Petróleo!P:Q,2,FALSE),"")</f>
        <v>9359</v>
      </c>
      <c r="K218" s="1">
        <f>IFERROR(VLOOKUP(B218,Petróleo!R:S,2,FALSE),"")</f>
        <v>2510</v>
      </c>
      <c r="L218" s="1">
        <f>IFERROR(VLOOKUP(B218,Petróleo!T:U,2,FALSE),"")</f>
        <v>3743.8</v>
      </c>
      <c r="M218" s="8">
        <f>IFERROR(VLOOKUP(B218,Petróleo!X:Y,2,FALSE),"")</f>
        <v>32200</v>
      </c>
      <c r="N218" s="8">
        <f>IFERROR(VLOOKUP(B218,Petróleo!Z:AA,2,FALSE),"")</f>
        <v>9200</v>
      </c>
      <c r="O218" s="8">
        <f>IFERROR(VLOOKUP(B218,Petróleo!AB:AC,2,FALSE),"")</f>
        <v>2580</v>
      </c>
      <c r="P218" s="8">
        <f>IFERROR(VLOOKUP(B218,Petróleo!AD:AE,2,FALSE),"")</f>
        <v>4010</v>
      </c>
      <c r="Q218" s="8">
        <f>IFERROR(VLOOKUP(B218,Petróleo!AF:AG,2,FALSE),"")</f>
        <v>2230</v>
      </c>
      <c r="R218" s="8">
        <f>IFERROR(VLOOKUP(B218,Petróleo!AH:AI,2,FALSE),"")</f>
        <v>1780</v>
      </c>
      <c r="S218" s="8">
        <f>IFERROR(VLOOKUP(B218,Petróleo!AJ:AK,2,FALSE),"")</f>
        <v>2060</v>
      </c>
      <c r="T218" s="8">
        <f>IFERROR(VLOOKUP(B218,Petróleo!AL:AM,2,FALSE),"")</f>
        <v>2430</v>
      </c>
      <c r="U218" s="8">
        <f>IFERROR(VLOOKUP(B218,Petróleo!AN:AO,2,FALSE),"")</f>
        <v>2520</v>
      </c>
      <c r="V218" s="10" t="str">
        <f>IFERROR(VLOOKUP(A218,Petróleo!AR:AT,3,FALSE),"")</f>
        <v/>
      </c>
    </row>
    <row r="219" spans="1:22" x14ac:dyDescent="0.25">
      <c r="A219" s="9" t="str">
        <f t="shared" si="3"/>
        <v>22008</v>
      </c>
      <c r="B219" s="9">
        <v>39507</v>
      </c>
      <c r="C219" s="1">
        <f>IFERROR(VLOOKUP(B219,Petróleo!A:B,2,FALSE),"")</f>
        <v>5148</v>
      </c>
      <c r="D219" s="1">
        <f>IFERROR(VLOOKUP(B219,Estoque_US!D:E,2,FALSE),"")</f>
        <v>12497</v>
      </c>
      <c r="E219" s="1">
        <f>IFERROR(VLOOKUP(B219,Petróleo!F:G,2,FALSE),"")</f>
        <v>9200</v>
      </c>
      <c r="F219" s="1">
        <f>IFERROR(VLOOKUP(B219,Petróleo!H:I,2,FALSE),"")</f>
        <v>4000</v>
      </c>
      <c r="G219" s="1">
        <f>IFERROR(VLOOKUP(B219,Petróleo!J:K,2,FALSE),"")</f>
        <v>2352.674</v>
      </c>
      <c r="H219" s="1">
        <f>IFERROR(VLOOKUP(B219,Petróleo!L:M,2,FALSE),"")</f>
        <v>1857</v>
      </c>
      <c r="I219" s="1">
        <f>IFERROR(VLOOKUP(B219,Petróleo!N:O,2,FALSE),"")</f>
        <v>2100</v>
      </c>
      <c r="J219" s="1">
        <f>IFERROR(VLOOKUP(B219,Petróleo!P:Q,2,FALSE),"")</f>
        <v>9362</v>
      </c>
      <c r="K219" s="1">
        <f>IFERROR(VLOOKUP(B219,Petróleo!R:S,2,FALSE),"")</f>
        <v>2510</v>
      </c>
      <c r="L219" s="1">
        <f>IFERROR(VLOOKUP(B219,Petróleo!T:U,2,FALSE),"")</f>
        <v>3746.8</v>
      </c>
      <c r="M219" s="8">
        <f>IFERROR(VLOOKUP(B219,Petróleo!X:Y,2,FALSE),"")</f>
        <v>32435</v>
      </c>
      <c r="N219" s="8">
        <f>IFERROR(VLOOKUP(B219,Petróleo!Z:AA,2,FALSE),"")</f>
        <v>9200</v>
      </c>
      <c r="O219" s="8">
        <f>IFERROR(VLOOKUP(B219,Petróleo!AB:AC,2,FALSE),"")</f>
        <v>2560</v>
      </c>
      <c r="P219" s="8">
        <f>IFERROR(VLOOKUP(B219,Petróleo!AD:AE,2,FALSE),"")</f>
        <v>3980</v>
      </c>
      <c r="Q219" s="8">
        <f>IFERROR(VLOOKUP(B219,Petróleo!AF:AG,2,FALSE),"")</f>
        <v>2435</v>
      </c>
      <c r="R219" s="8">
        <f>IFERROR(VLOOKUP(B219,Petróleo!AH:AI,2,FALSE),"")</f>
        <v>1780</v>
      </c>
      <c r="S219" s="8">
        <f>IFERROR(VLOOKUP(B219,Petróleo!AJ:AK,2,FALSE),"")</f>
        <v>2040</v>
      </c>
      <c r="T219" s="8">
        <f>IFERROR(VLOOKUP(B219,Petróleo!AL:AM,2,FALSE),"")</f>
        <v>2430</v>
      </c>
      <c r="U219" s="8">
        <f>IFERROR(VLOOKUP(B219,Petróleo!AN:AO,2,FALSE),"")</f>
        <v>2530</v>
      </c>
      <c r="V219" s="10" t="str">
        <f>IFERROR(VLOOKUP(A219,Petróleo!AR:AT,3,FALSE),"")</f>
        <v/>
      </c>
    </row>
    <row r="220" spans="1:22" x14ac:dyDescent="0.25">
      <c r="A220" s="9" t="str">
        <f t="shared" si="3"/>
        <v>32008</v>
      </c>
      <c r="B220" s="9">
        <v>39538</v>
      </c>
      <c r="C220" s="1">
        <f>IFERROR(VLOOKUP(B220,Petróleo!A:B,2,FALSE),"")</f>
        <v>5189</v>
      </c>
      <c r="D220" s="1">
        <f>IFERROR(VLOOKUP(B220,Estoque_US!D:E,2,FALSE),"")</f>
        <v>13715</v>
      </c>
      <c r="E220" s="1">
        <f>IFERROR(VLOOKUP(B220,Petróleo!F:G,2,FALSE),"")</f>
        <v>9200</v>
      </c>
      <c r="F220" s="1">
        <f>IFERROR(VLOOKUP(B220,Petróleo!H:I,2,FALSE),"")</f>
        <v>4000</v>
      </c>
      <c r="G220" s="1">
        <f>IFERROR(VLOOKUP(B220,Petróleo!J:K,2,FALSE),"")</f>
        <v>2352.674</v>
      </c>
      <c r="H220" s="1">
        <f>IFERROR(VLOOKUP(B220,Petróleo!L:M,2,FALSE),"")</f>
        <v>1857</v>
      </c>
      <c r="I220" s="1">
        <f>IFERROR(VLOOKUP(B220,Petróleo!N:O,2,FALSE),"")</f>
        <v>2330</v>
      </c>
      <c r="J220" s="1">
        <f>IFERROR(VLOOKUP(B220,Petróleo!P:Q,2,FALSE),"")</f>
        <v>9334</v>
      </c>
      <c r="K220" s="1">
        <f>IFERROR(VLOOKUP(B220,Petróleo!R:S,2,FALSE),"")</f>
        <v>2510</v>
      </c>
      <c r="L220" s="1">
        <f>IFERROR(VLOOKUP(B220,Petróleo!T:U,2,FALSE),"")</f>
        <v>3769</v>
      </c>
      <c r="M220" s="8">
        <f>IFERROR(VLOOKUP(B220,Petróleo!X:Y,2,FALSE),"")</f>
        <v>32425</v>
      </c>
      <c r="N220" s="8">
        <f>IFERROR(VLOOKUP(B220,Petróleo!Z:AA,2,FALSE),"")</f>
        <v>9200</v>
      </c>
      <c r="O220" s="8">
        <f>IFERROR(VLOOKUP(B220,Petróleo!AB:AC,2,FALSE),"")</f>
        <v>2590</v>
      </c>
      <c r="P220" s="8">
        <f>IFERROR(VLOOKUP(B220,Petróleo!AD:AE,2,FALSE),"")</f>
        <v>4020</v>
      </c>
      <c r="Q220" s="8">
        <f>IFERROR(VLOOKUP(B220,Petróleo!AF:AG,2,FALSE),"")</f>
        <v>2380</v>
      </c>
      <c r="R220" s="8">
        <f>IFERROR(VLOOKUP(B220,Petróleo!AH:AI,2,FALSE),"")</f>
        <v>1780</v>
      </c>
      <c r="S220" s="8">
        <f>IFERROR(VLOOKUP(B220,Petróleo!AJ:AK,2,FALSE),"")</f>
        <v>2040</v>
      </c>
      <c r="T220" s="8">
        <f>IFERROR(VLOOKUP(B220,Petróleo!AL:AM,2,FALSE),"")</f>
        <v>2340</v>
      </c>
      <c r="U220" s="8">
        <f>IFERROR(VLOOKUP(B220,Petróleo!AN:AO,2,FALSE),"")</f>
        <v>2545</v>
      </c>
      <c r="V220" s="10" t="str">
        <f>IFERROR(VLOOKUP(A220,Petróleo!AR:AT,3,FALSE),"")</f>
        <v/>
      </c>
    </row>
    <row r="221" spans="1:22" x14ac:dyDescent="0.25">
      <c r="A221" s="9" t="str">
        <f t="shared" si="3"/>
        <v>42008</v>
      </c>
      <c r="B221" s="9">
        <v>39568</v>
      </c>
      <c r="C221" s="1">
        <f>IFERROR(VLOOKUP(B221,Petróleo!A:B,2,FALSE),"")</f>
        <v>5180</v>
      </c>
      <c r="D221" s="1">
        <f>IFERROR(VLOOKUP(B221,Estoque_US!D:E,2,FALSE),"")</f>
        <v>765</v>
      </c>
      <c r="E221" s="1">
        <f>IFERROR(VLOOKUP(B221,Petróleo!F:G,2,FALSE),"")</f>
        <v>9100</v>
      </c>
      <c r="F221" s="1">
        <f>IFERROR(VLOOKUP(B221,Petróleo!H:I,2,FALSE),"")</f>
        <v>4000</v>
      </c>
      <c r="G221" s="1">
        <f>IFERROR(VLOOKUP(B221,Petróleo!J:K,2,FALSE),"")</f>
        <v>2352.674</v>
      </c>
      <c r="H221" s="1">
        <f>IFERROR(VLOOKUP(B221,Petróleo!L:M,2,FALSE),"")</f>
        <v>1836</v>
      </c>
      <c r="I221" s="1">
        <f>IFERROR(VLOOKUP(B221,Petróleo!N:O,2,FALSE),"")</f>
        <v>2130</v>
      </c>
      <c r="J221" s="1">
        <f>IFERROR(VLOOKUP(B221,Petróleo!P:Q,2,FALSE),"")</f>
        <v>9296</v>
      </c>
      <c r="K221" s="1">
        <f>IFERROR(VLOOKUP(B221,Petróleo!R:S,2,FALSE),"")</f>
        <v>2510</v>
      </c>
      <c r="L221" s="1">
        <f>IFERROR(VLOOKUP(B221,Petróleo!T:U,2,FALSE),"")</f>
        <v>3751</v>
      </c>
      <c r="M221" s="8">
        <f>IFERROR(VLOOKUP(B221,Petróleo!X:Y,2,FALSE),"")</f>
        <v>31980</v>
      </c>
      <c r="N221" s="8">
        <f>IFERROR(VLOOKUP(B221,Petróleo!Z:AA,2,FALSE),"")</f>
        <v>9120</v>
      </c>
      <c r="O221" s="8">
        <f>IFERROR(VLOOKUP(B221,Petróleo!AB:AC,2,FALSE),"")</f>
        <v>2590</v>
      </c>
      <c r="P221" s="8">
        <f>IFERROR(VLOOKUP(B221,Petróleo!AD:AE,2,FALSE),"")</f>
        <v>3880</v>
      </c>
      <c r="Q221" s="8">
        <f>IFERROR(VLOOKUP(B221,Petróleo!AF:AG,2,FALSE),"")</f>
        <v>2390</v>
      </c>
      <c r="R221" s="8">
        <f>IFERROR(VLOOKUP(B221,Petróleo!AH:AI,2,FALSE),"")</f>
        <v>1770</v>
      </c>
      <c r="S221" s="8">
        <f>IFERROR(VLOOKUP(B221,Petróleo!AJ:AK,2,FALSE),"")</f>
        <v>1850</v>
      </c>
      <c r="T221" s="8">
        <f>IFERROR(VLOOKUP(B221,Petróleo!AL:AM,2,FALSE),"")</f>
        <v>2320</v>
      </c>
      <c r="U221" s="8">
        <f>IFERROR(VLOOKUP(B221,Petróleo!AN:AO,2,FALSE),"")</f>
        <v>2550</v>
      </c>
      <c r="V221" s="10" t="str">
        <f>IFERROR(VLOOKUP(A221,Petróleo!AR:AT,3,FALSE),"")</f>
        <v/>
      </c>
    </row>
    <row r="222" spans="1:22" x14ac:dyDescent="0.25">
      <c r="A222" s="9" t="str">
        <f t="shared" si="3"/>
        <v>52008</v>
      </c>
      <c r="B222" s="9">
        <v>39599</v>
      </c>
      <c r="C222" s="1">
        <f>IFERROR(VLOOKUP(B222,Petróleo!A:B,2,FALSE),"")</f>
        <v>5143</v>
      </c>
      <c r="D222" s="1">
        <f>IFERROR(VLOOKUP(B222,Estoque_US!D:E,2,FALSE),"")</f>
        <v>-13172</v>
      </c>
      <c r="E222" s="1">
        <f>IFERROR(VLOOKUP(B222,Petróleo!F:G,2,FALSE),"")</f>
        <v>9400</v>
      </c>
      <c r="F222" s="1">
        <f>IFERROR(VLOOKUP(B222,Petróleo!H:I,2,FALSE),"")</f>
        <v>4000</v>
      </c>
      <c r="G222" s="1">
        <f>IFERROR(VLOOKUP(B222,Petróleo!J:K,2,FALSE),"")</f>
        <v>2452.674</v>
      </c>
      <c r="H222" s="1">
        <f>IFERROR(VLOOKUP(B222,Petróleo!L:M,2,FALSE),"")</f>
        <v>1812</v>
      </c>
      <c r="I222" s="1">
        <f>IFERROR(VLOOKUP(B222,Petróleo!N:O,2,FALSE),"")</f>
        <v>2060</v>
      </c>
      <c r="J222" s="1">
        <f>IFERROR(VLOOKUP(B222,Petróleo!P:Q,2,FALSE),"")</f>
        <v>9315</v>
      </c>
      <c r="K222" s="1">
        <f>IFERROR(VLOOKUP(B222,Petróleo!R:S,2,FALSE),"")</f>
        <v>2510</v>
      </c>
      <c r="L222" s="1">
        <f>IFERROR(VLOOKUP(B222,Petróleo!T:U,2,FALSE),"")</f>
        <v>3811</v>
      </c>
      <c r="M222" s="8">
        <f>IFERROR(VLOOKUP(B222,Petróleo!X:Y,2,FALSE),"")</f>
        <v>32200</v>
      </c>
      <c r="N222" s="8">
        <f>IFERROR(VLOOKUP(B222,Petróleo!Z:AA,2,FALSE),"")</f>
        <v>9250</v>
      </c>
      <c r="O222" s="8">
        <f>IFERROR(VLOOKUP(B222,Petróleo!AB:AC,2,FALSE),"")</f>
        <v>2650</v>
      </c>
      <c r="P222" s="8">
        <f>IFERROR(VLOOKUP(B222,Petróleo!AD:AE,2,FALSE),"")</f>
        <v>3750</v>
      </c>
      <c r="Q222" s="8">
        <f>IFERROR(VLOOKUP(B222,Petróleo!AF:AG,2,FALSE),"")</f>
        <v>2490</v>
      </c>
      <c r="R222" s="8">
        <f>IFERROR(VLOOKUP(B222,Petróleo!AH:AI,2,FALSE),"")</f>
        <v>1735</v>
      </c>
      <c r="S222" s="8">
        <f>IFERROR(VLOOKUP(B222,Petróleo!AJ:AK,2,FALSE),"")</f>
        <v>1900</v>
      </c>
      <c r="T222" s="8">
        <f>IFERROR(VLOOKUP(B222,Petróleo!AL:AM,2,FALSE),"")</f>
        <v>2320</v>
      </c>
      <c r="U222" s="8">
        <f>IFERROR(VLOOKUP(B222,Petróleo!AN:AO,2,FALSE),"")</f>
        <v>2585</v>
      </c>
      <c r="V222" s="10" t="str">
        <f>IFERROR(VLOOKUP(A222,Petróleo!AR:AT,3,FALSE),"")</f>
        <v/>
      </c>
    </row>
    <row r="223" spans="1:22" x14ac:dyDescent="0.25">
      <c r="A223" s="9" t="str">
        <f t="shared" si="3"/>
        <v>62008</v>
      </c>
      <c r="B223" s="9">
        <v>39629</v>
      </c>
      <c r="C223" s="1">
        <f>IFERROR(VLOOKUP(B223,Petróleo!A:B,2,FALSE),"")</f>
        <v>5138</v>
      </c>
      <c r="D223" s="1">
        <f>IFERROR(VLOOKUP(B223,Estoque_US!D:E,2,FALSE),"")</f>
        <v>-6981</v>
      </c>
      <c r="E223" s="1">
        <f>IFERROR(VLOOKUP(B223,Petróleo!F:G,2,FALSE),"")</f>
        <v>9450</v>
      </c>
      <c r="F223" s="1">
        <f>IFERROR(VLOOKUP(B223,Petróleo!H:I,2,FALSE),"")</f>
        <v>4000</v>
      </c>
      <c r="G223" s="1">
        <f>IFERROR(VLOOKUP(B223,Petróleo!J:K,2,FALSE),"")</f>
        <v>2452.674</v>
      </c>
      <c r="H223" s="1">
        <f>IFERROR(VLOOKUP(B223,Petróleo!L:M,2,FALSE),"")</f>
        <v>1812</v>
      </c>
      <c r="I223" s="1">
        <f>IFERROR(VLOOKUP(B223,Petróleo!N:O,2,FALSE),"")</f>
        <v>2140</v>
      </c>
      <c r="J223" s="1">
        <f>IFERROR(VLOOKUP(B223,Petróleo!P:Q,2,FALSE),"")</f>
        <v>9334</v>
      </c>
      <c r="K223" s="1">
        <f>IFERROR(VLOOKUP(B223,Petróleo!R:S,2,FALSE),"")</f>
        <v>2510</v>
      </c>
      <c r="L223" s="1">
        <f>IFERROR(VLOOKUP(B223,Petróleo!T:U,2,FALSE),"")</f>
        <v>3884.3</v>
      </c>
      <c r="M223" s="8">
        <f>IFERROR(VLOOKUP(B223,Petróleo!X:Y,2,FALSE),"")</f>
        <v>32590</v>
      </c>
      <c r="N223" s="8">
        <f>IFERROR(VLOOKUP(B223,Petróleo!Z:AA,2,FALSE),"")</f>
        <v>9500</v>
      </c>
      <c r="O223" s="8">
        <f>IFERROR(VLOOKUP(B223,Petróleo!AB:AC,2,FALSE),"")</f>
        <v>2650</v>
      </c>
      <c r="P223" s="8">
        <f>IFERROR(VLOOKUP(B223,Petróleo!AD:AE,2,FALSE),"")</f>
        <v>3900</v>
      </c>
      <c r="Q223" s="8">
        <f>IFERROR(VLOOKUP(B223,Petróleo!AF:AG,2,FALSE),"")</f>
        <v>2490</v>
      </c>
      <c r="R223" s="8">
        <f>IFERROR(VLOOKUP(B223,Petróleo!AH:AI,2,FALSE),"")</f>
        <v>1735</v>
      </c>
      <c r="S223" s="8">
        <f>IFERROR(VLOOKUP(B223,Petróleo!AJ:AK,2,FALSE),"")</f>
        <v>1840</v>
      </c>
      <c r="T223" s="8">
        <f>IFERROR(VLOOKUP(B223,Petróleo!AL:AM,2,FALSE),"")</f>
        <v>2340</v>
      </c>
      <c r="U223" s="8">
        <f>IFERROR(VLOOKUP(B223,Petróleo!AN:AO,2,FALSE),"")</f>
        <v>2585</v>
      </c>
      <c r="V223" s="10" t="str">
        <f>IFERROR(VLOOKUP(A223,Petróleo!AR:AT,3,FALSE),"")</f>
        <v/>
      </c>
    </row>
    <row r="224" spans="1:22" x14ac:dyDescent="0.25">
      <c r="A224" s="9" t="str">
        <f t="shared" si="3"/>
        <v>72008</v>
      </c>
      <c r="B224" s="9">
        <v>39660</v>
      </c>
      <c r="C224" s="1">
        <f>IFERROR(VLOOKUP(B224,Petróleo!A:B,2,FALSE),"")</f>
        <v>5177</v>
      </c>
      <c r="D224" s="1">
        <f>IFERROR(VLOOKUP(B224,Estoque_US!D:E,2,FALSE),"")</f>
        <v>-4527</v>
      </c>
      <c r="E224" s="1">
        <f>IFERROR(VLOOKUP(B224,Petróleo!F:G,2,FALSE),"")</f>
        <v>9700</v>
      </c>
      <c r="F224" s="1">
        <f>IFERROR(VLOOKUP(B224,Petróleo!H:I,2,FALSE),"")</f>
        <v>4100</v>
      </c>
      <c r="G224" s="1">
        <f>IFERROR(VLOOKUP(B224,Petróleo!J:K,2,FALSE),"")</f>
        <v>2504.674</v>
      </c>
      <c r="H224" s="1">
        <f>IFERROR(VLOOKUP(B224,Petróleo!L:M,2,FALSE),"")</f>
        <v>1787</v>
      </c>
      <c r="I224" s="1">
        <f>IFERROR(VLOOKUP(B224,Petróleo!N:O,2,FALSE),"")</f>
        <v>2120</v>
      </c>
      <c r="J224" s="1">
        <f>IFERROR(VLOOKUP(B224,Petróleo!P:Q,2,FALSE),"")</f>
        <v>9344</v>
      </c>
      <c r="K224" s="1">
        <f>IFERROR(VLOOKUP(B224,Petróleo!R:S,2,FALSE),"")</f>
        <v>2510</v>
      </c>
      <c r="L224" s="1">
        <f>IFERROR(VLOOKUP(B224,Petróleo!T:U,2,FALSE),"")</f>
        <v>3807.9</v>
      </c>
      <c r="M224" s="8">
        <f>IFERROR(VLOOKUP(B224,Petróleo!X:Y,2,FALSE),"")</f>
        <v>32775</v>
      </c>
      <c r="N224" s="8">
        <f>IFERROR(VLOOKUP(B224,Petróleo!Z:AA,2,FALSE),"")</f>
        <v>9600</v>
      </c>
      <c r="O224" s="8">
        <f>IFERROR(VLOOKUP(B224,Petróleo!AB:AC,2,FALSE),"")</f>
        <v>2650</v>
      </c>
      <c r="P224" s="8">
        <f>IFERROR(VLOOKUP(B224,Petróleo!AD:AE,2,FALSE),"")</f>
        <v>3980</v>
      </c>
      <c r="Q224" s="8">
        <f>IFERROR(VLOOKUP(B224,Petróleo!AF:AG,2,FALSE),"")</f>
        <v>2460</v>
      </c>
      <c r="R224" s="8">
        <f>IFERROR(VLOOKUP(B224,Petróleo!AH:AI,2,FALSE),"")</f>
        <v>1650</v>
      </c>
      <c r="S224" s="8">
        <f>IFERROR(VLOOKUP(B224,Petróleo!AJ:AK,2,FALSE),"")</f>
        <v>1930</v>
      </c>
      <c r="T224" s="8">
        <f>IFERROR(VLOOKUP(B224,Petróleo!AL:AM,2,FALSE),"")</f>
        <v>2340</v>
      </c>
      <c r="U224" s="8">
        <f>IFERROR(VLOOKUP(B224,Petróleo!AN:AO,2,FALSE),"")</f>
        <v>2600</v>
      </c>
      <c r="V224" s="10" t="str">
        <f>IFERROR(VLOOKUP(A224,Petróleo!AR:AT,3,FALSE),"")</f>
        <v/>
      </c>
    </row>
    <row r="225" spans="1:22" x14ac:dyDescent="0.25">
      <c r="A225" s="9" t="str">
        <f t="shared" si="3"/>
        <v>82008</v>
      </c>
      <c r="B225" s="9">
        <v>39691</v>
      </c>
      <c r="C225" s="1">
        <f>IFERROR(VLOOKUP(B225,Petróleo!A:B,2,FALSE),"")</f>
        <v>5003</v>
      </c>
      <c r="D225" s="1">
        <f>IFERROR(VLOOKUP(B225,Estoque_US!D:E,2,FALSE),"")</f>
        <v>8613</v>
      </c>
      <c r="E225" s="1">
        <f>IFERROR(VLOOKUP(B225,Petróleo!F:G,2,FALSE),"")</f>
        <v>9600</v>
      </c>
      <c r="F225" s="1">
        <f>IFERROR(VLOOKUP(B225,Petróleo!H:I,2,FALSE),"")</f>
        <v>4100</v>
      </c>
      <c r="G225" s="1">
        <f>IFERROR(VLOOKUP(B225,Petróleo!J:K,2,FALSE),"")</f>
        <v>2456.1260000000002</v>
      </c>
      <c r="H225" s="1">
        <f>IFERROR(VLOOKUP(B225,Petróleo!L:M,2,FALSE),"")</f>
        <v>1712</v>
      </c>
      <c r="I225" s="1">
        <f>IFERROR(VLOOKUP(B225,Petróleo!N:O,2,FALSE),"")</f>
        <v>2216</v>
      </c>
      <c r="J225" s="1">
        <f>IFERROR(VLOOKUP(B225,Petróleo!P:Q,2,FALSE),"")</f>
        <v>9409</v>
      </c>
      <c r="K225" s="1">
        <f>IFERROR(VLOOKUP(B225,Petróleo!R:S,2,FALSE),"")</f>
        <v>2510</v>
      </c>
      <c r="L225" s="1">
        <f>IFERROR(VLOOKUP(B225,Petróleo!T:U,2,FALSE),"")</f>
        <v>3773.9</v>
      </c>
      <c r="M225" s="8">
        <f>IFERROR(VLOOKUP(B225,Petróleo!X:Y,2,FALSE),"")</f>
        <v>32615</v>
      </c>
      <c r="N225" s="8">
        <f>IFERROR(VLOOKUP(B225,Petróleo!Z:AA,2,FALSE),"")</f>
        <v>9500</v>
      </c>
      <c r="O225" s="8">
        <f>IFERROR(VLOOKUP(B225,Petróleo!AB:AC,2,FALSE),"")</f>
        <v>2660</v>
      </c>
      <c r="P225" s="8">
        <f>IFERROR(VLOOKUP(B225,Petróleo!AD:AE,2,FALSE),"")</f>
        <v>4080</v>
      </c>
      <c r="Q225" s="8">
        <f>IFERROR(VLOOKUP(B225,Petróleo!AF:AG,2,FALSE),"")</f>
        <v>2310</v>
      </c>
      <c r="R225" s="8">
        <f>IFERROR(VLOOKUP(B225,Petróleo!AH:AI,2,FALSE),"")</f>
        <v>1630</v>
      </c>
      <c r="S225" s="8">
        <f>IFERROR(VLOOKUP(B225,Petróleo!AJ:AK,2,FALSE),"")</f>
        <v>1940</v>
      </c>
      <c r="T225" s="8">
        <f>IFERROR(VLOOKUP(B225,Petróleo!AL:AM,2,FALSE),"")</f>
        <v>2360</v>
      </c>
      <c r="U225" s="8">
        <f>IFERROR(VLOOKUP(B225,Petróleo!AN:AO,2,FALSE),"")</f>
        <v>2600</v>
      </c>
      <c r="V225" s="10" t="str">
        <f>IFERROR(VLOOKUP(A225,Petróleo!AR:AT,3,FALSE),"")</f>
        <v/>
      </c>
    </row>
    <row r="226" spans="1:22" x14ac:dyDescent="0.25">
      <c r="A226" s="9" t="str">
        <f t="shared" si="3"/>
        <v>92008</v>
      </c>
      <c r="B226" s="9">
        <v>39721</v>
      </c>
      <c r="C226" s="1">
        <f>IFERROR(VLOOKUP(B226,Petróleo!A:B,2,FALSE),"")</f>
        <v>3974</v>
      </c>
      <c r="D226" s="1">
        <f>IFERROR(VLOOKUP(B226,Estoque_US!D:E,2,FALSE),"")</f>
        <v>-9398</v>
      </c>
      <c r="E226" s="1">
        <f>IFERROR(VLOOKUP(B226,Petróleo!F:G,2,FALSE),"")</f>
        <v>9400</v>
      </c>
      <c r="F226" s="1">
        <f>IFERROR(VLOOKUP(B226,Petróleo!H:I,2,FALSE),"")</f>
        <v>4100</v>
      </c>
      <c r="G226" s="1">
        <f>IFERROR(VLOOKUP(B226,Petróleo!J:K,2,FALSE),"")</f>
        <v>2327.578</v>
      </c>
      <c r="H226" s="1">
        <f>IFERROR(VLOOKUP(B226,Petróleo!L:M,2,FALSE),"")</f>
        <v>1812</v>
      </c>
      <c r="I226" s="1">
        <f>IFERROR(VLOOKUP(B226,Petróleo!N:O,2,FALSE),"")</f>
        <v>2210</v>
      </c>
      <c r="J226" s="1">
        <f>IFERROR(VLOOKUP(B226,Petróleo!P:Q,2,FALSE),"")</f>
        <v>9405.7999999999993</v>
      </c>
      <c r="K226" s="1">
        <f>IFERROR(VLOOKUP(B226,Petróleo!R:S,2,FALSE),"")</f>
        <v>2510</v>
      </c>
      <c r="L226" s="1">
        <f>IFERROR(VLOOKUP(B226,Petróleo!T:U,2,FALSE),"")</f>
        <v>3787.6</v>
      </c>
      <c r="M226" s="8">
        <f>IFERROR(VLOOKUP(B226,Petróleo!X:Y,2,FALSE),"")</f>
        <v>32250</v>
      </c>
      <c r="N226" s="8">
        <f>IFERROR(VLOOKUP(B226,Petróleo!Z:AA,2,FALSE),"")</f>
        <v>9450</v>
      </c>
      <c r="O226" s="8">
        <f>IFERROR(VLOOKUP(B226,Petróleo!AB:AC,2,FALSE),"")</f>
        <v>2650</v>
      </c>
      <c r="P226" s="8">
        <f>IFERROR(VLOOKUP(B226,Petróleo!AD:AE,2,FALSE),"")</f>
        <v>3950</v>
      </c>
      <c r="Q226" s="8">
        <f>IFERROR(VLOOKUP(B226,Petróleo!AF:AG,2,FALSE),"")</f>
        <v>2165</v>
      </c>
      <c r="R226" s="8">
        <f>IFERROR(VLOOKUP(B226,Petróleo!AH:AI,2,FALSE),"")</f>
        <v>1720</v>
      </c>
      <c r="S226" s="8">
        <f>IFERROR(VLOOKUP(B226,Petróleo!AJ:AK,2,FALSE),"")</f>
        <v>1940</v>
      </c>
      <c r="T226" s="8">
        <f>IFERROR(VLOOKUP(B226,Petróleo!AL:AM,2,FALSE),"")</f>
        <v>2360</v>
      </c>
      <c r="U226" s="8">
        <f>IFERROR(VLOOKUP(B226,Petróleo!AN:AO,2,FALSE),"")</f>
        <v>2580</v>
      </c>
      <c r="V226" s="10" t="str">
        <f>IFERROR(VLOOKUP(A226,Petróleo!AR:AT,3,FALSE),"")</f>
        <v/>
      </c>
    </row>
    <row r="227" spans="1:22" x14ac:dyDescent="0.25">
      <c r="A227" s="9" t="str">
        <f t="shared" si="3"/>
        <v>102008</v>
      </c>
      <c r="B227" s="9">
        <v>39752</v>
      </c>
      <c r="C227" s="1">
        <f>IFERROR(VLOOKUP(B227,Petróleo!A:B,2,FALSE),"")</f>
        <v>4738</v>
      </c>
      <c r="D227" s="1">
        <f>IFERROR(VLOOKUP(B227,Estoque_US!D:E,2,FALSE),"")</f>
        <v>17463</v>
      </c>
      <c r="E227" s="1">
        <f>IFERROR(VLOOKUP(B227,Petróleo!F:G,2,FALSE),"")</f>
        <v>9400</v>
      </c>
      <c r="F227" s="1">
        <f>IFERROR(VLOOKUP(B227,Petróleo!H:I,2,FALSE),"")</f>
        <v>4100</v>
      </c>
      <c r="G227" s="1">
        <f>IFERROR(VLOOKUP(B227,Petróleo!J:K,2,FALSE),"")</f>
        <v>2327.578</v>
      </c>
      <c r="H227" s="1">
        <f>IFERROR(VLOOKUP(B227,Petróleo!L:M,2,FALSE),"")</f>
        <v>1812</v>
      </c>
      <c r="I227" s="1">
        <f>IFERROR(VLOOKUP(B227,Petróleo!N:O,2,FALSE),"")</f>
        <v>2185</v>
      </c>
      <c r="J227" s="1">
        <f>IFERROR(VLOOKUP(B227,Petróleo!P:Q,2,FALSE),"")</f>
        <v>9430</v>
      </c>
      <c r="K227" s="1">
        <f>IFERROR(VLOOKUP(B227,Petróleo!R:S,2,FALSE),"")</f>
        <v>2510</v>
      </c>
      <c r="L227" s="1">
        <f>IFERROR(VLOOKUP(B227,Petróleo!T:U,2,FALSE),"")</f>
        <v>3850.2</v>
      </c>
      <c r="M227" s="8">
        <f>IFERROR(VLOOKUP(B227,Petróleo!X:Y,2,FALSE),"")</f>
        <v>32075</v>
      </c>
      <c r="N227" s="8">
        <f>IFERROR(VLOOKUP(B227,Petróleo!Z:AA,2,FALSE),"")</f>
        <v>9350</v>
      </c>
      <c r="O227" s="8">
        <f>IFERROR(VLOOKUP(B227,Petróleo!AB:AC,2,FALSE),"")</f>
        <v>2520</v>
      </c>
      <c r="P227" s="8">
        <f>IFERROR(VLOOKUP(B227,Petróleo!AD:AE,2,FALSE),"")</f>
        <v>3900</v>
      </c>
      <c r="Q227" s="8">
        <f>IFERROR(VLOOKUP(B227,Petróleo!AF:AG,2,FALSE),"")</f>
        <v>2260</v>
      </c>
      <c r="R227" s="8">
        <f>IFERROR(VLOOKUP(B227,Petróleo!AH:AI,2,FALSE),"")</f>
        <v>1720</v>
      </c>
      <c r="S227" s="8">
        <f>IFERROR(VLOOKUP(B227,Petróleo!AJ:AK,2,FALSE),"")</f>
        <v>1920</v>
      </c>
      <c r="T227" s="8">
        <f>IFERROR(VLOOKUP(B227,Petróleo!AL:AM,2,FALSE),"")</f>
        <v>2350</v>
      </c>
      <c r="U227" s="8">
        <f>IFERROR(VLOOKUP(B227,Petróleo!AN:AO,2,FALSE),"")</f>
        <v>2600</v>
      </c>
      <c r="V227" s="10" t="str">
        <f>IFERROR(VLOOKUP(A227,Petróleo!AR:AT,3,FALSE),"")</f>
        <v/>
      </c>
    </row>
    <row r="228" spans="1:22" x14ac:dyDescent="0.25">
      <c r="A228" s="9" t="str">
        <f t="shared" si="3"/>
        <v>112008</v>
      </c>
      <c r="B228" s="9">
        <v>39782</v>
      </c>
      <c r="C228" s="1">
        <f>IFERROR(VLOOKUP(B228,Petróleo!A:B,2,FALSE),"")</f>
        <v>5078</v>
      </c>
      <c r="D228" s="1">
        <f>IFERROR(VLOOKUP(B228,Estoque_US!D:E,2,FALSE),"")</f>
        <v>8445</v>
      </c>
      <c r="E228" s="1">
        <f>IFERROR(VLOOKUP(B228,Petróleo!F:G,2,FALSE),"")</f>
        <v>8958.7909999999993</v>
      </c>
      <c r="F228" s="1">
        <f>IFERROR(VLOOKUP(B228,Petróleo!H:I,2,FALSE),"")</f>
        <v>4100</v>
      </c>
      <c r="G228" s="1">
        <f>IFERROR(VLOOKUP(B228,Petróleo!J:K,2,FALSE),"")</f>
        <v>2358.9830000000002</v>
      </c>
      <c r="H228" s="1">
        <f>IFERROR(VLOOKUP(B228,Petróleo!L:M,2,FALSE),"")</f>
        <v>1767</v>
      </c>
      <c r="I228" s="1">
        <f>IFERROR(VLOOKUP(B228,Petróleo!N:O,2,FALSE),"")</f>
        <v>2180</v>
      </c>
      <c r="J228" s="1">
        <f>IFERROR(VLOOKUP(B228,Petróleo!P:Q,2,FALSE),"")</f>
        <v>9359.1</v>
      </c>
      <c r="K228" s="1">
        <f>IFERROR(VLOOKUP(B228,Petróleo!R:S,2,FALSE),"")</f>
        <v>2510</v>
      </c>
      <c r="L228" s="1">
        <f>IFERROR(VLOOKUP(B228,Petróleo!T:U,2,FALSE),"")</f>
        <v>3859.2</v>
      </c>
      <c r="M228" s="8">
        <f>IFERROR(VLOOKUP(B228,Petróleo!X:Y,2,FALSE),"")</f>
        <v>31110</v>
      </c>
      <c r="N228" s="8">
        <f>IFERROR(VLOOKUP(B228,Petróleo!Z:AA,2,FALSE),"")</f>
        <v>8800</v>
      </c>
      <c r="O228" s="8">
        <f>IFERROR(VLOOKUP(B228,Petróleo!AB:AC,2,FALSE),"")</f>
        <v>2350</v>
      </c>
      <c r="P228" s="8">
        <f>IFERROR(VLOOKUP(B228,Petróleo!AD:AE,2,FALSE),"")</f>
        <v>3820</v>
      </c>
      <c r="Q228" s="8">
        <f>IFERROR(VLOOKUP(B228,Petróleo!AF:AG,2,FALSE),"")</f>
        <v>2320</v>
      </c>
      <c r="R228" s="8">
        <f>IFERROR(VLOOKUP(B228,Petróleo!AH:AI,2,FALSE),"")</f>
        <v>1710</v>
      </c>
      <c r="S228" s="8">
        <f>IFERROR(VLOOKUP(B228,Petróleo!AJ:AK,2,FALSE),"")</f>
        <v>1880</v>
      </c>
      <c r="T228" s="8">
        <f>IFERROR(VLOOKUP(B228,Petróleo!AL:AM,2,FALSE),"")</f>
        <v>2330</v>
      </c>
      <c r="U228" s="8">
        <f>IFERROR(VLOOKUP(B228,Petróleo!AN:AO,2,FALSE),"")</f>
        <v>2550</v>
      </c>
      <c r="V228" s="10" t="str">
        <f>IFERROR(VLOOKUP(A228,Petróleo!AR:AT,3,FALSE),"")</f>
        <v/>
      </c>
    </row>
    <row r="229" spans="1:22" x14ac:dyDescent="0.25">
      <c r="A229" s="9" t="str">
        <f t="shared" si="3"/>
        <v>122008</v>
      </c>
      <c r="B229" s="9">
        <v>39813</v>
      </c>
      <c r="C229" s="1">
        <f>IFERROR(VLOOKUP(B229,Petróleo!A:B,2,FALSE),"")</f>
        <v>5103</v>
      </c>
      <c r="D229" s="1">
        <f>IFERROR(VLOOKUP(B229,Estoque_US!D:E,2,FALSE),"")</f>
        <v>-1635</v>
      </c>
      <c r="E229" s="1">
        <f>IFERROR(VLOOKUP(B229,Petróleo!F:G,2,FALSE),"")</f>
        <v>8517.875</v>
      </c>
      <c r="F229" s="1">
        <f>IFERROR(VLOOKUP(B229,Petróleo!H:I,2,FALSE),"")</f>
        <v>4100</v>
      </c>
      <c r="G229" s="1">
        <f>IFERROR(VLOOKUP(B229,Petróleo!J:K,2,FALSE),"")</f>
        <v>2360.4349999999999</v>
      </c>
      <c r="H229" s="1">
        <f>IFERROR(VLOOKUP(B229,Petróleo!L:M,2,FALSE),"")</f>
        <v>1717</v>
      </c>
      <c r="I229" s="1">
        <f>IFERROR(VLOOKUP(B229,Petróleo!N:O,2,FALSE),"")</f>
        <v>2080</v>
      </c>
      <c r="J229" s="1">
        <f>IFERROR(VLOOKUP(B229,Petróleo!P:Q,2,FALSE),"")</f>
        <v>9332.7999999999993</v>
      </c>
      <c r="K229" s="1">
        <f>IFERROR(VLOOKUP(B229,Petróleo!R:S,2,FALSE),"")</f>
        <v>2510</v>
      </c>
      <c r="L229" s="1">
        <f>IFERROR(VLOOKUP(B229,Petróleo!T:U,2,FALSE),"")</f>
        <v>3698.6</v>
      </c>
      <c r="M229" s="8">
        <f>IFERROR(VLOOKUP(B229,Petróleo!X:Y,2,FALSE),"")</f>
        <v>29615</v>
      </c>
      <c r="N229" s="8">
        <f>IFERROR(VLOOKUP(B229,Petróleo!Z:AA,2,FALSE),"")</f>
        <v>8400</v>
      </c>
      <c r="O229" s="8">
        <f>IFERROR(VLOOKUP(B229,Petróleo!AB:AC,2,FALSE),"")</f>
        <v>2350</v>
      </c>
      <c r="P229" s="8">
        <f>IFERROR(VLOOKUP(B229,Petróleo!AD:AE,2,FALSE),"")</f>
        <v>3850</v>
      </c>
      <c r="Q229" s="8">
        <f>IFERROR(VLOOKUP(B229,Petróleo!AF:AG,2,FALSE),"")</f>
        <v>2345</v>
      </c>
      <c r="R229" s="8">
        <f>IFERROR(VLOOKUP(B229,Petróleo!AH:AI,2,FALSE),"")</f>
        <v>1660</v>
      </c>
      <c r="S229" s="8">
        <f>IFERROR(VLOOKUP(B229,Petróleo!AJ:AK,2,FALSE),"")</f>
        <v>1900</v>
      </c>
      <c r="T229" s="8">
        <f>IFERROR(VLOOKUP(B229,Petróleo!AL:AM,2,FALSE),"")</f>
        <v>2320</v>
      </c>
      <c r="U229" s="8">
        <f>IFERROR(VLOOKUP(B229,Petróleo!AN:AO,2,FALSE),"")</f>
        <v>2350</v>
      </c>
      <c r="V229" s="10" t="str">
        <f>IFERROR(VLOOKUP(A229,Petróleo!AR:AT,3,FALSE),"")</f>
        <v/>
      </c>
    </row>
    <row r="230" spans="1:22" x14ac:dyDescent="0.25">
      <c r="A230" s="9" t="str">
        <f t="shared" si="3"/>
        <v>12009</v>
      </c>
      <c r="B230" s="9">
        <v>39844</v>
      </c>
      <c r="C230" s="1">
        <f>IFERROR(VLOOKUP(B230,Petróleo!A:B,2,FALSE),"")</f>
        <v>5144</v>
      </c>
      <c r="D230" s="1">
        <f>IFERROR(VLOOKUP(B230,Estoque_US!D:E,2,FALSE),"")</f>
        <v>27314</v>
      </c>
      <c r="E230" s="1">
        <f>IFERROR(VLOOKUP(B230,Petróleo!F:G,2,FALSE),"")</f>
        <v>8113.3329999999996</v>
      </c>
      <c r="F230" s="1">
        <f>IFERROR(VLOOKUP(B230,Petróleo!H:I,2,FALSE),"")</f>
        <v>4007</v>
      </c>
      <c r="G230" s="1">
        <f>IFERROR(VLOOKUP(B230,Petróleo!J:K,2,FALSE),"")</f>
        <v>2212</v>
      </c>
      <c r="H230" s="1">
        <f>IFERROR(VLOOKUP(B230,Petróleo!L:M,2,FALSE),"")</f>
        <v>1705</v>
      </c>
      <c r="I230" s="1">
        <f>IFERROR(VLOOKUP(B230,Petróleo!N:O,2,FALSE),"")</f>
        <v>2192</v>
      </c>
      <c r="J230" s="1">
        <f>IFERROR(VLOOKUP(B230,Petróleo!P:Q,2,FALSE),"")</f>
        <v>9343</v>
      </c>
      <c r="K230" s="1">
        <f>IFERROR(VLOOKUP(B230,Petróleo!R:S,2,FALSE),"")</f>
        <v>2520</v>
      </c>
      <c r="L230" s="1">
        <f>IFERROR(VLOOKUP(B230,Petróleo!T:U,2,FALSE),"")</f>
        <v>3755.3</v>
      </c>
      <c r="M230" s="8">
        <f>IFERROR(VLOOKUP(B230,Petróleo!X:Y,2,FALSE),"")</f>
        <v>28545</v>
      </c>
      <c r="N230" s="8">
        <f>IFERROR(VLOOKUP(B230,Petróleo!Z:AA,2,FALSE),"")</f>
        <v>8025</v>
      </c>
      <c r="O230" s="8">
        <f>IFERROR(VLOOKUP(B230,Petróleo!AB:AC,2,FALSE),"")</f>
        <v>2290</v>
      </c>
      <c r="P230" s="8">
        <f>IFERROR(VLOOKUP(B230,Petróleo!AD:AE,2,FALSE),"")</f>
        <v>3780</v>
      </c>
      <c r="Q230" s="8">
        <f>IFERROR(VLOOKUP(B230,Petróleo!AF:AG,2,FALSE),"")</f>
        <v>2365</v>
      </c>
      <c r="R230" s="8">
        <f>IFERROR(VLOOKUP(B230,Petróleo!AH:AI,2,FALSE),"")</f>
        <v>1630</v>
      </c>
      <c r="S230" s="8">
        <f>IFERROR(VLOOKUP(B230,Petróleo!AJ:AK,2,FALSE),"")</f>
        <v>1810</v>
      </c>
      <c r="T230" s="8">
        <f>IFERROR(VLOOKUP(B230,Petróleo!AL:AM,2,FALSE),"")</f>
        <v>2150</v>
      </c>
      <c r="U230" s="8">
        <f>IFERROR(VLOOKUP(B230,Petróleo!AN:AO,2,FALSE),"")</f>
        <v>2280</v>
      </c>
      <c r="V230" s="10" t="str">
        <f>IFERROR(VLOOKUP(A230,Petróleo!AR:AT,3,FALSE),"")</f>
        <v/>
      </c>
    </row>
    <row r="231" spans="1:22" x14ac:dyDescent="0.25">
      <c r="A231" s="9" t="str">
        <f t="shared" si="3"/>
        <v>22009</v>
      </c>
      <c r="B231" s="9">
        <v>39872</v>
      </c>
      <c r="C231" s="1">
        <f>IFERROR(VLOOKUP(B231,Petróleo!A:B,2,FALSE),"")</f>
        <v>5239</v>
      </c>
      <c r="D231" s="1">
        <f>IFERROR(VLOOKUP(B231,Estoque_US!D:E,2,FALSE),"")</f>
        <v>4539</v>
      </c>
      <c r="E231" s="1">
        <f>IFERROR(VLOOKUP(B231,Petróleo!F:G,2,FALSE),"")</f>
        <v>8067.875</v>
      </c>
      <c r="F231" s="1">
        <f>IFERROR(VLOOKUP(B231,Petróleo!H:I,2,FALSE),"")</f>
        <v>3963.4810000000002</v>
      </c>
      <c r="G231" s="1">
        <f>IFERROR(VLOOKUP(B231,Petróleo!J:K,2,FALSE),"")</f>
        <v>2313.2919999999999</v>
      </c>
      <c r="H231" s="1">
        <f>IFERROR(VLOOKUP(B231,Petróleo!L:M,2,FALSE),"")</f>
        <v>1705</v>
      </c>
      <c r="I231" s="1">
        <f>IFERROR(VLOOKUP(B231,Petróleo!N:O,2,FALSE),"")</f>
        <v>2161.94</v>
      </c>
      <c r="J231" s="1">
        <f>IFERROR(VLOOKUP(B231,Petróleo!P:Q,2,FALSE),"")</f>
        <v>9331</v>
      </c>
      <c r="K231" s="1">
        <f>IFERROR(VLOOKUP(B231,Petróleo!R:S,2,FALSE),"")</f>
        <v>2520</v>
      </c>
      <c r="L231" s="1">
        <f>IFERROR(VLOOKUP(B231,Petróleo!T:U,2,FALSE),"")</f>
        <v>3733</v>
      </c>
      <c r="M231" s="8">
        <f>IFERROR(VLOOKUP(B231,Petróleo!X:Y,2,FALSE),"")</f>
        <v>27740</v>
      </c>
      <c r="N231" s="8">
        <f>IFERROR(VLOOKUP(B231,Petróleo!Z:AA,2,FALSE),"")</f>
        <v>7860</v>
      </c>
      <c r="O231" s="8">
        <f>IFERROR(VLOOKUP(B231,Petróleo!AB:AC,2,FALSE),"")</f>
        <v>2210</v>
      </c>
      <c r="P231" s="8">
        <f>IFERROR(VLOOKUP(B231,Petróleo!AD:AE,2,FALSE),"")</f>
        <v>3690</v>
      </c>
      <c r="Q231" s="8">
        <f>IFERROR(VLOOKUP(B231,Petróleo!AF:AG,2,FALSE),"")</f>
        <v>2385</v>
      </c>
      <c r="R231" s="8">
        <f>IFERROR(VLOOKUP(B231,Petróleo!AH:AI,2,FALSE),"")</f>
        <v>1550</v>
      </c>
      <c r="S231" s="8">
        <f>IFERROR(VLOOKUP(B231,Petróleo!AJ:AK,2,FALSE),"")</f>
        <v>1785</v>
      </c>
      <c r="T231" s="8">
        <f>IFERROR(VLOOKUP(B231,Petróleo!AL:AM,2,FALSE),"")</f>
        <v>2065</v>
      </c>
      <c r="U231" s="8">
        <f>IFERROR(VLOOKUP(B231,Petróleo!AN:AO,2,FALSE),"")</f>
        <v>2140</v>
      </c>
      <c r="V231" s="10" t="str">
        <f>IFERROR(VLOOKUP(A231,Petróleo!AR:AT,3,FALSE),"")</f>
        <v/>
      </c>
    </row>
    <row r="232" spans="1:22" x14ac:dyDescent="0.25">
      <c r="A232" s="9" t="str">
        <f t="shared" si="3"/>
        <v>32009</v>
      </c>
      <c r="B232" s="9">
        <v>39903</v>
      </c>
      <c r="C232" s="1">
        <f>IFERROR(VLOOKUP(B232,Petróleo!A:B,2,FALSE),"")</f>
        <v>5219</v>
      </c>
      <c r="D232" s="1">
        <f>IFERROR(VLOOKUP(B232,Estoque_US!D:E,2,FALSE),"")</f>
        <v>8837</v>
      </c>
      <c r="E232" s="1">
        <f>IFERROR(VLOOKUP(B232,Petróleo!F:G,2,FALSE),"")</f>
        <v>8072.4179999999997</v>
      </c>
      <c r="F232" s="1">
        <f>IFERROR(VLOOKUP(B232,Petróleo!H:I,2,FALSE),"")</f>
        <v>3970.3310000000001</v>
      </c>
      <c r="G232" s="1">
        <f>IFERROR(VLOOKUP(B232,Petróleo!J:K,2,FALSE),"")</f>
        <v>2364.7440000000001</v>
      </c>
      <c r="H232" s="1">
        <f>IFERROR(VLOOKUP(B232,Petróleo!L:M,2,FALSE),"")</f>
        <v>1705</v>
      </c>
      <c r="I232" s="1">
        <f>IFERROR(VLOOKUP(B232,Petróleo!N:O,2,FALSE),"")</f>
        <v>2060</v>
      </c>
      <c r="J232" s="1">
        <f>IFERROR(VLOOKUP(B232,Petróleo!P:Q,2,FALSE),"")</f>
        <v>9388</v>
      </c>
      <c r="K232" s="1">
        <f>IFERROR(VLOOKUP(B232,Petróleo!R:S,2,FALSE),"")</f>
        <v>2520</v>
      </c>
      <c r="L232" s="1">
        <f>IFERROR(VLOOKUP(B232,Petróleo!T:U,2,FALSE),"")</f>
        <v>3726.1</v>
      </c>
      <c r="M232" s="8">
        <f>IFERROR(VLOOKUP(B232,Petróleo!X:Y,2,FALSE),"")</f>
        <v>27665</v>
      </c>
      <c r="N232" s="8">
        <f>IFERROR(VLOOKUP(B232,Petróleo!Z:AA,2,FALSE),"")</f>
        <v>7950</v>
      </c>
      <c r="O232" s="8">
        <f>IFERROR(VLOOKUP(B232,Petróleo!AB:AC,2,FALSE),"")</f>
        <v>2200</v>
      </c>
      <c r="P232" s="8">
        <f>IFERROR(VLOOKUP(B232,Petróleo!AD:AE,2,FALSE),"")</f>
        <v>3620</v>
      </c>
      <c r="Q232" s="8">
        <f>IFERROR(VLOOKUP(B232,Petróleo!AF:AG,2,FALSE),"")</f>
        <v>2335</v>
      </c>
      <c r="R232" s="8">
        <f>IFERROR(VLOOKUP(B232,Petróleo!AH:AI,2,FALSE),"")</f>
        <v>1515</v>
      </c>
      <c r="S232" s="8">
        <f>IFERROR(VLOOKUP(B232,Petróleo!AJ:AK,2,FALSE),"")</f>
        <v>1790</v>
      </c>
      <c r="T232" s="8">
        <f>IFERROR(VLOOKUP(B232,Petróleo!AL:AM,2,FALSE),"")</f>
        <v>2150</v>
      </c>
      <c r="U232" s="8">
        <f>IFERROR(VLOOKUP(B232,Petróleo!AN:AO,2,FALSE),"")</f>
        <v>2115</v>
      </c>
      <c r="V232" s="10" t="str">
        <f>IFERROR(VLOOKUP(A232,Petróleo!AR:AT,3,FALSE),"")</f>
        <v/>
      </c>
    </row>
    <row r="233" spans="1:22" x14ac:dyDescent="0.25">
      <c r="A233" s="9" t="str">
        <f t="shared" si="3"/>
        <v>42009</v>
      </c>
      <c r="B233" s="9">
        <v>39933</v>
      </c>
      <c r="C233" s="1">
        <f>IFERROR(VLOOKUP(B233,Petróleo!A:B,2,FALSE),"")</f>
        <v>5278</v>
      </c>
      <c r="D233" s="1">
        <f>IFERROR(VLOOKUP(B233,Estoque_US!D:E,2,FALSE),"")</f>
        <v>15226</v>
      </c>
      <c r="E233" s="1">
        <f>IFERROR(VLOOKUP(B233,Petróleo!F:G,2,FALSE),"")</f>
        <v>8076.52</v>
      </c>
      <c r="F233" s="1">
        <f>IFERROR(VLOOKUP(B233,Petróleo!H:I,2,FALSE),"")</f>
        <v>4029.5880000000002</v>
      </c>
      <c r="G233" s="1">
        <f>IFERROR(VLOOKUP(B233,Petróleo!J:K,2,FALSE),"")</f>
        <v>2366.056</v>
      </c>
      <c r="H233" s="1">
        <f>IFERROR(VLOOKUP(B233,Petróleo!L:M,2,FALSE),"")</f>
        <v>1705</v>
      </c>
      <c r="I233" s="1">
        <f>IFERROR(VLOOKUP(B233,Petróleo!N:O,2,FALSE),"")</f>
        <v>2217.21</v>
      </c>
      <c r="J233" s="1">
        <f>IFERROR(VLOOKUP(B233,Petróleo!P:Q,2,FALSE),"")</f>
        <v>9459</v>
      </c>
      <c r="K233" s="1">
        <f>IFERROR(VLOOKUP(B233,Petróleo!R:S,2,FALSE),"")</f>
        <v>2520</v>
      </c>
      <c r="L233" s="1">
        <f>IFERROR(VLOOKUP(B233,Petróleo!T:U,2,FALSE),"")</f>
        <v>3794.5</v>
      </c>
      <c r="M233" s="8">
        <f>IFERROR(VLOOKUP(B233,Petróleo!X:Y,2,FALSE),"")</f>
        <v>27745</v>
      </c>
      <c r="N233" s="8">
        <f>IFERROR(VLOOKUP(B233,Petróleo!Z:AA,2,FALSE),"")</f>
        <v>7925</v>
      </c>
      <c r="O233" s="8">
        <f>IFERROR(VLOOKUP(B233,Petróleo!AB:AC,2,FALSE),"")</f>
        <v>2160</v>
      </c>
      <c r="P233" s="8">
        <f>IFERROR(VLOOKUP(B233,Petróleo!AD:AE,2,FALSE),"")</f>
        <v>3700</v>
      </c>
      <c r="Q233" s="8">
        <f>IFERROR(VLOOKUP(B233,Petróleo!AF:AG,2,FALSE),"")</f>
        <v>2325</v>
      </c>
      <c r="R233" s="8">
        <f>IFERROR(VLOOKUP(B233,Petróleo!AH:AI,2,FALSE),"")</f>
        <v>1505</v>
      </c>
      <c r="S233" s="8">
        <f>IFERROR(VLOOKUP(B233,Petróleo!AJ:AK,2,FALSE),"")</f>
        <v>1840</v>
      </c>
      <c r="T233" s="8">
        <f>IFERROR(VLOOKUP(B233,Petróleo!AL:AM,2,FALSE),"")</f>
        <v>2125</v>
      </c>
      <c r="U233" s="8">
        <f>IFERROR(VLOOKUP(B233,Petróleo!AN:AO,2,FALSE),"")</f>
        <v>2095</v>
      </c>
      <c r="V233" s="10" t="str">
        <f>IFERROR(VLOOKUP(A233,Petróleo!AR:AT,3,FALSE),"")</f>
        <v/>
      </c>
    </row>
    <row r="234" spans="1:22" x14ac:dyDescent="0.25">
      <c r="A234" s="9" t="str">
        <f t="shared" si="3"/>
        <v>52009</v>
      </c>
      <c r="B234" s="9">
        <v>39964</v>
      </c>
      <c r="C234" s="1">
        <f>IFERROR(VLOOKUP(B234,Petróleo!A:B,2,FALSE),"")</f>
        <v>5377</v>
      </c>
      <c r="D234" s="1">
        <f>IFERROR(VLOOKUP(B234,Estoque_US!D:E,2,FALSE),"")</f>
        <v>-8676</v>
      </c>
      <c r="E234" s="1">
        <f>IFERROR(VLOOKUP(B234,Petróleo!F:G,2,FALSE),"")</f>
        <v>8081.0619999999999</v>
      </c>
      <c r="F234" s="1">
        <f>IFERROR(VLOOKUP(B234,Petróleo!H:I,2,FALSE),"")</f>
        <v>4043.5149999999999</v>
      </c>
      <c r="G234" s="1">
        <f>IFERROR(VLOOKUP(B234,Petróleo!J:K,2,FALSE),"")</f>
        <v>2417.5079999999998</v>
      </c>
      <c r="H234" s="1">
        <f>IFERROR(VLOOKUP(B234,Petróleo!L:M,2,FALSE),"")</f>
        <v>1705</v>
      </c>
      <c r="I234" s="1">
        <f>IFERROR(VLOOKUP(B234,Petróleo!N:O,2,FALSE),"")</f>
        <v>2212.0859999999998</v>
      </c>
      <c r="J234" s="1">
        <f>IFERROR(VLOOKUP(B234,Petróleo!P:Q,2,FALSE),"")</f>
        <v>9428.7000000000007</v>
      </c>
      <c r="K234" s="1">
        <f>IFERROR(VLOOKUP(B234,Petróleo!R:S,2,FALSE),"")</f>
        <v>2520</v>
      </c>
      <c r="L234" s="1">
        <f>IFERROR(VLOOKUP(B234,Petróleo!T:U,2,FALSE),"")</f>
        <v>3775.2</v>
      </c>
      <c r="M234" s="8">
        <f>IFERROR(VLOOKUP(B234,Petróleo!X:Y,2,FALSE),"")</f>
        <v>28175</v>
      </c>
      <c r="N234" s="8">
        <f>IFERROR(VLOOKUP(B234,Petróleo!Z:AA,2,FALSE),"")</f>
        <v>8000</v>
      </c>
      <c r="O234" s="8">
        <f>IFERROR(VLOOKUP(B234,Petróleo!AB:AC,2,FALSE),"")</f>
        <v>2200</v>
      </c>
      <c r="P234" s="8">
        <f>IFERROR(VLOOKUP(B234,Petróleo!AD:AE,2,FALSE),"")</f>
        <v>3780</v>
      </c>
      <c r="Q234" s="8">
        <f>IFERROR(VLOOKUP(B234,Petróleo!AF:AG,2,FALSE),"")</f>
        <v>2390</v>
      </c>
      <c r="R234" s="8">
        <f>IFERROR(VLOOKUP(B234,Petróleo!AH:AI,2,FALSE),"")</f>
        <v>1520</v>
      </c>
      <c r="S234" s="8">
        <f>IFERROR(VLOOKUP(B234,Petróleo!AJ:AK,2,FALSE),"")</f>
        <v>1825</v>
      </c>
      <c r="T234" s="8">
        <f>IFERROR(VLOOKUP(B234,Petróleo!AL:AM,2,FALSE),"")</f>
        <v>2180</v>
      </c>
      <c r="U234" s="8">
        <f>IFERROR(VLOOKUP(B234,Petróleo!AN:AO,2,FALSE),"")</f>
        <v>2150</v>
      </c>
      <c r="V234" s="10" t="str">
        <f>IFERROR(VLOOKUP(A234,Petróleo!AR:AT,3,FALSE),"")</f>
        <v/>
      </c>
    </row>
    <row r="235" spans="1:22" x14ac:dyDescent="0.25">
      <c r="A235" s="9" t="str">
        <f t="shared" si="3"/>
        <v>62009</v>
      </c>
      <c r="B235" s="9">
        <v>39994</v>
      </c>
      <c r="C235" s="1">
        <f>IFERROR(VLOOKUP(B235,Petróleo!A:B,2,FALSE),"")</f>
        <v>5269</v>
      </c>
      <c r="D235" s="1">
        <f>IFERROR(VLOOKUP(B235,Estoque_US!D:E,2,FALSE),"")</f>
        <v>-15784</v>
      </c>
      <c r="E235" s="1">
        <f>IFERROR(VLOOKUP(B235,Petróleo!F:G,2,FALSE),"")</f>
        <v>8335.4580000000005</v>
      </c>
      <c r="F235" s="1">
        <f>IFERROR(VLOOKUP(B235,Petróleo!H:I,2,FALSE),"")</f>
        <v>4049.7530000000002</v>
      </c>
      <c r="G235" s="1">
        <f>IFERROR(VLOOKUP(B235,Petróleo!J:K,2,FALSE),"")</f>
        <v>2418.913</v>
      </c>
      <c r="H235" s="1">
        <f>IFERROR(VLOOKUP(B235,Petróleo!L:M,2,FALSE),"")</f>
        <v>1705</v>
      </c>
      <c r="I235" s="1">
        <f>IFERROR(VLOOKUP(B235,Petróleo!N:O,2,FALSE),"")</f>
        <v>2059.2959999999998</v>
      </c>
      <c r="J235" s="1">
        <f>IFERROR(VLOOKUP(B235,Petróleo!P:Q,2,FALSE),"")</f>
        <v>9457.1</v>
      </c>
      <c r="K235" s="1">
        <f>IFERROR(VLOOKUP(B235,Petróleo!R:S,2,FALSE),"")</f>
        <v>2520</v>
      </c>
      <c r="L235" s="1">
        <f>IFERROR(VLOOKUP(B235,Petróleo!T:U,2,FALSE),"")</f>
        <v>3823.7</v>
      </c>
      <c r="M235" s="8">
        <f>IFERROR(VLOOKUP(B235,Petróleo!X:Y,2,FALSE),"")</f>
        <v>28345</v>
      </c>
      <c r="N235" s="8">
        <f>IFERROR(VLOOKUP(B235,Petróleo!Z:AA,2,FALSE),"")</f>
        <v>8020</v>
      </c>
      <c r="O235" s="8">
        <f>IFERROR(VLOOKUP(B235,Petróleo!AB:AC,2,FALSE),"")</f>
        <v>2230</v>
      </c>
      <c r="P235" s="8">
        <f>IFERROR(VLOOKUP(B235,Petróleo!AD:AE,2,FALSE),"")</f>
        <v>3800</v>
      </c>
      <c r="Q235" s="8">
        <f>IFERROR(VLOOKUP(B235,Petróleo!AF:AG,2,FALSE),"")</f>
        <v>2370</v>
      </c>
      <c r="R235" s="8">
        <f>IFERROR(VLOOKUP(B235,Petróleo!AH:AI,2,FALSE),"")</f>
        <v>1520</v>
      </c>
      <c r="S235" s="8">
        <f>IFERROR(VLOOKUP(B235,Petróleo!AJ:AK,2,FALSE),"")</f>
        <v>1850</v>
      </c>
      <c r="T235" s="8">
        <f>IFERROR(VLOOKUP(B235,Petróleo!AL:AM,2,FALSE),"")</f>
        <v>2200</v>
      </c>
      <c r="U235" s="8">
        <f>IFERROR(VLOOKUP(B235,Petróleo!AN:AO,2,FALSE),"")</f>
        <v>2175</v>
      </c>
      <c r="V235" s="10" t="str">
        <f>IFERROR(VLOOKUP(A235,Petróleo!AR:AT,3,FALSE),"")</f>
        <v/>
      </c>
    </row>
    <row r="236" spans="1:22" x14ac:dyDescent="0.25">
      <c r="A236" s="9" t="str">
        <f t="shared" si="3"/>
        <v>72009</v>
      </c>
      <c r="B236" s="9">
        <v>40025</v>
      </c>
      <c r="C236" s="1">
        <f>IFERROR(VLOOKUP(B236,Petróleo!A:B,2,FALSE),"")</f>
        <v>5398</v>
      </c>
      <c r="D236" s="1">
        <f>IFERROR(VLOOKUP(B236,Estoque_US!D:E,2,FALSE),"")</f>
        <v>-683</v>
      </c>
      <c r="E236" s="1">
        <f>IFERROR(VLOOKUP(B236,Petróleo!F:G,2,FALSE),"")</f>
        <v>8540</v>
      </c>
      <c r="F236" s="1">
        <f>IFERROR(VLOOKUP(B236,Petróleo!H:I,2,FALSE),"")</f>
        <v>4053.1509999999998</v>
      </c>
      <c r="G236" s="1">
        <f>IFERROR(VLOOKUP(B236,Petróleo!J:K,2,FALSE),"")</f>
        <v>2470.3649999999998</v>
      </c>
      <c r="H236" s="1">
        <f>IFERROR(VLOOKUP(B236,Petróleo!L:M,2,FALSE),"")</f>
        <v>1705</v>
      </c>
      <c r="I236" s="1">
        <f>IFERROR(VLOOKUP(B236,Petróleo!N:O,2,FALSE),"")</f>
        <v>2051.1120000000001</v>
      </c>
      <c r="J236" s="1">
        <f>IFERROR(VLOOKUP(B236,Petróleo!P:Q,2,FALSE),"")</f>
        <v>9476.4</v>
      </c>
      <c r="K236" s="1">
        <f>IFERROR(VLOOKUP(B236,Petróleo!R:S,2,FALSE),"")</f>
        <v>2520</v>
      </c>
      <c r="L236" s="1">
        <f>IFERROR(VLOOKUP(B236,Petróleo!T:U,2,FALSE),"")</f>
        <v>3811.8</v>
      </c>
      <c r="M236" s="8">
        <f>IFERROR(VLOOKUP(B236,Petróleo!X:Y,2,FALSE),"")</f>
        <v>28485</v>
      </c>
      <c r="N236" s="8">
        <f>IFERROR(VLOOKUP(B236,Petróleo!Z:AA,2,FALSE),"")</f>
        <v>8020</v>
      </c>
      <c r="O236" s="8">
        <f>IFERROR(VLOOKUP(B236,Petróleo!AB:AC,2,FALSE),"")</f>
        <v>2270</v>
      </c>
      <c r="P236" s="8">
        <f>IFERROR(VLOOKUP(B236,Petróleo!AD:AE,2,FALSE),"")</f>
        <v>3790</v>
      </c>
      <c r="Q236" s="8">
        <f>IFERROR(VLOOKUP(B236,Petróleo!AF:AG,2,FALSE),"")</f>
        <v>2450</v>
      </c>
      <c r="R236" s="8">
        <f>IFERROR(VLOOKUP(B236,Petróleo!AH:AI,2,FALSE),"")</f>
        <v>1535</v>
      </c>
      <c r="S236" s="8">
        <f>IFERROR(VLOOKUP(B236,Petróleo!AJ:AK,2,FALSE),"")</f>
        <v>1750</v>
      </c>
      <c r="T236" s="8">
        <f>IFERROR(VLOOKUP(B236,Petróleo!AL:AM,2,FALSE),"")</f>
        <v>2210</v>
      </c>
      <c r="U236" s="8">
        <f>IFERROR(VLOOKUP(B236,Petróleo!AN:AO,2,FALSE),"")</f>
        <v>2200</v>
      </c>
      <c r="V236" s="10" t="str">
        <f>IFERROR(VLOOKUP(A236,Petróleo!AR:AT,3,FALSE),"")</f>
        <v/>
      </c>
    </row>
    <row r="237" spans="1:22" x14ac:dyDescent="0.25">
      <c r="A237" s="9" t="str">
        <f t="shared" si="3"/>
        <v>82009</v>
      </c>
      <c r="B237" s="9">
        <v>40056</v>
      </c>
      <c r="C237" s="1">
        <f>IFERROR(VLOOKUP(B237,Petróleo!A:B,2,FALSE),"")</f>
        <v>5418</v>
      </c>
      <c r="D237" s="1">
        <f>IFERROR(VLOOKUP(B237,Estoque_US!D:E,2,FALSE),"")</f>
        <v>-6122</v>
      </c>
      <c r="E237" s="1">
        <f>IFERROR(VLOOKUP(B237,Petróleo!F:G,2,FALSE),"")</f>
        <v>8440</v>
      </c>
      <c r="F237" s="1">
        <f>IFERROR(VLOOKUP(B237,Petróleo!H:I,2,FALSE),"")</f>
        <v>4056.4380000000001</v>
      </c>
      <c r="G237" s="1">
        <f>IFERROR(VLOOKUP(B237,Petróleo!J:K,2,FALSE),"")</f>
        <v>2471.77</v>
      </c>
      <c r="H237" s="1">
        <f>IFERROR(VLOOKUP(B237,Petróleo!L:M,2,FALSE),"")</f>
        <v>1705</v>
      </c>
      <c r="I237" s="1">
        <f>IFERROR(VLOOKUP(B237,Petróleo!N:O,2,FALSE),"")</f>
        <v>2193.3220000000001</v>
      </c>
      <c r="J237" s="1">
        <f>IFERROR(VLOOKUP(B237,Petróleo!P:Q,2,FALSE),"")</f>
        <v>9532</v>
      </c>
      <c r="K237" s="1">
        <f>IFERROR(VLOOKUP(B237,Petróleo!R:S,2,FALSE),"")</f>
        <v>2520</v>
      </c>
      <c r="L237" s="1">
        <f>IFERROR(VLOOKUP(B237,Petróleo!T:U,2,FALSE),"")</f>
        <v>3852.9</v>
      </c>
      <c r="M237" s="8">
        <f>IFERROR(VLOOKUP(B237,Petróleo!X:Y,2,FALSE),"")</f>
        <v>28445</v>
      </c>
      <c r="N237" s="8">
        <f>IFERROR(VLOOKUP(B237,Petróleo!Z:AA,2,FALSE),"")</f>
        <v>8040</v>
      </c>
      <c r="O237" s="8">
        <f>IFERROR(VLOOKUP(B237,Petróleo!AB:AC,2,FALSE),"")</f>
        <v>2250</v>
      </c>
      <c r="P237" s="8">
        <f>IFERROR(VLOOKUP(B237,Petróleo!AD:AE,2,FALSE),"")</f>
        <v>3760</v>
      </c>
      <c r="Q237" s="8">
        <f>IFERROR(VLOOKUP(B237,Petróleo!AF:AG,2,FALSE),"")</f>
        <v>2390</v>
      </c>
      <c r="R237" s="8">
        <f>IFERROR(VLOOKUP(B237,Petróleo!AH:AI,2,FALSE),"")</f>
        <v>1530</v>
      </c>
      <c r="S237" s="8">
        <f>IFERROR(VLOOKUP(B237,Petróleo!AJ:AK,2,FALSE),"")</f>
        <v>1780</v>
      </c>
      <c r="T237" s="8">
        <f>IFERROR(VLOOKUP(B237,Petróleo!AL:AM,2,FALSE),"")</f>
        <v>2205</v>
      </c>
      <c r="U237" s="8">
        <f>IFERROR(VLOOKUP(B237,Petróleo!AN:AO,2,FALSE),"")</f>
        <v>2200</v>
      </c>
      <c r="V237" s="10" t="str">
        <f>IFERROR(VLOOKUP(A237,Petróleo!AR:AT,3,FALSE),"")</f>
        <v/>
      </c>
    </row>
    <row r="238" spans="1:22" x14ac:dyDescent="0.25">
      <c r="A238" s="9" t="str">
        <f t="shared" si="3"/>
        <v>92009</v>
      </c>
      <c r="B238" s="9">
        <v>40086</v>
      </c>
      <c r="C238" s="1">
        <f>IFERROR(VLOOKUP(B238,Petróleo!A:B,2,FALSE),"")</f>
        <v>5559</v>
      </c>
      <c r="D238" s="1">
        <f>IFERROR(VLOOKUP(B238,Estoque_US!D:E,2,FALSE),"")</f>
        <v>-4984</v>
      </c>
      <c r="E238" s="1">
        <f>IFERROR(VLOOKUP(B238,Petróleo!F:G,2,FALSE),"")</f>
        <v>8340</v>
      </c>
      <c r="F238" s="1">
        <f>IFERROR(VLOOKUP(B238,Petróleo!H:I,2,FALSE),"")</f>
        <v>4059.8359999999998</v>
      </c>
      <c r="G238" s="1">
        <f>IFERROR(VLOOKUP(B238,Petróleo!J:K,2,FALSE),"")</f>
        <v>2473.2220000000002</v>
      </c>
      <c r="H238" s="1">
        <f>IFERROR(VLOOKUP(B238,Petróleo!L:M,2,FALSE),"")</f>
        <v>1705</v>
      </c>
      <c r="I238" s="1">
        <f>IFERROR(VLOOKUP(B238,Petróleo!N:O,2,FALSE),"")</f>
        <v>2240</v>
      </c>
      <c r="J238" s="1">
        <f>IFERROR(VLOOKUP(B238,Petróleo!P:Q,2,FALSE),"")</f>
        <v>9623</v>
      </c>
      <c r="K238" s="1">
        <f>IFERROR(VLOOKUP(B238,Petróleo!R:S,2,FALSE),"")</f>
        <v>2520</v>
      </c>
      <c r="L238" s="1">
        <f>IFERROR(VLOOKUP(B238,Petróleo!T:U,2,FALSE),"")</f>
        <v>3837.2</v>
      </c>
      <c r="M238" s="8">
        <f>IFERROR(VLOOKUP(B238,Petróleo!X:Y,2,FALSE),"")</f>
        <v>28680</v>
      </c>
      <c r="N238" s="8">
        <f>IFERROR(VLOOKUP(B238,Petróleo!Z:AA,2,FALSE),"")</f>
        <v>8200</v>
      </c>
      <c r="O238" s="8">
        <f>IFERROR(VLOOKUP(B238,Petróleo!AB:AC,2,FALSE),"")</f>
        <v>2270</v>
      </c>
      <c r="P238" s="8">
        <f>IFERROR(VLOOKUP(B238,Petróleo!AD:AE,2,FALSE),"")</f>
        <v>3780</v>
      </c>
      <c r="Q238" s="8">
        <f>IFERROR(VLOOKUP(B238,Petróleo!AF:AG,2,FALSE),"")</f>
        <v>2450</v>
      </c>
      <c r="R238" s="8">
        <f>IFERROR(VLOOKUP(B238,Petróleo!AH:AI,2,FALSE),"")</f>
        <v>1520</v>
      </c>
      <c r="S238" s="8">
        <f>IFERROR(VLOOKUP(B238,Petróleo!AJ:AK,2,FALSE),"")</f>
        <v>1805</v>
      </c>
      <c r="T238" s="8">
        <f>IFERROR(VLOOKUP(B238,Petróleo!AL:AM,2,FALSE),"")</f>
        <v>2230</v>
      </c>
      <c r="U238" s="8">
        <f>IFERROR(VLOOKUP(B238,Petróleo!AN:AO,2,FALSE),"")</f>
        <v>2185</v>
      </c>
      <c r="V238" s="10" t="str">
        <f>IFERROR(VLOOKUP(A238,Petróleo!AR:AT,3,FALSE),"")</f>
        <v/>
      </c>
    </row>
    <row r="239" spans="1:22" x14ac:dyDescent="0.25">
      <c r="A239" s="9" t="str">
        <f t="shared" si="3"/>
        <v>102009</v>
      </c>
      <c r="B239" s="9">
        <v>40117</v>
      </c>
      <c r="C239" s="1">
        <f>IFERROR(VLOOKUP(B239,Petróleo!A:B,2,FALSE),"")</f>
        <v>5524</v>
      </c>
      <c r="D239" s="1">
        <f>IFERROR(VLOOKUP(B239,Estoque_US!D:E,2,FALSE),"")</f>
        <v>-2490</v>
      </c>
      <c r="E239" s="1">
        <f>IFERROR(VLOOKUP(B239,Petróleo!F:G,2,FALSE),"")</f>
        <v>8340</v>
      </c>
      <c r="F239" s="1">
        <f>IFERROR(VLOOKUP(B239,Petróleo!H:I,2,FALSE),"")</f>
        <v>4063.2330000000002</v>
      </c>
      <c r="G239" s="1">
        <f>IFERROR(VLOOKUP(B239,Petróleo!J:K,2,FALSE),"")</f>
        <v>2424.674</v>
      </c>
      <c r="H239" s="1">
        <f>IFERROR(VLOOKUP(B239,Petróleo!L:M,2,FALSE),"")</f>
        <v>1705</v>
      </c>
      <c r="I239" s="1">
        <f>IFERROR(VLOOKUP(B239,Petróleo!N:O,2,FALSE),"")</f>
        <v>2290</v>
      </c>
      <c r="J239" s="1">
        <f>IFERROR(VLOOKUP(B239,Petróleo!P:Q,2,FALSE),"")</f>
        <v>9629.1</v>
      </c>
      <c r="K239" s="1">
        <f>IFERROR(VLOOKUP(B239,Petróleo!R:S,2,FALSE),"")</f>
        <v>2520</v>
      </c>
      <c r="L239" s="1">
        <f>IFERROR(VLOOKUP(B239,Petróleo!T:U,2,FALSE),"")</f>
        <v>3843.5</v>
      </c>
      <c r="M239" s="8">
        <f>IFERROR(VLOOKUP(B239,Petróleo!X:Y,2,FALSE),"")</f>
        <v>28790</v>
      </c>
      <c r="N239" s="8">
        <f>IFERROR(VLOOKUP(B239,Petróleo!Z:AA,2,FALSE),"")</f>
        <v>8150</v>
      </c>
      <c r="O239" s="8">
        <f>IFERROR(VLOOKUP(B239,Petróleo!AB:AC,2,FALSE),"")</f>
        <v>2250</v>
      </c>
      <c r="P239" s="8">
        <f>IFERROR(VLOOKUP(B239,Petróleo!AD:AE,2,FALSE),"")</f>
        <v>3780</v>
      </c>
      <c r="Q239" s="8">
        <f>IFERROR(VLOOKUP(B239,Petróleo!AF:AG,2,FALSE),"")</f>
        <v>2450</v>
      </c>
      <c r="R239" s="8">
        <f>IFERROR(VLOOKUP(B239,Petróleo!AH:AI,2,FALSE),"")</f>
        <v>1510</v>
      </c>
      <c r="S239" s="8">
        <f>IFERROR(VLOOKUP(B239,Petróleo!AJ:AK,2,FALSE),"")</f>
        <v>1875</v>
      </c>
      <c r="T239" s="8">
        <f>IFERROR(VLOOKUP(B239,Petróleo!AL:AM,2,FALSE),"")</f>
        <v>2220</v>
      </c>
      <c r="U239" s="8">
        <f>IFERROR(VLOOKUP(B239,Petróleo!AN:AO,2,FALSE),"")</f>
        <v>2200</v>
      </c>
      <c r="V239" s="10" t="str">
        <f>IFERROR(VLOOKUP(A239,Petróleo!AR:AT,3,FALSE),"")</f>
        <v/>
      </c>
    </row>
    <row r="240" spans="1:22" x14ac:dyDescent="0.25">
      <c r="A240" s="9" t="str">
        <f t="shared" si="3"/>
        <v>112009</v>
      </c>
      <c r="B240" s="9">
        <v>40147</v>
      </c>
      <c r="C240" s="1">
        <f>IFERROR(VLOOKUP(B240,Petróleo!A:B,2,FALSE),"")</f>
        <v>5395</v>
      </c>
      <c r="D240" s="1">
        <f>IFERROR(VLOOKUP(B240,Estoque_US!D:E,2,FALSE),"")</f>
        <v>3985</v>
      </c>
      <c r="E240" s="1">
        <f>IFERROR(VLOOKUP(B240,Petróleo!F:G,2,FALSE),"")</f>
        <v>8340</v>
      </c>
      <c r="F240" s="1">
        <f>IFERROR(VLOOKUP(B240,Petróleo!H:I,2,FALSE),"")</f>
        <v>4066.5210000000002</v>
      </c>
      <c r="G240" s="1">
        <f>IFERROR(VLOOKUP(B240,Petróleo!J:K,2,FALSE),"")</f>
        <v>2374.674</v>
      </c>
      <c r="H240" s="1">
        <f>IFERROR(VLOOKUP(B240,Petróleo!L:M,2,FALSE),"")</f>
        <v>1705</v>
      </c>
      <c r="I240" s="1">
        <f>IFERROR(VLOOKUP(B240,Petróleo!N:O,2,FALSE),"")</f>
        <v>2370</v>
      </c>
      <c r="J240" s="1">
        <f>IFERROR(VLOOKUP(B240,Petróleo!P:Q,2,FALSE),"")</f>
        <v>9654</v>
      </c>
      <c r="K240" s="1">
        <f>IFERROR(VLOOKUP(B240,Petróleo!R:S,2,FALSE),"")</f>
        <v>2520</v>
      </c>
      <c r="L240" s="1">
        <f>IFERROR(VLOOKUP(B240,Petróleo!T:U,2,FALSE),"")</f>
        <v>3811.8</v>
      </c>
      <c r="M240" s="8">
        <f>IFERROR(VLOOKUP(B240,Petróleo!X:Y,2,FALSE),"")</f>
        <v>28900</v>
      </c>
      <c r="N240" s="8">
        <f>IFERROR(VLOOKUP(B240,Petróleo!Z:AA,2,FALSE),"")</f>
        <v>8190</v>
      </c>
      <c r="O240" s="8">
        <f>IFERROR(VLOOKUP(B240,Petróleo!AB:AC,2,FALSE),"")</f>
        <v>2260</v>
      </c>
      <c r="P240" s="8">
        <f>IFERROR(VLOOKUP(B240,Petróleo!AD:AE,2,FALSE),"")</f>
        <v>3795</v>
      </c>
      <c r="Q240" s="8">
        <f>IFERROR(VLOOKUP(B240,Petróleo!AF:AG,2,FALSE),"")</f>
        <v>2400</v>
      </c>
      <c r="R240" s="8">
        <f>IFERROR(VLOOKUP(B240,Petróleo!AH:AI,2,FALSE),"")</f>
        <v>1520</v>
      </c>
      <c r="S240" s="8">
        <f>IFERROR(VLOOKUP(B240,Petróleo!AJ:AK,2,FALSE),"")</f>
        <v>1905</v>
      </c>
      <c r="T240" s="8">
        <f>IFERROR(VLOOKUP(B240,Petróleo!AL:AM,2,FALSE),"")</f>
        <v>2220</v>
      </c>
      <c r="U240" s="8">
        <f>IFERROR(VLOOKUP(B240,Petróleo!AN:AO,2,FALSE),"")</f>
        <v>2215</v>
      </c>
      <c r="V240" s="10" t="str">
        <f>IFERROR(VLOOKUP(A240,Petróleo!AR:AT,3,FALSE),"")</f>
        <v/>
      </c>
    </row>
    <row r="241" spans="1:22" x14ac:dyDescent="0.25">
      <c r="A241" s="9" t="str">
        <f t="shared" si="3"/>
        <v>122009</v>
      </c>
      <c r="B241" s="9">
        <v>40178</v>
      </c>
      <c r="C241" s="1">
        <f>IFERROR(VLOOKUP(B241,Petróleo!A:B,2,FALSE),"")</f>
        <v>5452</v>
      </c>
      <c r="D241" s="1">
        <f>IFERROR(VLOOKUP(B241,Estoque_US!D:E,2,FALSE),"")</f>
        <v>-13891</v>
      </c>
      <c r="E241" s="1">
        <f>IFERROR(VLOOKUP(B241,Petróleo!F:G,2,FALSE),"")</f>
        <v>8240</v>
      </c>
      <c r="F241" s="1">
        <f>IFERROR(VLOOKUP(B241,Petróleo!H:I,2,FALSE),"")</f>
        <v>4076.3510000000001</v>
      </c>
      <c r="G241" s="1">
        <f>IFERROR(VLOOKUP(B241,Petróleo!J:K,2,FALSE),"")</f>
        <v>2374.674</v>
      </c>
      <c r="H241" s="1">
        <f>IFERROR(VLOOKUP(B241,Petróleo!L:M,2,FALSE),"")</f>
        <v>1705</v>
      </c>
      <c r="I241" s="1">
        <f>IFERROR(VLOOKUP(B241,Petróleo!N:O,2,FALSE),"")</f>
        <v>2450</v>
      </c>
      <c r="J241" s="1">
        <f>IFERROR(VLOOKUP(B241,Petróleo!P:Q,2,FALSE),"")</f>
        <v>9614</v>
      </c>
      <c r="K241" s="1">
        <f>IFERROR(VLOOKUP(B241,Petróleo!R:S,2,FALSE),"")</f>
        <v>2520</v>
      </c>
      <c r="L241" s="1">
        <f>IFERROR(VLOOKUP(B241,Petróleo!T:U,2,FALSE),"")</f>
        <v>3783.1</v>
      </c>
      <c r="M241" s="8">
        <f>IFERROR(VLOOKUP(B241,Petróleo!X:Y,2,FALSE),"")</f>
        <v>29000</v>
      </c>
      <c r="N241" s="8">
        <f>IFERROR(VLOOKUP(B241,Petróleo!Z:AA,2,FALSE),"")</f>
        <v>8180</v>
      </c>
      <c r="O241" s="8">
        <f>IFERROR(VLOOKUP(B241,Petróleo!AB:AC,2,FALSE),"")</f>
        <v>2270</v>
      </c>
      <c r="P241" s="8">
        <f>IFERROR(VLOOKUP(B241,Petróleo!AD:AE,2,FALSE),"")</f>
        <v>3795</v>
      </c>
      <c r="Q241" s="8">
        <f>IFERROR(VLOOKUP(B241,Petróleo!AF:AG,2,FALSE),"")</f>
        <v>2350</v>
      </c>
      <c r="R241" s="8">
        <f>IFERROR(VLOOKUP(B241,Petróleo!AH:AI,2,FALSE),"")</f>
        <v>1520</v>
      </c>
      <c r="S241" s="8">
        <f>IFERROR(VLOOKUP(B241,Petróleo!AJ:AK,2,FALSE),"")</f>
        <v>2005</v>
      </c>
      <c r="T241" s="8">
        <f>IFERROR(VLOOKUP(B241,Petróleo!AL:AM,2,FALSE),"")</f>
        <v>2220</v>
      </c>
      <c r="U241" s="8">
        <f>IFERROR(VLOOKUP(B241,Petróleo!AN:AO,2,FALSE),"")</f>
        <v>2250</v>
      </c>
      <c r="V241" s="10" t="str">
        <f>IFERROR(VLOOKUP(A241,Petróleo!AR:AT,3,FALSE),"")</f>
        <v/>
      </c>
    </row>
    <row r="242" spans="1:22" x14ac:dyDescent="0.25">
      <c r="A242" s="9" t="str">
        <f t="shared" si="3"/>
        <v>12010</v>
      </c>
      <c r="B242" s="9">
        <v>40209</v>
      </c>
      <c r="C242" s="1">
        <f>IFERROR(VLOOKUP(B242,Petróleo!A:B,2,FALSE),"")</f>
        <v>5404</v>
      </c>
      <c r="D242" s="1">
        <f>IFERROR(VLOOKUP(B242,Estoque_US!D:E,2,FALSE),"")</f>
        <v>2986</v>
      </c>
      <c r="E242" s="1">
        <f>IFERROR(VLOOKUP(B242,Petróleo!F:G,2,FALSE),"")</f>
        <v>8350.41</v>
      </c>
      <c r="F242" s="1">
        <f>IFERROR(VLOOKUP(B242,Petróleo!H:I,2,FALSE),"")</f>
        <v>4087.886</v>
      </c>
      <c r="G242" s="1">
        <f>IFERROR(VLOOKUP(B242,Petróleo!J:K,2,FALSE),"")</f>
        <v>2474.6619999999998</v>
      </c>
      <c r="H242" s="1">
        <f>IFERROR(VLOOKUP(B242,Petróleo!L:M,2,FALSE),"")</f>
        <v>1710</v>
      </c>
      <c r="I242" s="1">
        <f>IFERROR(VLOOKUP(B242,Petróleo!N:O,2,FALSE),"")</f>
        <v>2404</v>
      </c>
      <c r="J242" s="1">
        <f>IFERROR(VLOOKUP(B242,Petróleo!P:Q,2,FALSE),"")</f>
        <v>9614.7000000000007</v>
      </c>
      <c r="K242" s="1">
        <f>IFERROR(VLOOKUP(B242,Petróleo!R:S,2,FALSE),"")</f>
        <v>2410</v>
      </c>
      <c r="L242" s="1">
        <f>IFERROR(VLOOKUP(B242,Petróleo!T:U,2,FALSE),"")</f>
        <v>3971</v>
      </c>
      <c r="M242" s="8">
        <f>IFERROR(VLOOKUP(B242,Petróleo!X:Y,2,FALSE),"")</f>
        <v>29045</v>
      </c>
      <c r="N242" s="8">
        <f>IFERROR(VLOOKUP(B242,Petróleo!Z:AA,2,FALSE),"")</f>
        <v>8150</v>
      </c>
      <c r="O242" s="8">
        <f>IFERROR(VLOOKUP(B242,Petróleo!AB:AC,2,FALSE),"")</f>
        <v>2280</v>
      </c>
      <c r="P242" s="8">
        <f>IFERROR(VLOOKUP(B242,Petróleo!AD:AE,2,FALSE),"")</f>
        <v>3805</v>
      </c>
      <c r="Q242" s="8">
        <f>IFERROR(VLOOKUP(B242,Petróleo!AF:AG,2,FALSE),"")</f>
        <v>2405</v>
      </c>
      <c r="R242" s="8">
        <f>IFERROR(VLOOKUP(B242,Petróleo!AH:AI,2,FALSE),"")</f>
        <v>1525</v>
      </c>
      <c r="S242" s="8">
        <f>IFERROR(VLOOKUP(B242,Petróleo!AJ:AK,2,FALSE),"")</f>
        <v>2025</v>
      </c>
      <c r="T242" s="8">
        <f>IFERROR(VLOOKUP(B242,Petróleo!AL:AM,2,FALSE),"")</f>
        <v>2165</v>
      </c>
      <c r="U242" s="8">
        <f>IFERROR(VLOOKUP(B242,Petróleo!AN:AO,2,FALSE),"")</f>
        <v>2260</v>
      </c>
      <c r="V242" s="10" t="str">
        <f>IFERROR(VLOOKUP(A242,Petróleo!AR:AT,3,FALSE),"")</f>
        <v/>
      </c>
    </row>
    <row r="243" spans="1:22" x14ac:dyDescent="0.25">
      <c r="A243" s="9" t="str">
        <f t="shared" si="3"/>
        <v>22010</v>
      </c>
      <c r="B243" s="9">
        <v>40237</v>
      </c>
      <c r="C243" s="1">
        <f>IFERROR(VLOOKUP(B243,Petróleo!A:B,2,FALSE),"")</f>
        <v>5553</v>
      </c>
      <c r="D243" s="1">
        <f>IFERROR(VLOOKUP(B243,Estoque_US!D:E,2,FALSE),"")</f>
        <v>12577</v>
      </c>
      <c r="E243" s="1">
        <f>IFERROR(VLOOKUP(B243,Petróleo!F:G,2,FALSE),"")</f>
        <v>8400.41</v>
      </c>
      <c r="F243" s="1">
        <f>IFERROR(VLOOKUP(B243,Petróleo!H:I,2,FALSE),"")</f>
        <v>4100</v>
      </c>
      <c r="G243" s="1">
        <f>IFERROR(VLOOKUP(B243,Petróleo!J:K,2,FALSE),"")</f>
        <v>2474.6619999999998</v>
      </c>
      <c r="H243" s="1">
        <f>IFERROR(VLOOKUP(B243,Petróleo!L:M,2,FALSE),"")</f>
        <v>1710</v>
      </c>
      <c r="I243" s="1">
        <f>IFERROR(VLOOKUP(B243,Petróleo!N:O,2,FALSE),"")</f>
        <v>2430</v>
      </c>
      <c r="J243" s="1">
        <f>IFERROR(VLOOKUP(B243,Petróleo!P:Q,2,FALSE),"")</f>
        <v>9648.4</v>
      </c>
      <c r="K243" s="1">
        <f>IFERROR(VLOOKUP(B243,Petróleo!R:S,2,FALSE),"")</f>
        <v>2410</v>
      </c>
      <c r="L243" s="1">
        <f>IFERROR(VLOOKUP(B243,Petróleo!T:U,2,FALSE),"")</f>
        <v>3940</v>
      </c>
      <c r="M243" s="8">
        <f>IFERROR(VLOOKUP(B243,Petróleo!X:Y,2,FALSE),"")</f>
        <v>29235</v>
      </c>
      <c r="N243" s="8">
        <f>IFERROR(VLOOKUP(B243,Petróleo!Z:AA,2,FALSE),"")</f>
        <v>8250</v>
      </c>
      <c r="O243" s="8">
        <f>IFERROR(VLOOKUP(B243,Petróleo!AB:AC,2,FALSE),"")</f>
        <v>2280</v>
      </c>
      <c r="P243" s="8">
        <f>IFERROR(VLOOKUP(B243,Petróleo!AD:AE,2,FALSE),"")</f>
        <v>3795</v>
      </c>
      <c r="Q243" s="8">
        <f>IFERROR(VLOOKUP(B243,Petróleo!AF:AG,2,FALSE),"")</f>
        <v>2450</v>
      </c>
      <c r="R243" s="8">
        <f>IFERROR(VLOOKUP(B243,Petróleo!AH:AI,2,FALSE),"")</f>
        <v>1525</v>
      </c>
      <c r="S243" s="8">
        <f>IFERROR(VLOOKUP(B243,Petróleo!AJ:AK,2,FALSE),"")</f>
        <v>1940</v>
      </c>
      <c r="T243" s="8">
        <f>IFERROR(VLOOKUP(B243,Petróleo!AL:AM,2,FALSE),"")</f>
        <v>2200</v>
      </c>
      <c r="U243" s="8">
        <f>IFERROR(VLOOKUP(B243,Petróleo!AN:AO,2,FALSE),"")</f>
        <v>2280</v>
      </c>
      <c r="V243" s="10" t="str">
        <f>IFERROR(VLOOKUP(A243,Petróleo!AR:AT,3,FALSE),"")</f>
        <v/>
      </c>
    </row>
    <row r="244" spans="1:22" x14ac:dyDescent="0.25">
      <c r="A244" s="9" t="str">
        <f t="shared" si="3"/>
        <v>32010</v>
      </c>
      <c r="B244" s="9">
        <v>40268</v>
      </c>
      <c r="C244" s="1">
        <f>IFERROR(VLOOKUP(B244,Petróleo!A:B,2,FALSE),"")</f>
        <v>5515</v>
      </c>
      <c r="D244" s="1">
        <f>IFERROR(VLOOKUP(B244,Estoque_US!D:E,2,FALSE),"")</f>
        <v>12618</v>
      </c>
      <c r="E244" s="1">
        <f>IFERROR(VLOOKUP(B244,Petróleo!F:G,2,FALSE),"")</f>
        <v>8390.41</v>
      </c>
      <c r="F244" s="1">
        <f>IFERROR(VLOOKUP(B244,Petróleo!H:I,2,FALSE),"")</f>
        <v>4112.01</v>
      </c>
      <c r="G244" s="1">
        <f>IFERROR(VLOOKUP(B244,Petróleo!J:K,2,FALSE),"")</f>
        <v>2374.6619999999998</v>
      </c>
      <c r="H244" s="1">
        <f>IFERROR(VLOOKUP(B244,Petróleo!L:M,2,FALSE),"")</f>
        <v>1710</v>
      </c>
      <c r="I244" s="1">
        <f>IFERROR(VLOOKUP(B244,Petróleo!N:O,2,FALSE),"")</f>
        <v>2399</v>
      </c>
      <c r="J244" s="1">
        <f>IFERROR(VLOOKUP(B244,Petróleo!P:Q,2,FALSE),"")</f>
        <v>9682.7000000000007</v>
      </c>
      <c r="K244" s="1">
        <f>IFERROR(VLOOKUP(B244,Petróleo!R:S,2,FALSE),"")</f>
        <v>2410</v>
      </c>
      <c r="L244" s="1">
        <f>IFERROR(VLOOKUP(B244,Petróleo!T:U,2,FALSE),"")</f>
        <v>3972.8</v>
      </c>
      <c r="M244" s="8">
        <f>IFERROR(VLOOKUP(B244,Petróleo!X:Y,2,FALSE),"")</f>
        <v>29165</v>
      </c>
      <c r="N244" s="8">
        <f>IFERROR(VLOOKUP(B244,Petróleo!Z:AA,2,FALSE),"")</f>
        <v>8200</v>
      </c>
      <c r="O244" s="8">
        <f>IFERROR(VLOOKUP(B244,Petróleo!AB:AC,2,FALSE),"")</f>
        <v>2300</v>
      </c>
      <c r="P244" s="8">
        <f>IFERROR(VLOOKUP(B244,Petróleo!AD:AE,2,FALSE),"")</f>
        <v>3825</v>
      </c>
      <c r="Q244" s="8">
        <f>IFERROR(VLOOKUP(B244,Petróleo!AF:AG,2,FALSE),"")</f>
        <v>2365</v>
      </c>
      <c r="R244" s="8">
        <f>IFERROR(VLOOKUP(B244,Petróleo!AH:AI,2,FALSE),"")</f>
        <v>1525</v>
      </c>
      <c r="S244" s="8">
        <f>IFERROR(VLOOKUP(B244,Petróleo!AJ:AK,2,FALSE),"")</f>
        <v>2010</v>
      </c>
      <c r="T244" s="8">
        <f>IFERROR(VLOOKUP(B244,Petróleo!AL:AM,2,FALSE),"")</f>
        <v>2190</v>
      </c>
      <c r="U244" s="8">
        <f>IFERROR(VLOOKUP(B244,Petróleo!AN:AO,2,FALSE),"")</f>
        <v>2290</v>
      </c>
      <c r="V244" s="10" t="str">
        <f>IFERROR(VLOOKUP(A244,Petróleo!AR:AT,3,FALSE),"")</f>
        <v/>
      </c>
    </row>
    <row r="245" spans="1:22" x14ac:dyDescent="0.25">
      <c r="A245" s="9" t="str">
        <f t="shared" si="3"/>
        <v>42010</v>
      </c>
      <c r="B245" s="9">
        <v>40298</v>
      </c>
      <c r="C245" s="1">
        <f>IFERROR(VLOOKUP(B245,Petróleo!A:B,2,FALSE),"")</f>
        <v>5392</v>
      </c>
      <c r="D245" s="1">
        <f>IFERROR(VLOOKUP(B245,Estoque_US!D:E,2,FALSE),"")</f>
        <v>6386</v>
      </c>
      <c r="E245" s="1">
        <f>IFERROR(VLOOKUP(B245,Petróleo!F:G,2,FALSE),"")</f>
        <v>8440.41</v>
      </c>
      <c r="F245" s="1">
        <f>IFERROR(VLOOKUP(B245,Petróleo!H:I,2,FALSE),"")</f>
        <v>4120.317</v>
      </c>
      <c r="G245" s="1">
        <f>IFERROR(VLOOKUP(B245,Petróleo!J:K,2,FALSE),"")</f>
        <v>2374.6979999999999</v>
      </c>
      <c r="H245" s="1">
        <f>IFERROR(VLOOKUP(B245,Petróleo!L:M,2,FALSE),"")</f>
        <v>1710</v>
      </c>
      <c r="I245" s="1">
        <f>IFERROR(VLOOKUP(B245,Petróleo!N:O,2,FALSE),"")</f>
        <v>2298</v>
      </c>
      <c r="J245" s="1">
        <f>IFERROR(VLOOKUP(B245,Petróleo!P:Q,2,FALSE),"")</f>
        <v>9646.2510000000002</v>
      </c>
      <c r="K245" s="1">
        <f>IFERROR(VLOOKUP(B245,Petróleo!R:S,2,FALSE),"")</f>
        <v>2410</v>
      </c>
      <c r="L245" s="1">
        <f>IFERROR(VLOOKUP(B245,Petróleo!T:U,2,FALSE),"")</f>
        <v>3953.1</v>
      </c>
      <c r="M245" s="8">
        <f>IFERROR(VLOOKUP(B245,Petróleo!X:Y,2,FALSE),"")</f>
        <v>29185</v>
      </c>
      <c r="N245" s="8">
        <f>IFERROR(VLOOKUP(B245,Petróleo!Z:AA,2,FALSE),"")</f>
        <v>8260</v>
      </c>
      <c r="O245" s="8">
        <f>IFERROR(VLOOKUP(B245,Petróleo!AB:AC,2,FALSE),"")</f>
        <v>2320</v>
      </c>
      <c r="P245" s="8">
        <f>IFERROR(VLOOKUP(B245,Petróleo!AD:AE,2,FALSE),"")</f>
        <v>3805</v>
      </c>
      <c r="Q245" s="8">
        <f>IFERROR(VLOOKUP(B245,Petróleo!AF:AG,2,FALSE),"")</f>
        <v>2310</v>
      </c>
      <c r="R245" s="8">
        <f>IFERROR(VLOOKUP(B245,Petróleo!AH:AI,2,FALSE),"")</f>
        <v>1540</v>
      </c>
      <c r="S245" s="8">
        <f>IFERROR(VLOOKUP(B245,Petróleo!AJ:AK,2,FALSE),"")</f>
        <v>2025</v>
      </c>
      <c r="T245" s="8">
        <f>IFERROR(VLOOKUP(B245,Petróleo!AL:AM,2,FALSE),"")</f>
        <v>2175</v>
      </c>
      <c r="U245" s="8">
        <f>IFERROR(VLOOKUP(B245,Petróleo!AN:AO,2,FALSE),"")</f>
        <v>2305</v>
      </c>
      <c r="V245" s="10" t="str">
        <f>IFERROR(VLOOKUP(A245,Petróleo!AR:AT,3,FALSE),"")</f>
        <v/>
      </c>
    </row>
    <row r="246" spans="1:22" x14ac:dyDescent="0.25">
      <c r="A246" s="9" t="str">
        <f t="shared" si="3"/>
        <v>52010</v>
      </c>
      <c r="B246" s="9">
        <v>40329</v>
      </c>
      <c r="C246" s="1">
        <f>IFERROR(VLOOKUP(B246,Petróleo!A:B,2,FALSE),"")</f>
        <v>5401</v>
      </c>
      <c r="D246" s="1">
        <f>IFERROR(VLOOKUP(B246,Estoque_US!D:E,2,FALSE),"")</f>
        <v>2669</v>
      </c>
      <c r="E246" s="1">
        <f>IFERROR(VLOOKUP(B246,Petróleo!F:G,2,FALSE),"")</f>
        <v>8350.41</v>
      </c>
      <c r="F246" s="1">
        <f>IFERROR(VLOOKUP(B246,Petróleo!H:I,2,FALSE),"")</f>
        <v>4120</v>
      </c>
      <c r="G246" s="1">
        <f>IFERROR(VLOOKUP(B246,Petróleo!J:K,2,FALSE),"")</f>
        <v>2374.674</v>
      </c>
      <c r="H246" s="1">
        <f>IFERROR(VLOOKUP(B246,Petróleo!L:M,2,FALSE),"")</f>
        <v>1710</v>
      </c>
      <c r="I246" s="1">
        <f>IFERROR(VLOOKUP(B246,Petróleo!N:O,2,FALSE),"")</f>
        <v>2253</v>
      </c>
      <c r="J246" s="1">
        <f>IFERROR(VLOOKUP(B246,Petróleo!P:Q,2,FALSE),"")</f>
        <v>9691</v>
      </c>
      <c r="K246" s="1">
        <f>IFERROR(VLOOKUP(B246,Petróleo!R:S,2,FALSE),"")</f>
        <v>2410</v>
      </c>
      <c r="L246" s="1">
        <f>IFERROR(VLOOKUP(B246,Petróleo!T:U,2,FALSE),"")</f>
        <v>4048.5</v>
      </c>
      <c r="M246" s="8">
        <f>IFERROR(VLOOKUP(B246,Petróleo!X:Y,2,FALSE),"")</f>
        <v>29387</v>
      </c>
      <c r="N246" s="8">
        <f>IFERROR(VLOOKUP(B246,Petróleo!Z:AA,2,FALSE),"")</f>
        <v>8290</v>
      </c>
      <c r="O246" s="8">
        <f>IFERROR(VLOOKUP(B246,Petróleo!AB:AC,2,FALSE),"")</f>
        <v>2320</v>
      </c>
      <c r="P246" s="8">
        <f>IFERROR(VLOOKUP(B246,Petróleo!AD:AE,2,FALSE),"")</f>
        <v>3750</v>
      </c>
      <c r="Q246" s="8">
        <f>IFERROR(VLOOKUP(B246,Petróleo!AF:AG,2,FALSE),"")</f>
        <v>2400</v>
      </c>
      <c r="R246" s="8">
        <f>IFERROR(VLOOKUP(B246,Petróleo!AH:AI,2,FALSE),"")</f>
        <v>1550</v>
      </c>
      <c r="S246" s="8">
        <f>IFERROR(VLOOKUP(B246,Petróleo!AJ:AK,2,FALSE),"")</f>
        <v>2085</v>
      </c>
      <c r="T246" s="8">
        <f>IFERROR(VLOOKUP(B246,Petróleo!AL:AM,2,FALSE),"")</f>
        <v>2180</v>
      </c>
      <c r="U246" s="8">
        <f>IFERROR(VLOOKUP(B246,Petróleo!AN:AO,2,FALSE),"")</f>
        <v>2350</v>
      </c>
      <c r="V246" s="10" t="str">
        <f>IFERROR(VLOOKUP(A246,Petróleo!AR:AT,3,FALSE),"")</f>
        <v/>
      </c>
    </row>
    <row r="247" spans="1:22" x14ac:dyDescent="0.25">
      <c r="A247" s="9" t="str">
        <f t="shared" si="3"/>
        <v>62010</v>
      </c>
      <c r="B247" s="9">
        <v>40359</v>
      </c>
      <c r="C247" s="1">
        <f>IFERROR(VLOOKUP(B247,Petróleo!A:B,2,FALSE),"")</f>
        <v>5380</v>
      </c>
      <c r="D247" s="1">
        <f>IFERROR(VLOOKUP(B247,Estoque_US!D:E,2,FALSE),"")</f>
        <v>-129</v>
      </c>
      <c r="E247" s="1">
        <f>IFERROR(VLOOKUP(B247,Petróleo!F:G,2,FALSE),"")</f>
        <v>8420.41</v>
      </c>
      <c r="F247" s="1">
        <f>IFERROR(VLOOKUP(B247,Petróleo!H:I,2,FALSE),"")</f>
        <v>4126.5569999999998</v>
      </c>
      <c r="G247" s="1">
        <f>IFERROR(VLOOKUP(B247,Petróleo!J:K,2,FALSE),"")</f>
        <v>2424.674</v>
      </c>
      <c r="H247" s="1">
        <f>IFERROR(VLOOKUP(B247,Petróleo!L:M,2,FALSE),"")</f>
        <v>1710</v>
      </c>
      <c r="I247" s="1">
        <f>IFERROR(VLOOKUP(B247,Petróleo!N:O,2,FALSE),"")</f>
        <v>2373</v>
      </c>
      <c r="J247" s="1">
        <f>IFERROR(VLOOKUP(B247,Petróleo!P:Q,2,FALSE),"")</f>
        <v>9727.3549999999996</v>
      </c>
      <c r="K247" s="1">
        <f>IFERROR(VLOOKUP(B247,Petróleo!R:S,2,FALSE),"")</f>
        <v>2410</v>
      </c>
      <c r="L247" s="1">
        <f>IFERROR(VLOOKUP(B247,Petróleo!T:U,2,FALSE),"")</f>
        <v>4105.2</v>
      </c>
      <c r="M247" s="8">
        <f>IFERROR(VLOOKUP(B247,Petróleo!X:Y,2,FALSE),"")</f>
        <v>29160</v>
      </c>
      <c r="N247" s="8">
        <f>IFERROR(VLOOKUP(B247,Petróleo!Z:AA,2,FALSE),"")</f>
        <v>8290</v>
      </c>
      <c r="O247" s="8">
        <f>IFERROR(VLOOKUP(B247,Petróleo!AB:AC,2,FALSE),"")</f>
        <v>2320</v>
      </c>
      <c r="P247" s="8">
        <f>IFERROR(VLOOKUP(B247,Petróleo!AD:AE,2,FALSE),"")</f>
        <v>3740</v>
      </c>
      <c r="Q247" s="8">
        <f>IFERROR(VLOOKUP(B247,Petróleo!AF:AG,2,FALSE),"")</f>
        <v>2365</v>
      </c>
      <c r="R247" s="8">
        <f>IFERROR(VLOOKUP(B247,Petróleo!AH:AI,2,FALSE),"")</f>
        <v>1550</v>
      </c>
      <c r="S247" s="8">
        <f>IFERROR(VLOOKUP(B247,Petróleo!AJ:AK,2,FALSE),"")</f>
        <v>2010</v>
      </c>
      <c r="T247" s="8">
        <f>IFERROR(VLOOKUP(B247,Petróleo!AL:AM,2,FALSE),"")</f>
        <v>2180</v>
      </c>
      <c r="U247" s="8">
        <f>IFERROR(VLOOKUP(B247,Petróleo!AN:AO,2,FALSE),"")</f>
        <v>2300</v>
      </c>
      <c r="V247" s="10" t="str">
        <f>IFERROR(VLOOKUP(A247,Petróleo!AR:AT,3,FALSE),"")</f>
        <v/>
      </c>
    </row>
    <row r="248" spans="1:22" x14ac:dyDescent="0.25">
      <c r="A248" s="9" t="str">
        <f t="shared" si="3"/>
        <v>72010</v>
      </c>
      <c r="B248" s="9">
        <v>40390</v>
      </c>
      <c r="C248" s="1">
        <f>IFERROR(VLOOKUP(B248,Petróleo!A:B,2,FALSE),"")</f>
        <v>5298</v>
      </c>
      <c r="D248" s="1">
        <f>IFERROR(VLOOKUP(B248,Estoque_US!D:E,2,FALSE),"")</f>
        <v>-5135</v>
      </c>
      <c r="E248" s="1">
        <f>IFERROR(VLOOKUP(B248,Petróleo!F:G,2,FALSE),"")</f>
        <v>8420.41</v>
      </c>
      <c r="F248" s="1">
        <f>IFERROR(VLOOKUP(B248,Petróleo!H:I,2,FALSE),"")</f>
        <v>4033.3</v>
      </c>
      <c r="G248" s="1">
        <f>IFERROR(VLOOKUP(B248,Petróleo!J:K,2,FALSE),"")</f>
        <v>2324.674</v>
      </c>
      <c r="H248" s="1">
        <f>IFERROR(VLOOKUP(B248,Petróleo!L:M,2,FALSE),"")</f>
        <v>1710</v>
      </c>
      <c r="I248" s="1">
        <f>IFERROR(VLOOKUP(B248,Petróleo!N:O,2,FALSE),"")</f>
        <v>2349</v>
      </c>
      <c r="J248" s="1">
        <f>IFERROR(VLOOKUP(B248,Petróleo!P:Q,2,FALSE),"")</f>
        <v>9710</v>
      </c>
      <c r="K248" s="1">
        <f>IFERROR(VLOOKUP(B248,Petróleo!R:S,2,FALSE),"")</f>
        <v>2410</v>
      </c>
      <c r="L248" s="1">
        <f>IFERROR(VLOOKUP(B248,Petróleo!T:U,2,FALSE),"")</f>
        <v>4059.6</v>
      </c>
      <c r="M248" s="8">
        <f>IFERROR(VLOOKUP(B248,Petróleo!X:Y,2,FALSE),"")</f>
        <v>29225</v>
      </c>
      <c r="N248" s="8">
        <f>IFERROR(VLOOKUP(B248,Petróleo!Z:AA,2,FALSE),"")</f>
        <v>8300</v>
      </c>
      <c r="O248" s="8">
        <f>IFERROR(VLOOKUP(B248,Petróleo!AB:AC,2,FALSE),"")</f>
        <v>2310</v>
      </c>
      <c r="P248" s="8">
        <f>IFERROR(VLOOKUP(B248,Petróleo!AD:AE,2,FALSE),"")</f>
        <v>3730</v>
      </c>
      <c r="Q248" s="8">
        <f>IFERROR(VLOOKUP(B248,Petróleo!AF:AG,2,FALSE),"")</f>
        <v>2415</v>
      </c>
      <c r="R248" s="8">
        <f>IFERROR(VLOOKUP(B248,Petróleo!AH:AI,2,FALSE),"")</f>
        <v>1550</v>
      </c>
      <c r="S248" s="8">
        <f>IFERROR(VLOOKUP(B248,Petróleo!AJ:AK,2,FALSE),"")</f>
        <v>2030</v>
      </c>
      <c r="T248" s="8">
        <f>IFERROR(VLOOKUP(B248,Petróleo!AL:AM,2,FALSE),"")</f>
        <v>2195</v>
      </c>
      <c r="U248" s="8">
        <f>IFERROR(VLOOKUP(B248,Petróleo!AN:AO,2,FALSE),"")</f>
        <v>2310</v>
      </c>
      <c r="V248" s="10" t="str">
        <f>IFERROR(VLOOKUP(A248,Petróleo!AR:AT,3,FALSE),"")</f>
        <v/>
      </c>
    </row>
    <row r="249" spans="1:22" x14ac:dyDescent="0.25">
      <c r="A249" s="9" t="str">
        <f t="shared" si="3"/>
        <v>82010</v>
      </c>
      <c r="B249" s="9">
        <v>40421</v>
      </c>
      <c r="C249" s="1">
        <f>IFERROR(VLOOKUP(B249,Petróleo!A:B,2,FALSE),"")</f>
        <v>5447</v>
      </c>
      <c r="D249" s="1">
        <f>IFERROR(VLOOKUP(B249,Estoque_US!D:E,2,FALSE),"")</f>
        <v>3727</v>
      </c>
      <c r="E249" s="1">
        <f>IFERROR(VLOOKUP(B249,Petróleo!F:G,2,FALSE),"")</f>
        <v>8430.41</v>
      </c>
      <c r="F249" s="1">
        <f>IFERROR(VLOOKUP(B249,Petróleo!H:I,2,FALSE),"")</f>
        <v>4039.8910000000001</v>
      </c>
      <c r="G249" s="1">
        <f>IFERROR(VLOOKUP(B249,Petróleo!J:K,2,FALSE),"")</f>
        <v>2324.674</v>
      </c>
      <c r="H249" s="1">
        <f>IFERROR(VLOOKUP(B249,Petróleo!L:M,2,FALSE),"")</f>
        <v>1710</v>
      </c>
      <c r="I249" s="1">
        <f>IFERROR(VLOOKUP(B249,Petróleo!N:O,2,FALSE),"")</f>
        <v>2449</v>
      </c>
      <c r="J249" s="1">
        <f>IFERROR(VLOOKUP(B249,Petróleo!P:Q,2,FALSE),"")</f>
        <v>9623</v>
      </c>
      <c r="K249" s="1">
        <f>IFERROR(VLOOKUP(B249,Petróleo!R:S,2,FALSE),"")</f>
        <v>2410</v>
      </c>
      <c r="L249" s="1">
        <f>IFERROR(VLOOKUP(B249,Petróleo!T:U,2,FALSE),"")</f>
        <v>4104</v>
      </c>
      <c r="M249" s="8">
        <f>IFERROR(VLOOKUP(B249,Petróleo!X:Y,2,FALSE),"")</f>
        <v>29200</v>
      </c>
      <c r="N249" s="8">
        <f>IFERROR(VLOOKUP(B249,Petróleo!Z:AA,2,FALSE),"")</f>
        <v>8290</v>
      </c>
      <c r="O249" s="8">
        <f>IFERROR(VLOOKUP(B249,Petróleo!AB:AC,2,FALSE),"")</f>
        <v>2320</v>
      </c>
      <c r="P249" s="8">
        <f>IFERROR(VLOOKUP(B249,Petróleo!AD:AE,2,FALSE),"")</f>
        <v>3750</v>
      </c>
      <c r="Q249" s="8">
        <f>IFERROR(VLOOKUP(B249,Petróleo!AF:AG,2,FALSE),"")</f>
        <v>2345</v>
      </c>
      <c r="R249" s="8">
        <f>IFERROR(VLOOKUP(B249,Petróleo!AH:AI,2,FALSE),"")</f>
        <v>1560</v>
      </c>
      <c r="S249" s="8">
        <f>IFERROR(VLOOKUP(B249,Petróleo!AJ:AK,2,FALSE),"")</f>
        <v>2000</v>
      </c>
      <c r="T249" s="8">
        <f>IFERROR(VLOOKUP(B249,Petróleo!AL:AM,2,FALSE),"")</f>
        <v>2200</v>
      </c>
      <c r="U249" s="8">
        <f>IFERROR(VLOOKUP(B249,Petróleo!AN:AO,2,FALSE),"")</f>
        <v>2300</v>
      </c>
      <c r="V249" s="10" t="str">
        <f>IFERROR(VLOOKUP(A249,Petróleo!AR:AT,3,FALSE),"")</f>
        <v/>
      </c>
    </row>
    <row r="250" spans="1:22" x14ac:dyDescent="0.25">
      <c r="A250" s="9" t="str">
        <f t="shared" si="3"/>
        <v>92010</v>
      </c>
      <c r="B250" s="9">
        <v>40451</v>
      </c>
      <c r="C250" s="1">
        <f>IFERROR(VLOOKUP(B250,Petróleo!A:B,2,FALSE),"")</f>
        <v>5616</v>
      </c>
      <c r="D250" s="1">
        <f>IFERROR(VLOOKUP(B250,Estoque_US!D:E,2,FALSE),"")</f>
        <v>-3847</v>
      </c>
      <c r="E250" s="1">
        <f>IFERROR(VLOOKUP(B250,Petróleo!F:G,2,FALSE),"")</f>
        <v>8420.41</v>
      </c>
      <c r="F250" s="1">
        <f>IFERROR(VLOOKUP(B250,Petróleo!H:I,2,FALSE),"")</f>
        <v>4047</v>
      </c>
      <c r="G250" s="1">
        <f>IFERROR(VLOOKUP(B250,Petróleo!J:K,2,FALSE),"")</f>
        <v>2375</v>
      </c>
      <c r="H250" s="1">
        <f>IFERROR(VLOOKUP(B250,Petróleo!L:M,2,FALSE),"")</f>
        <v>1710</v>
      </c>
      <c r="I250" s="1">
        <f>IFERROR(VLOOKUP(B250,Petróleo!N:O,2,FALSE),"")</f>
        <v>2516</v>
      </c>
      <c r="J250" s="1">
        <f>IFERROR(VLOOKUP(B250,Petróleo!P:Q,2,FALSE),"")</f>
        <v>9725</v>
      </c>
      <c r="K250" s="1">
        <f>IFERROR(VLOOKUP(B250,Petróleo!R:S,2,FALSE),"")</f>
        <v>2410</v>
      </c>
      <c r="L250" s="1">
        <f>IFERROR(VLOOKUP(B250,Petróleo!T:U,2,FALSE),"")</f>
        <v>4187.3999999999996</v>
      </c>
      <c r="M250" s="8">
        <f>IFERROR(VLOOKUP(B250,Petróleo!X:Y,2,FALSE),"")</f>
        <v>28945</v>
      </c>
      <c r="N250" s="8">
        <f>IFERROR(VLOOKUP(B250,Petróleo!Z:AA,2,FALSE),"")</f>
        <v>8250</v>
      </c>
      <c r="O250" s="8">
        <f>IFERROR(VLOOKUP(B250,Petróleo!AB:AC,2,FALSE),"")</f>
        <v>2305</v>
      </c>
      <c r="P250" s="8">
        <f>IFERROR(VLOOKUP(B250,Petróleo!AD:AE,2,FALSE),"")</f>
        <v>3725</v>
      </c>
      <c r="Q250" s="8">
        <f>IFERROR(VLOOKUP(B250,Petróleo!AF:AG,2,FALSE),"")</f>
        <v>2395</v>
      </c>
      <c r="R250" s="8">
        <f>IFERROR(VLOOKUP(B250,Petróleo!AH:AI,2,FALSE),"")</f>
        <v>1550</v>
      </c>
      <c r="S250" s="8">
        <f>IFERROR(VLOOKUP(B250,Petróleo!AJ:AK,2,FALSE),"")</f>
        <v>2015</v>
      </c>
      <c r="T250" s="8">
        <f>IFERROR(VLOOKUP(B250,Petróleo!AL:AM,2,FALSE),"")</f>
        <v>2190</v>
      </c>
      <c r="U250" s="8">
        <f>IFERROR(VLOOKUP(B250,Petróleo!AN:AO,2,FALSE),"")</f>
        <v>2285</v>
      </c>
      <c r="V250" s="10" t="str">
        <f>IFERROR(VLOOKUP(A250,Petróleo!AR:AT,3,FALSE),"")</f>
        <v/>
      </c>
    </row>
    <row r="251" spans="1:22" x14ac:dyDescent="0.25">
      <c r="A251" s="9" t="str">
        <f t="shared" si="3"/>
        <v>102010</v>
      </c>
      <c r="B251" s="9">
        <v>40482</v>
      </c>
      <c r="C251" s="1">
        <f>IFERROR(VLOOKUP(B251,Petróleo!A:B,2,FALSE),"")</f>
        <v>5631</v>
      </c>
      <c r="D251" s="1">
        <f>IFERROR(VLOOKUP(B251,Estoque_US!D:E,2,FALSE),"")</f>
        <v>10296</v>
      </c>
      <c r="E251" s="1">
        <f>IFERROR(VLOOKUP(B251,Petróleo!F:G,2,FALSE),"")</f>
        <v>8410.41</v>
      </c>
      <c r="F251" s="1">
        <f>IFERROR(VLOOKUP(B251,Petróleo!H:I,2,FALSE),"")</f>
        <v>4053</v>
      </c>
      <c r="G251" s="1">
        <f>IFERROR(VLOOKUP(B251,Petróleo!J:K,2,FALSE),"")</f>
        <v>2375</v>
      </c>
      <c r="H251" s="1">
        <f>IFERROR(VLOOKUP(B251,Petróleo!L:M,2,FALSE),"")</f>
        <v>1710</v>
      </c>
      <c r="I251" s="1">
        <f>IFERROR(VLOOKUP(B251,Petróleo!N:O,2,FALSE),"")</f>
        <v>2533</v>
      </c>
      <c r="J251" s="1">
        <f>IFERROR(VLOOKUP(B251,Petróleo!P:Q,2,FALSE),"")</f>
        <v>9816</v>
      </c>
      <c r="K251" s="1">
        <f>IFERROR(VLOOKUP(B251,Petróleo!R:S,2,FALSE),"")</f>
        <v>2410</v>
      </c>
      <c r="L251" s="1">
        <f>IFERROR(VLOOKUP(B251,Petróleo!T:U,2,FALSE),"")</f>
        <v>4185.6000000000004</v>
      </c>
      <c r="M251" s="8">
        <f>IFERROR(VLOOKUP(B251,Petróleo!X:Y,2,FALSE),"")</f>
        <v>29130</v>
      </c>
      <c r="N251" s="8">
        <f>IFERROR(VLOOKUP(B251,Petróleo!Z:AA,2,FALSE),"")</f>
        <v>8250</v>
      </c>
      <c r="O251" s="8">
        <f>IFERROR(VLOOKUP(B251,Petróleo!AB:AC,2,FALSE),"")</f>
        <v>2315</v>
      </c>
      <c r="P251" s="8">
        <f>IFERROR(VLOOKUP(B251,Petróleo!AD:AE,2,FALSE),"")</f>
        <v>3715</v>
      </c>
      <c r="Q251" s="8">
        <f>IFERROR(VLOOKUP(B251,Petróleo!AF:AG,2,FALSE),"")</f>
        <v>2350</v>
      </c>
      <c r="R251" s="8">
        <f>IFERROR(VLOOKUP(B251,Petróleo!AH:AI,2,FALSE),"")</f>
        <v>1565</v>
      </c>
      <c r="S251" s="8">
        <f>IFERROR(VLOOKUP(B251,Petróleo!AJ:AK,2,FALSE),"")</f>
        <v>2150</v>
      </c>
      <c r="T251" s="8">
        <f>IFERROR(VLOOKUP(B251,Petróleo!AL:AM,2,FALSE),"")</f>
        <v>2200</v>
      </c>
      <c r="U251" s="8">
        <f>IFERROR(VLOOKUP(B251,Petróleo!AN:AO,2,FALSE),"")</f>
        <v>2305</v>
      </c>
      <c r="V251" s="10" t="str">
        <f>IFERROR(VLOOKUP(A251,Petróleo!AR:AT,3,FALSE),"")</f>
        <v/>
      </c>
    </row>
    <row r="252" spans="1:22" x14ac:dyDescent="0.25">
      <c r="A252" s="9" t="str">
        <f t="shared" si="3"/>
        <v>112010</v>
      </c>
      <c r="B252" s="9">
        <v>40512</v>
      </c>
      <c r="C252" s="1">
        <f>IFERROR(VLOOKUP(B252,Petróleo!A:B,2,FALSE),"")</f>
        <v>5576</v>
      </c>
      <c r="D252" s="1">
        <f>IFERROR(VLOOKUP(B252,Estoque_US!D:E,2,FALSE),"")</f>
        <v>-8465</v>
      </c>
      <c r="E252" s="1">
        <f>IFERROR(VLOOKUP(B252,Petróleo!F:G,2,FALSE),"")</f>
        <v>8460.41</v>
      </c>
      <c r="F252" s="1">
        <f>IFERROR(VLOOKUP(B252,Petróleo!H:I,2,FALSE),"")</f>
        <v>4060</v>
      </c>
      <c r="G252" s="1">
        <f>IFERROR(VLOOKUP(B252,Petróleo!J:K,2,FALSE),"")</f>
        <v>2375</v>
      </c>
      <c r="H252" s="1">
        <f>IFERROR(VLOOKUP(B252,Petróleo!L:M,2,FALSE),"")</f>
        <v>1710</v>
      </c>
      <c r="I252" s="1">
        <f>IFERROR(VLOOKUP(B252,Petróleo!N:O,2,FALSE),"")</f>
        <v>2462</v>
      </c>
      <c r="J252" s="1">
        <f>IFERROR(VLOOKUP(B252,Petróleo!P:Q,2,FALSE),"")</f>
        <v>9723</v>
      </c>
      <c r="K252" s="1">
        <f>IFERROR(VLOOKUP(B252,Petróleo!R:S,2,FALSE),"")</f>
        <v>2410</v>
      </c>
      <c r="L252" s="1">
        <f>IFERROR(VLOOKUP(B252,Petróleo!T:U,2,FALSE),"")</f>
        <v>4280.6000000000004</v>
      </c>
      <c r="M252" s="8">
        <f>IFERROR(VLOOKUP(B252,Petróleo!X:Y,2,FALSE),"")</f>
        <v>29050</v>
      </c>
      <c r="N252" s="8">
        <f>IFERROR(VLOOKUP(B252,Petróleo!Z:AA,2,FALSE),"")</f>
        <v>8235</v>
      </c>
      <c r="O252" s="8">
        <f>IFERROR(VLOOKUP(B252,Petróleo!AB:AC,2,FALSE),"")</f>
        <v>2305</v>
      </c>
      <c r="P252" s="8">
        <f>IFERROR(VLOOKUP(B252,Petróleo!AD:AE,2,FALSE),"")</f>
        <v>3725</v>
      </c>
      <c r="Q252" s="8">
        <f>IFERROR(VLOOKUP(B252,Petróleo!AF:AG,2,FALSE),"")</f>
        <v>2350</v>
      </c>
      <c r="R252" s="8">
        <f>IFERROR(VLOOKUP(B252,Petróleo!AH:AI,2,FALSE),"")</f>
        <v>1575</v>
      </c>
      <c r="S252" s="8">
        <f>IFERROR(VLOOKUP(B252,Petróleo!AJ:AK,2,FALSE),"")</f>
        <v>2120</v>
      </c>
      <c r="T252" s="8">
        <f>IFERROR(VLOOKUP(B252,Petróleo!AL:AM,2,FALSE),"")</f>
        <v>2180</v>
      </c>
      <c r="U252" s="8">
        <f>IFERROR(VLOOKUP(B252,Petróleo!AN:AO,2,FALSE),"")</f>
        <v>2300</v>
      </c>
      <c r="V252" s="10" t="str">
        <f>IFERROR(VLOOKUP(A252,Petróleo!AR:AT,3,FALSE),"")</f>
        <v/>
      </c>
    </row>
    <row r="253" spans="1:22" x14ac:dyDescent="0.25">
      <c r="A253" s="9" t="str">
        <f t="shared" si="3"/>
        <v>122010</v>
      </c>
      <c r="B253" s="9">
        <v>40543</v>
      </c>
      <c r="C253" s="1">
        <f>IFERROR(VLOOKUP(B253,Petróleo!A:B,2,FALSE),"")</f>
        <v>5607</v>
      </c>
      <c r="D253" s="1">
        <f>IFERROR(VLOOKUP(B253,Estoque_US!D:E,2,FALSE),"")</f>
        <v>-24425</v>
      </c>
      <c r="E253" s="1">
        <f>IFERROR(VLOOKUP(B253,Petróleo!F:G,2,FALSE),"")</f>
        <v>8510.41</v>
      </c>
      <c r="F253" s="1">
        <f>IFERROR(VLOOKUP(B253,Petróleo!H:I,2,FALSE),"")</f>
        <v>4068</v>
      </c>
      <c r="G253" s="1">
        <f>IFERROR(VLOOKUP(B253,Petróleo!J:K,2,FALSE),"")</f>
        <v>2525</v>
      </c>
      <c r="H253" s="1">
        <f>IFERROR(VLOOKUP(B253,Petróleo!L:M,2,FALSE),"")</f>
        <v>1710</v>
      </c>
      <c r="I253" s="1">
        <f>IFERROR(VLOOKUP(B253,Petróleo!N:O,2,FALSE),"")</f>
        <v>2433</v>
      </c>
      <c r="J253" s="1">
        <f>IFERROR(VLOOKUP(B253,Petróleo!P:Q,2,FALSE),"")</f>
        <v>9719</v>
      </c>
      <c r="K253" s="1">
        <f>IFERROR(VLOOKUP(B253,Petróleo!R:S,2,FALSE),"")</f>
        <v>2410</v>
      </c>
      <c r="L253" s="1">
        <f>IFERROR(VLOOKUP(B253,Petróleo!T:U,2,FALSE),"")</f>
        <v>4126</v>
      </c>
      <c r="M253" s="8">
        <f>IFERROR(VLOOKUP(B253,Petróleo!X:Y,2,FALSE),"")</f>
        <v>29185</v>
      </c>
      <c r="N253" s="8">
        <f>IFERROR(VLOOKUP(B253,Petróleo!Z:AA,2,FALSE),"")</f>
        <v>8250</v>
      </c>
      <c r="O253" s="8">
        <f>IFERROR(VLOOKUP(B253,Petróleo!AB:AC,2,FALSE),"")</f>
        <v>2310</v>
      </c>
      <c r="P253" s="8">
        <f>IFERROR(VLOOKUP(B253,Petróleo!AD:AE,2,FALSE),"")</f>
        <v>3700</v>
      </c>
      <c r="Q253" s="8">
        <f>IFERROR(VLOOKUP(B253,Petróleo!AF:AG,2,FALSE),"")</f>
        <v>2385</v>
      </c>
      <c r="R253" s="8">
        <f>IFERROR(VLOOKUP(B253,Petróleo!AH:AI,2,FALSE),"")</f>
        <v>1585</v>
      </c>
      <c r="S253" s="8">
        <f>IFERROR(VLOOKUP(B253,Petróleo!AJ:AK,2,FALSE),"")</f>
        <v>2220</v>
      </c>
      <c r="T253" s="8">
        <f>IFERROR(VLOOKUP(B253,Petróleo!AL:AM,2,FALSE),"")</f>
        <v>2190</v>
      </c>
      <c r="U253" s="8">
        <f>IFERROR(VLOOKUP(B253,Petróleo!AN:AO,2,FALSE),"")</f>
        <v>2300</v>
      </c>
      <c r="V253" s="10" t="str">
        <f>IFERROR(VLOOKUP(A253,Petróleo!AR:AT,3,FALSE),"")</f>
        <v/>
      </c>
    </row>
    <row r="254" spans="1:22" x14ac:dyDescent="0.25">
      <c r="A254" s="9" t="str">
        <f t="shared" si="3"/>
        <v>12011</v>
      </c>
      <c r="B254" s="9">
        <v>40574</v>
      </c>
      <c r="C254" s="1">
        <f>IFERROR(VLOOKUP(B254,Petróleo!A:B,2,FALSE),"")</f>
        <v>5497</v>
      </c>
      <c r="D254" s="1">
        <f>IFERROR(VLOOKUP(B254,Estoque_US!D:E,2,FALSE),"")</f>
        <v>7893</v>
      </c>
      <c r="E254" s="1">
        <f>IFERROR(VLOOKUP(B254,Petróleo!F:G,2,FALSE),"")</f>
        <v>8917.6020000000008</v>
      </c>
      <c r="F254" s="1">
        <f>IFERROR(VLOOKUP(B254,Petróleo!H:I,2,FALSE),"")</f>
        <v>4076</v>
      </c>
      <c r="G254" s="1">
        <f>IFERROR(VLOOKUP(B254,Petróleo!J:K,2,FALSE),"")</f>
        <v>2625</v>
      </c>
      <c r="H254" s="1">
        <f>IFERROR(VLOOKUP(B254,Petróleo!L:M,2,FALSE),"")</f>
        <v>1670</v>
      </c>
      <c r="I254" s="1">
        <f>IFERROR(VLOOKUP(B254,Petróleo!N:O,2,FALSE),"")</f>
        <v>2547</v>
      </c>
      <c r="J254" s="1">
        <f>IFERROR(VLOOKUP(B254,Petróleo!P:Q,2,FALSE),"")</f>
        <v>9769</v>
      </c>
      <c r="K254" s="1">
        <f>IFERROR(VLOOKUP(B254,Petróleo!R:S,2,FALSE),"")</f>
        <v>2500</v>
      </c>
      <c r="L254" s="1">
        <f>IFERROR(VLOOKUP(B254,Petróleo!T:U,2,FALSE),"")</f>
        <v>4237.5</v>
      </c>
      <c r="M254" s="8">
        <f>IFERROR(VLOOKUP(B254,Petróleo!X:Y,2,FALSE),"")</f>
        <v>29395</v>
      </c>
      <c r="N254" s="8">
        <f>IFERROR(VLOOKUP(B254,Petróleo!Z:AA,2,FALSE),"")</f>
        <v>8400</v>
      </c>
      <c r="O254" s="8">
        <f>IFERROR(VLOOKUP(B254,Petróleo!AB:AC,2,FALSE),"")</f>
        <v>2350</v>
      </c>
      <c r="P254" s="8">
        <f>IFERROR(VLOOKUP(B254,Petróleo!AD:AE,2,FALSE),"")</f>
        <v>3715</v>
      </c>
      <c r="Q254" s="8">
        <f>IFERROR(VLOOKUP(B254,Petróleo!AF:AG,2,FALSE),"")</f>
        <v>2545</v>
      </c>
      <c r="R254" s="8">
        <f>IFERROR(VLOOKUP(B254,Petróleo!AH:AI,2,FALSE),"")</f>
        <v>1585</v>
      </c>
      <c r="S254" s="8">
        <f>IFERROR(VLOOKUP(B254,Petróleo!AJ:AK,2,FALSE),"")</f>
        <v>2100</v>
      </c>
      <c r="T254" s="8">
        <f>IFERROR(VLOOKUP(B254,Petróleo!AL:AM,2,FALSE),"")</f>
        <v>2210</v>
      </c>
      <c r="U254" s="8">
        <f>IFERROR(VLOOKUP(B254,Petróleo!AN:AO,2,FALSE),"")</f>
        <v>2315</v>
      </c>
      <c r="V254" s="10" t="str">
        <f>IFERROR(VLOOKUP(A254,Petróleo!AR:AT,3,FALSE),"")</f>
        <v/>
      </c>
    </row>
    <row r="255" spans="1:22" x14ac:dyDescent="0.25">
      <c r="A255" s="9" t="str">
        <f t="shared" si="3"/>
        <v>22011</v>
      </c>
      <c r="B255" s="9">
        <v>40602</v>
      </c>
      <c r="C255" s="1">
        <f>IFERROR(VLOOKUP(B255,Petróleo!A:B,2,FALSE),"")</f>
        <v>5406</v>
      </c>
      <c r="D255" s="1">
        <f>IFERROR(VLOOKUP(B255,Estoque_US!D:E,2,FALSE),"")</f>
        <v>3216</v>
      </c>
      <c r="E255" s="1">
        <f>IFERROR(VLOOKUP(B255,Petróleo!F:G,2,FALSE),"")</f>
        <v>9337.6020000000008</v>
      </c>
      <c r="F255" s="1">
        <f>IFERROR(VLOOKUP(B255,Petróleo!H:I,2,FALSE),"")</f>
        <v>4084</v>
      </c>
      <c r="G255" s="1">
        <f>IFERROR(VLOOKUP(B255,Petróleo!J:K,2,FALSE),"")</f>
        <v>2525</v>
      </c>
      <c r="H255" s="1">
        <f>IFERROR(VLOOKUP(B255,Petróleo!L:M,2,FALSE),"")</f>
        <v>1360</v>
      </c>
      <c r="I255" s="1">
        <f>IFERROR(VLOOKUP(B255,Petróleo!N:O,2,FALSE),"")</f>
        <v>2508</v>
      </c>
      <c r="J255" s="1">
        <f>IFERROR(VLOOKUP(B255,Petróleo!P:Q,2,FALSE),"")</f>
        <v>9773</v>
      </c>
      <c r="K255" s="1">
        <f>IFERROR(VLOOKUP(B255,Petróleo!R:S,2,FALSE),"")</f>
        <v>2500</v>
      </c>
      <c r="L255" s="1">
        <f>IFERROR(VLOOKUP(B255,Petróleo!T:U,2,FALSE),"")</f>
        <v>4188.3999999999996</v>
      </c>
      <c r="M255" s="8">
        <f>IFERROR(VLOOKUP(B255,Petróleo!X:Y,2,FALSE),"")</f>
        <v>29385</v>
      </c>
      <c r="N255" s="8">
        <f>IFERROR(VLOOKUP(B255,Petróleo!Z:AA,2,FALSE),"")</f>
        <v>8700</v>
      </c>
      <c r="O255" s="8">
        <f>IFERROR(VLOOKUP(B255,Petróleo!AB:AC,2,FALSE),"")</f>
        <v>2350</v>
      </c>
      <c r="P255" s="8">
        <f>IFERROR(VLOOKUP(B255,Petróleo!AD:AE,2,FALSE),"")</f>
        <v>3655</v>
      </c>
      <c r="Q255" s="8">
        <f>IFERROR(VLOOKUP(B255,Petróleo!AF:AG,2,FALSE),"")</f>
        <v>2595</v>
      </c>
      <c r="R255" s="8">
        <f>IFERROR(VLOOKUP(B255,Petróleo!AH:AI,2,FALSE),"")</f>
        <v>1385</v>
      </c>
      <c r="S255" s="8">
        <f>IFERROR(VLOOKUP(B255,Petróleo!AJ:AK,2,FALSE),"")</f>
        <v>2000</v>
      </c>
      <c r="T255" s="8">
        <f>IFERROR(VLOOKUP(B255,Petróleo!AL:AM,2,FALSE),"")</f>
        <v>2210</v>
      </c>
      <c r="U255" s="8">
        <f>IFERROR(VLOOKUP(B255,Petróleo!AN:AO,2,FALSE),"")</f>
        <v>2305</v>
      </c>
      <c r="V255" s="10" t="str">
        <f>IFERROR(VLOOKUP(A255,Petróleo!AR:AT,3,FALSE),"")</f>
        <v/>
      </c>
    </row>
    <row r="256" spans="1:22" x14ac:dyDescent="0.25">
      <c r="A256" s="9" t="str">
        <f t="shared" si="3"/>
        <v>32011</v>
      </c>
      <c r="B256" s="9">
        <v>40633</v>
      </c>
      <c r="C256" s="1">
        <f>IFERROR(VLOOKUP(B256,Petróleo!A:B,2,FALSE),"")</f>
        <v>5618</v>
      </c>
      <c r="D256" s="1">
        <f>IFERROR(VLOOKUP(B256,Estoque_US!D:E,2,FALSE),"")</f>
        <v>9337</v>
      </c>
      <c r="E256" s="1">
        <f>IFERROR(VLOOKUP(B256,Petróleo!F:G,2,FALSE),"")</f>
        <v>9137.6020000000008</v>
      </c>
      <c r="F256" s="1">
        <f>IFERROR(VLOOKUP(B256,Petróleo!H:I,2,FALSE),"")</f>
        <v>4092</v>
      </c>
      <c r="G256" s="1">
        <f>IFERROR(VLOOKUP(B256,Petróleo!J:K,2,FALSE),"")</f>
        <v>2525</v>
      </c>
      <c r="H256" s="1">
        <f>IFERROR(VLOOKUP(B256,Petróleo!L:M,2,FALSE),"")</f>
        <v>320</v>
      </c>
      <c r="I256" s="1">
        <f>IFERROR(VLOOKUP(B256,Petróleo!N:O,2,FALSE),"")</f>
        <v>2387</v>
      </c>
      <c r="J256" s="1">
        <f>IFERROR(VLOOKUP(B256,Petróleo!P:Q,2,FALSE),"")</f>
        <v>9753</v>
      </c>
      <c r="K256" s="1">
        <f>IFERROR(VLOOKUP(B256,Petróleo!R:S,2,FALSE),"")</f>
        <v>2500</v>
      </c>
      <c r="L256" s="1">
        <f>IFERROR(VLOOKUP(B256,Petróleo!T:U,2,FALSE),"")</f>
        <v>4159.8</v>
      </c>
      <c r="M256" s="8">
        <f>IFERROR(VLOOKUP(B256,Petróleo!X:Y,2,FALSE),"")</f>
        <v>28522</v>
      </c>
      <c r="N256" s="8">
        <f>IFERROR(VLOOKUP(B256,Petróleo!Z:AA,2,FALSE),"")</f>
        <v>8500</v>
      </c>
      <c r="O256" s="8">
        <f>IFERROR(VLOOKUP(B256,Petróleo!AB:AC,2,FALSE),"")</f>
        <v>2510</v>
      </c>
      <c r="P256" s="8">
        <f>IFERROR(VLOOKUP(B256,Petróleo!AD:AE,2,FALSE),"")</f>
        <v>3700</v>
      </c>
      <c r="Q256" s="8">
        <f>IFERROR(VLOOKUP(B256,Petróleo!AF:AG,2,FALSE),"")</f>
        <v>2585</v>
      </c>
      <c r="R256" s="8">
        <f>IFERROR(VLOOKUP(B256,Petróleo!AH:AI,2,FALSE),"")</f>
        <v>390</v>
      </c>
      <c r="S256" s="8">
        <f>IFERROR(VLOOKUP(B256,Petróleo!AJ:AK,2,FALSE),"")</f>
        <v>1915</v>
      </c>
      <c r="T256" s="8">
        <f>IFERROR(VLOOKUP(B256,Petróleo!AL:AM,2,FALSE),"")</f>
        <v>2220</v>
      </c>
      <c r="U256" s="8">
        <f>IFERROR(VLOOKUP(B256,Petróleo!AN:AO,2,FALSE),"")</f>
        <v>2405</v>
      </c>
      <c r="V256" s="10" t="str">
        <f>IFERROR(VLOOKUP(A256,Petróleo!AR:AT,3,FALSE),"")</f>
        <v/>
      </c>
    </row>
    <row r="257" spans="1:22" x14ac:dyDescent="0.25">
      <c r="A257" s="9" t="str">
        <f t="shared" si="3"/>
        <v>42011</v>
      </c>
      <c r="B257" s="9">
        <v>40663</v>
      </c>
      <c r="C257" s="1">
        <f>IFERROR(VLOOKUP(B257,Petróleo!A:B,2,FALSE),"")</f>
        <v>5562</v>
      </c>
      <c r="D257" s="1">
        <f>IFERROR(VLOOKUP(B257,Estoque_US!D:E,2,FALSE),"")</f>
        <v>10834</v>
      </c>
      <c r="E257" s="1">
        <f>IFERROR(VLOOKUP(B257,Petróleo!F:G,2,FALSE),"")</f>
        <v>9137.6020000000008</v>
      </c>
      <c r="F257" s="1">
        <f>IFERROR(VLOOKUP(B257,Petróleo!H:I,2,FALSE),"")</f>
        <v>4100</v>
      </c>
      <c r="G257" s="1">
        <f>IFERROR(VLOOKUP(B257,Petróleo!J:K,2,FALSE),"")</f>
        <v>2525</v>
      </c>
      <c r="H257" s="1">
        <f>IFERROR(VLOOKUP(B257,Petróleo!L:M,2,FALSE),"")</f>
        <v>220</v>
      </c>
      <c r="I257" s="1">
        <f>IFERROR(VLOOKUP(B257,Petróleo!N:O,2,FALSE),"")</f>
        <v>2408</v>
      </c>
      <c r="J257" s="1">
        <f>IFERROR(VLOOKUP(B257,Petróleo!P:Q,2,FALSE),"")</f>
        <v>9795</v>
      </c>
      <c r="K257" s="1">
        <f>IFERROR(VLOOKUP(B257,Petróleo!R:S,2,FALSE),"")</f>
        <v>2500</v>
      </c>
      <c r="L257" s="1">
        <f>IFERROR(VLOOKUP(B257,Petróleo!T:U,2,FALSE),"")</f>
        <v>4127.3</v>
      </c>
      <c r="M257" s="8">
        <f>IFERROR(VLOOKUP(B257,Petróleo!X:Y,2,FALSE),"")</f>
        <v>28730</v>
      </c>
      <c r="N257" s="8">
        <f>IFERROR(VLOOKUP(B257,Petróleo!Z:AA,2,FALSE),"")</f>
        <v>8850</v>
      </c>
      <c r="O257" s="8">
        <f>IFERROR(VLOOKUP(B257,Petróleo!AB:AC,2,FALSE),"")</f>
        <v>2530</v>
      </c>
      <c r="P257" s="8">
        <f>IFERROR(VLOOKUP(B257,Petróleo!AD:AE,2,FALSE),"")</f>
        <v>3690</v>
      </c>
      <c r="Q257" s="8">
        <f>IFERROR(VLOOKUP(B257,Petróleo!AF:AG,2,FALSE),"")</f>
        <v>2610</v>
      </c>
      <c r="R257" s="8">
        <f>IFERROR(VLOOKUP(B257,Petróleo!AH:AI,2,FALSE),"")</f>
        <v>285</v>
      </c>
      <c r="S257" s="8">
        <f>IFERROR(VLOOKUP(B257,Petróleo!AJ:AK,2,FALSE),"")</f>
        <v>1985</v>
      </c>
      <c r="T257" s="8">
        <f>IFERROR(VLOOKUP(B257,Petróleo!AL:AM,2,FALSE),"")</f>
        <v>2230</v>
      </c>
      <c r="U257" s="8">
        <f>IFERROR(VLOOKUP(B257,Petróleo!AN:AO,2,FALSE),"")</f>
        <v>2385</v>
      </c>
      <c r="V257" s="10" t="str">
        <f>IFERROR(VLOOKUP(A257,Petróleo!AR:AT,3,FALSE),"")</f>
        <v/>
      </c>
    </row>
    <row r="258" spans="1:22" x14ac:dyDescent="0.25">
      <c r="A258" s="9" t="str">
        <f t="shared" si="3"/>
        <v>52011</v>
      </c>
      <c r="B258" s="9">
        <v>40694</v>
      </c>
      <c r="C258" s="1">
        <f>IFERROR(VLOOKUP(B258,Petróleo!A:B,2,FALSE),"")</f>
        <v>5625</v>
      </c>
      <c r="D258" s="1">
        <f>IFERROR(VLOOKUP(B258,Estoque_US!D:E,2,FALSE),"")</f>
        <v>7260</v>
      </c>
      <c r="E258" s="1">
        <f>IFERROR(VLOOKUP(B258,Petróleo!F:G,2,FALSE),"")</f>
        <v>9137.6020000000008</v>
      </c>
      <c r="F258" s="1">
        <f>IFERROR(VLOOKUP(B258,Petróleo!H:I,2,FALSE),"")</f>
        <v>4100</v>
      </c>
      <c r="G258" s="1">
        <f>IFERROR(VLOOKUP(B258,Petróleo!J:K,2,FALSE),"")</f>
        <v>2575</v>
      </c>
      <c r="H258" s="1">
        <f>IFERROR(VLOOKUP(B258,Petróleo!L:M,2,FALSE),"")</f>
        <v>220</v>
      </c>
      <c r="I258" s="1">
        <f>IFERROR(VLOOKUP(B258,Petróleo!N:O,2,FALSE),"")</f>
        <v>2536</v>
      </c>
      <c r="J258" s="1">
        <f>IFERROR(VLOOKUP(B258,Petróleo!P:Q,2,FALSE),"")</f>
        <v>9818</v>
      </c>
      <c r="K258" s="1">
        <f>IFERROR(VLOOKUP(B258,Petróleo!R:S,2,FALSE),"")</f>
        <v>2500</v>
      </c>
      <c r="L258" s="1">
        <f>IFERROR(VLOOKUP(B258,Petróleo!T:U,2,FALSE),"")</f>
        <v>4105.6000000000004</v>
      </c>
      <c r="M258" s="8">
        <f>IFERROR(VLOOKUP(B258,Petróleo!X:Y,2,FALSE),"")</f>
        <v>28895</v>
      </c>
      <c r="N258" s="8">
        <f>IFERROR(VLOOKUP(B258,Petróleo!Z:AA,2,FALSE),"")</f>
        <v>8925</v>
      </c>
      <c r="O258" s="8">
        <f>IFERROR(VLOOKUP(B258,Petróleo!AB:AC,2,FALSE),"")</f>
        <v>2545</v>
      </c>
      <c r="P258" s="8">
        <f>IFERROR(VLOOKUP(B258,Petróleo!AD:AE,2,FALSE),"")</f>
        <v>3675</v>
      </c>
      <c r="Q258" s="8">
        <f>IFERROR(VLOOKUP(B258,Petróleo!AF:AG,2,FALSE),"")</f>
        <v>2675</v>
      </c>
      <c r="R258" s="8">
        <f>IFERROR(VLOOKUP(B258,Petróleo!AH:AI,2,FALSE),"")</f>
        <v>200</v>
      </c>
      <c r="S258" s="8">
        <f>IFERROR(VLOOKUP(B258,Petróleo!AJ:AK,2,FALSE),"")</f>
        <v>2060</v>
      </c>
      <c r="T258" s="8">
        <f>IFERROR(VLOOKUP(B258,Petróleo!AL:AM,2,FALSE),"")</f>
        <v>2240</v>
      </c>
      <c r="U258" s="8">
        <f>IFERROR(VLOOKUP(B258,Petróleo!AN:AO,2,FALSE),"")</f>
        <v>2425</v>
      </c>
      <c r="V258" s="10" t="str">
        <f>IFERROR(VLOOKUP(A258,Petróleo!AR:AT,3,FALSE),"")</f>
        <v/>
      </c>
    </row>
    <row r="259" spans="1:22" x14ac:dyDescent="0.25">
      <c r="A259" s="9" t="str">
        <f t="shared" ref="A259:A322" si="4">MONTH(B259)&amp;YEAR(B259)</f>
        <v>62011</v>
      </c>
      <c r="B259" s="9">
        <v>40724</v>
      </c>
      <c r="C259" s="1">
        <f>IFERROR(VLOOKUP(B259,Petróleo!A:B,2,FALSE),"")</f>
        <v>5589</v>
      </c>
      <c r="D259" s="1">
        <f>IFERROR(VLOOKUP(B259,Estoque_US!D:E,2,FALSE),"")</f>
        <v>-14337</v>
      </c>
      <c r="E259" s="1">
        <f>IFERROR(VLOOKUP(B259,Petróleo!F:G,2,FALSE),"")</f>
        <v>9837.6020000000008</v>
      </c>
      <c r="F259" s="1">
        <f>IFERROR(VLOOKUP(B259,Petróleo!H:I,2,FALSE),"")</f>
        <v>4100</v>
      </c>
      <c r="G259" s="1">
        <f>IFERROR(VLOOKUP(B259,Petróleo!J:K,2,FALSE),"")</f>
        <v>2575</v>
      </c>
      <c r="H259" s="1">
        <f>IFERROR(VLOOKUP(B259,Petróleo!L:M,2,FALSE),"")</f>
        <v>120</v>
      </c>
      <c r="I259" s="1">
        <f>IFERROR(VLOOKUP(B259,Petróleo!N:O,2,FALSE),"")</f>
        <v>2539</v>
      </c>
      <c r="J259" s="1">
        <f>IFERROR(VLOOKUP(B259,Petróleo!P:Q,2,FALSE),"")</f>
        <v>9770</v>
      </c>
      <c r="K259" s="1">
        <f>IFERROR(VLOOKUP(B259,Petróleo!R:S,2,FALSE),"")</f>
        <v>2500</v>
      </c>
      <c r="L259" s="1">
        <f>IFERROR(VLOOKUP(B259,Petróleo!T:U,2,FALSE),"")</f>
        <v>4017.3</v>
      </c>
      <c r="M259" s="8">
        <f>IFERROR(VLOOKUP(B259,Petróleo!X:Y,2,FALSE),"")</f>
        <v>29320</v>
      </c>
      <c r="N259" s="8">
        <f>IFERROR(VLOOKUP(B259,Petróleo!Z:AA,2,FALSE),"")</f>
        <v>9300</v>
      </c>
      <c r="O259" s="8">
        <f>IFERROR(VLOOKUP(B259,Petróleo!AB:AC,2,FALSE),"")</f>
        <v>2495</v>
      </c>
      <c r="P259" s="8">
        <f>IFERROR(VLOOKUP(B259,Petróleo!AD:AE,2,FALSE),"")</f>
        <v>3645</v>
      </c>
      <c r="Q259" s="8">
        <f>IFERROR(VLOOKUP(B259,Petróleo!AF:AG,2,FALSE),"")</f>
        <v>2705</v>
      </c>
      <c r="R259" s="8">
        <f>IFERROR(VLOOKUP(B259,Petróleo!AH:AI,2,FALSE),"")</f>
        <v>150</v>
      </c>
      <c r="S259" s="8">
        <f>IFERROR(VLOOKUP(B259,Petróleo!AJ:AK,2,FALSE),"")</f>
        <v>2180</v>
      </c>
      <c r="T259" s="8">
        <f>IFERROR(VLOOKUP(B259,Petróleo!AL:AM,2,FALSE),"")</f>
        <v>2300</v>
      </c>
      <c r="U259" s="8">
        <f>IFERROR(VLOOKUP(B259,Petróleo!AN:AO,2,FALSE),"")</f>
        <v>2485</v>
      </c>
      <c r="V259" s="10" t="str">
        <f>IFERROR(VLOOKUP(A259,Petróleo!AR:AT,3,FALSE),"")</f>
        <v/>
      </c>
    </row>
    <row r="260" spans="1:22" x14ac:dyDescent="0.25">
      <c r="A260" s="9" t="str">
        <f t="shared" si="4"/>
        <v>72011</v>
      </c>
      <c r="B260" s="9">
        <v>40755</v>
      </c>
      <c r="C260" s="1">
        <f>IFERROR(VLOOKUP(B260,Petróleo!A:B,2,FALSE),"")</f>
        <v>5440</v>
      </c>
      <c r="D260" s="1">
        <f>IFERROR(VLOOKUP(B260,Estoque_US!D:E,2,FALSE),"")</f>
        <v>-4494</v>
      </c>
      <c r="E260" s="1">
        <f>IFERROR(VLOOKUP(B260,Petróleo!F:G,2,FALSE),"")</f>
        <v>10037.602000000001</v>
      </c>
      <c r="F260" s="1">
        <f>IFERROR(VLOOKUP(B260,Petróleo!H:I,2,FALSE),"")</f>
        <v>4050</v>
      </c>
      <c r="G260" s="1">
        <f>IFERROR(VLOOKUP(B260,Petróleo!J:K,2,FALSE),"")</f>
        <v>2625</v>
      </c>
      <c r="H260" s="1">
        <f>IFERROR(VLOOKUP(B260,Petróleo!L:M,2,FALSE),"")</f>
        <v>120</v>
      </c>
      <c r="I260" s="1">
        <f>IFERROR(VLOOKUP(B260,Petróleo!N:O,2,FALSE),"")</f>
        <v>2557</v>
      </c>
      <c r="J260" s="1">
        <f>IFERROR(VLOOKUP(B260,Petróleo!P:Q,2,FALSE),"")</f>
        <v>9837</v>
      </c>
      <c r="K260" s="1">
        <f>IFERROR(VLOOKUP(B260,Petróleo!R:S,2,FALSE),"")</f>
        <v>2500</v>
      </c>
      <c r="L260" s="1">
        <f>IFERROR(VLOOKUP(B260,Petróleo!T:U,2,FALSE),"")</f>
        <v>3955.7</v>
      </c>
      <c r="M260" s="8">
        <f>IFERROR(VLOOKUP(B260,Petróleo!X:Y,2,FALSE),"")</f>
        <v>29940</v>
      </c>
      <c r="N260" s="8">
        <f>IFERROR(VLOOKUP(B260,Petróleo!Z:AA,2,FALSE),"")</f>
        <v>9775</v>
      </c>
      <c r="O260" s="8">
        <f>IFERROR(VLOOKUP(B260,Petróleo!AB:AC,2,FALSE),"")</f>
        <v>2515</v>
      </c>
      <c r="P260" s="8">
        <f>IFERROR(VLOOKUP(B260,Petróleo!AD:AE,2,FALSE),"")</f>
        <v>3590</v>
      </c>
      <c r="Q260" s="8">
        <f>IFERROR(VLOOKUP(B260,Petróleo!AF:AG,2,FALSE),"")</f>
        <v>2720</v>
      </c>
      <c r="R260" s="8">
        <f>IFERROR(VLOOKUP(B260,Petróleo!AH:AI,2,FALSE),"")</f>
        <v>100</v>
      </c>
      <c r="S260" s="8">
        <f>IFERROR(VLOOKUP(B260,Petróleo!AJ:AK,2,FALSE),"")</f>
        <v>2180</v>
      </c>
      <c r="T260" s="8">
        <f>IFERROR(VLOOKUP(B260,Petróleo!AL:AM,2,FALSE),"")</f>
        <v>2300</v>
      </c>
      <c r="U260" s="8">
        <f>IFERROR(VLOOKUP(B260,Petróleo!AN:AO,2,FALSE),"")</f>
        <v>2515</v>
      </c>
      <c r="V260" s="10" t="str">
        <f>IFERROR(VLOOKUP(A260,Petróleo!AR:AT,3,FALSE),"")</f>
        <v/>
      </c>
    </row>
    <row r="261" spans="1:22" x14ac:dyDescent="0.25">
      <c r="A261" s="9" t="str">
        <f t="shared" si="4"/>
        <v>82011</v>
      </c>
      <c r="B261" s="9">
        <v>40786</v>
      </c>
      <c r="C261" s="1">
        <f>IFERROR(VLOOKUP(B261,Petróleo!A:B,2,FALSE),"")</f>
        <v>5665</v>
      </c>
      <c r="D261" s="1">
        <f>IFERROR(VLOOKUP(B261,Estoque_US!D:E,2,FALSE),"")</f>
        <v>2076</v>
      </c>
      <c r="E261" s="1">
        <f>IFERROR(VLOOKUP(B261,Petróleo!F:G,2,FALSE),"")</f>
        <v>10137.602000000001</v>
      </c>
      <c r="F261" s="1">
        <f>IFERROR(VLOOKUP(B261,Petróleo!H:I,2,FALSE),"")</f>
        <v>4050</v>
      </c>
      <c r="G261" s="1">
        <f>IFERROR(VLOOKUP(B261,Petróleo!J:K,2,FALSE),"")</f>
        <v>2625</v>
      </c>
      <c r="H261" s="1">
        <f>IFERROR(VLOOKUP(B261,Petróleo!L:M,2,FALSE),"")</f>
        <v>20</v>
      </c>
      <c r="I261" s="1">
        <f>IFERROR(VLOOKUP(B261,Petróleo!N:O,2,FALSE),"")</f>
        <v>2563</v>
      </c>
      <c r="J261" s="1">
        <f>IFERROR(VLOOKUP(B261,Petróleo!P:Q,2,FALSE),"")</f>
        <v>9832</v>
      </c>
      <c r="K261" s="1">
        <f>IFERROR(VLOOKUP(B261,Petróleo!R:S,2,FALSE),"")</f>
        <v>2500</v>
      </c>
      <c r="L261" s="1">
        <f>IFERROR(VLOOKUP(B261,Petróleo!T:U,2,FALSE),"")</f>
        <v>4026.6</v>
      </c>
      <c r="M261" s="8">
        <f>IFERROR(VLOOKUP(B261,Petróleo!X:Y,2,FALSE),"")</f>
        <v>29978</v>
      </c>
      <c r="N261" s="8">
        <f>IFERROR(VLOOKUP(B261,Petróleo!Z:AA,2,FALSE),"")</f>
        <v>9850</v>
      </c>
      <c r="O261" s="8">
        <f>IFERROR(VLOOKUP(B261,Petróleo!AB:AC,2,FALSE),"")</f>
        <v>2555</v>
      </c>
      <c r="P261" s="8">
        <f>IFERROR(VLOOKUP(B261,Petróleo!AD:AE,2,FALSE),"")</f>
        <v>3573</v>
      </c>
      <c r="Q261" s="8">
        <f>IFERROR(VLOOKUP(B261,Petróleo!AF:AG,2,FALSE),"")</f>
        <v>2680</v>
      </c>
      <c r="R261" s="8">
        <f>IFERROR(VLOOKUP(B261,Petróleo!AH:AI,2,FALSE),"")</f>
        <v>45</v>
      </c>
      <c r="S261" s="8">
        <f>IFERROR(VLOOKUP(B261,Petróleo!AJ:AK,2,FALSE),"")</f>
        <v>2230</v>
      </c>
      <c r="T261" s="8">
        <f>IFERROR(VLOOKUP(B261,Petróleo!AL:AM,2,FALSE),"")</f>
        <v>2270</v>
      </c>
      <c r="U261" s="8">
        <f>IFERROR(VLOOKUP(B261,Petróleo!AN:AO,2,FALSE),"")</f>
        <v>2545</v>
      </c>
      <c r="V261" s="10" t="str">
        <f>IFERROR(VLOOKUP(A261,Petróleo!AR:AT,3,FALSE),"")</f>
        <v/>
      </c>
    </row>
    <row r="262" spans="1:22" x14ac:dyDescent="0.25">
      <c r="A262" s="9" t="str">
        <f t="shared" si="4"/>
        <v>92011</v>
      </c>
      <c r="B262" s="9">
        <v>40816</v>
      </c>
      <c r="C262" s="1">
        <f>IFERROR(VLOOKUP(B262,Petróleo!A:B,2,FALSE),"")</f>
        <v>5614</v>
      </c>
      <c r="D262" s="1">
        <f>IFERROR(VLOOKUP(B262,Estoque_US!D:E,2,FALSE),"")</f>
        <v>-20767</v>
      </c>
      <c r="E262" s="1">
        <f>IFERROR(VLOOKUP(B262,Petróleo!F:G,2,FALSE),"")</f>
        <v>9937.6020000000008</v>
      </c>
      <c r="F262" s="1">
        <f>IFERROR(VLOOKUP(B262,Petróleo!H:I,2,FALSE),"")</f>
        <v>4050</v>
      </c>
      <c r="G262" s="1">
        <f>IFERROR(VLOOKUP(B262,Petróleo!J:K,2,FALSE),"")</f>
        <v>2725</v>
      </c>
      <c r="H262" s="1">
        <f>IFERROR(VLOOKUP(B262,Petróleo!L:M,2,FALSE),"")</f>
        <v>120</v>
      </c>
      <c r="I262" s="1">
        <f>IFERROR(VLOOKUP(B262,Petróleo!N:O,2,FALSE),"")</f>
        <v>2529</v>
      </c>
      <c r="J262" s="1">
        <f>IFERROR(VLOOKUP(B262,Petróleo!P:Q,2,FALSE),"")</f>
        <v>9557</v>
      </c>
      <c r="K262" s="1">
        <f>IFERROR(VLOOKUP(B262,Petróleo!R:S,2,FALSE),"")</f>
        <v>2500</v>
      </c>
      <c r="L262" s="1">
        <f>IFERROR(VLOOKUP(B262,Petróleo!T:U,2,FALSE),"")</f>
        <v>3947.3</v>
      </c>
      <c r="M262" s="8">
        <f>IFERROR(VLOOKUP(B262,Petróleo!X:Y,2,FALSE),"")</f>
        <v>30015</v>
      </c>
      <c r="N262" s="8">
        <f>IFERROR(VLOOKUP(B262,Petróleo!Z:AA,2,FALSE),"")</f>
        <v>9760</v>
      </c>
      <c r="O262" s="8">
        <f>IFERROR(VLOOKUP(B262,Petróleo!AB:AC,2,FALSE),"")</f>
        <v>2570</v>
      </c>
      <c r="P262" s="8">
        <f>IFERROR(VLOOKUP(B262,Petróleo!AD:AE,2,FALSE),"")</f>
        <v>3585</v>
      </c>
      <c r="Q262" s="8">
        <f>IFERROR(VLOOKUP(B262,Petróleo!AF:AG,2,FALSE),"")</f>
        <v>2730</v>
      </c>
      <c r="R262" s="8">
        <f>IFERROR(VLOOKUP(B262,Petróleo!AH:AI,2,FALSE),"")</f>
        <v>100</v>
      </c>
      <c r="S262" s="8">
        <f>IFERROR(VLOOKUP(B262,Petróleo!AJ:AK,2,FALSE),"")</f>
        <v>2150</v>
      </c>
      <c r="T262" s="8">
        <f>IFERROR(VLOOKUP(B262,Petróleo!AL:AM,2,FALSE),"")</f>
        <v>2280</v>
      </c>
      <c r="U262" s="8">
        <f>IFERROR(VLOOKUP(B262,Petróleo!AN:AO,2,FALSE),"")</f>
        <v>2560</v>
      </c>
      <c r="V262" s="10" t="str">
        <f>IFERROR(VLOOKUP(A262,Petróleo!AR:AT,3,FALSE),"")</f>
        <v/>
      </c>
    </row>
    <row r="263" spans="1:22" x14ac:dyDescent="0.25">
      <c r="A263" s="9" t="str">
        <f t="shared" si="4"/>
        <v>102011</v>
      </c>
      <c r="B263" s="9">
        <v>40847</v>
      </c>
      <c r="C263" s="1">
        <f>IFERROR(VLOOKUP(B263,Petróleo!A:B,2,FALSE),"")</f>
        <v>5902</v>
      </c>
      <c r="D263" s="1">
        <f>IFERROR(VLOOKUP(B263,Estoque_US!D:E,2,FALSE),"")</f>
        <v>3176</v>
      </c>
      <c r="E263" s="1">
        <f>IFERROR(VLOOKUP(B263,Petróleo!F:G,2,FALSE),"")</f>
        <v>9737.6020000000008</v>
      </c>
      <c r="F263" s="1">
        <f>IFERROR(VLOOKUP(B263,Petróleo!H:I,2,FALSE),"")</f>
        <v>4000</v>
      </c>
      <c r="G263" s="1">
        <f>IFERROR(VLOOKUP(B263,Petróleo!J:K,2,FALSE),"")</f>
        <v>2725</v>
      </c>
      <c r="H263" s="1">
        <f>IFERROR(VLOOKUP(B263,Petróleo!L:M,2,FALSE),"")</f>
        <v>320</v>
      </c>
      <c r="I263" s="1">
        <f>IFERROR(VLOOKUP(B263,Petróleo!N:O,2,FALSE),"")</f>
        <v>2348</v>
      </c>
      <c r="J263" s="1">
        <f>IFERROR(VLOOKUP(B263,Petróleo!P:Q,2,FALSE),"")</f>
        <v>9902</v>
      </c>
      <c r="K263" s="1">
        <f>IFERROR(VLOOKUP(B263,Petróleo!R:S,2,FALSE),"")</f>
        <v>2500</v>
      </c>
      <c r="L263" s="1">
        <f>IFERROR(VLOOKUP(B263,Petróleo!T:U,2,FALSE),"")</f>
        <v>3890.6</v>
      </c>
      <c r="M263" s="8">
        <f>IFERROR(VLOOKUP(B263,Petróleo!X:Y,2,FALSE),"")</f>
        <v>29965</v>
      </c>
      <c r="N263" s="8">
        <f>IFERROR(VLOOKUP(B263,Petróleo!Z:AA,2,FALSE),"")</f>
        <v>9485</v>
      </c>
      <c r="O263" s="8">
        <f>IFERROR(VLOOKUP(B263,Petróleo!AB:AC,2,FALSE),"")</f>
        <v>2555</v>
      </c>
      <c r="P263" s="8">
        <f>IFERROR(VLOOKUP(B263,Petróleo!AD:AE,2,FALSE),"")</f>
        <v>3575</v>
      </c>
      <c r="Q263" s="8">
        <f>IFERROR(VLOOKUP(B263,Petróleo!AF:AG,2,FALSE),"")</f>
        <v>2655</v>
      </c>
      <c r="R263" s="8">
        <f>IFERROR(VLOOKUP(B263,Petróleo!AH:AI,2,FALSE),"")</f>
        <v>345</v>
      </c>
      <c r="S263" s="8">
        <f>IFERROR(VLOOKUP(B263,Petróleo!AJ:AK,2,FALSE),"")</f>
        <v>2130</v>
      </c>
      <c r="T263" s="8">
        <f>IFERROR(VLOOKUP(B263,Petróleo!AL:AM,2,FALSE),"")</f>
        <v>2290</v>
      </c>
      <c r="U263" s="8">
        <f>IFERROR(VLOOKUP(B263,Petróleo!AN:AO,2,FALSE),"")</f>
        <v>2545</v>
      </c>
      <c r="V263" s="10" t="str">
        <f>IFERROR(VLOOKUP(A263,Petróleo!AR:AT,3,FALSE),"")</f>
        <v/>
      </c>
    </row>
    <row r="264" spans="1:22" x14ac:dyDescent="0.25">
      <c r="A264" s="9" t="str">
        <f t="shared" si="4"/>
        <v>112011</v>
      </c>
      <c r="B264" s="9">
        <v>40877</v>
      </c>
      <c r="C264" s="1">
        <f>IFERROR(VLOOKUP(B264,Petróleo!A:B,2,FALSE),"")</f>
        <v>6039</v>
      </c>
      <c r="D264" s="1">
        <f>IFERROR(VLOOKUP(B264,Estoque_US!D:E,2,FALSE),"")</f>
        <v>-4713</v>
      </c>
      <c r="E264" s="1">
        <f>IFERROR(VLOOKUP(B264,Petróleo!F:G,2,FALSE),"")</f>
        <v>10037.602000000001</v>
      </c>
      <c r="F264" s="1">
        <f>IFERROR(VLOOKUP(B264,Petróleo!H:I,2,FALSE),"")</f>
        <v>4000</v>
      </c>
      <c r="G264" s="1">
        <f>IFERROR(VLOOKUP(B264,Petróleo!J:K,2,FALSE),"")</f>
        <v>2725</v>
      </c>
      <c r="H264" s="1">
        <f>IFERROR(VLOOKUP(B264,Petróleo!L:M,2,FALSE),"")</f>
        <v>570</v>
      </c>
      <c r="I264" s="1">
        <f>IFERROR(VLOOKUP(B264,Petróleo!N:O,2,FALSE),"")</f>
        <v>2440</v>
      </c>
      <c r="J264" s="1">
        <f>IFERROR(VLOOKUP(B264,Petróleo!P:Q,2,FALSE),"")</f>
        <v>9595</v>
      </c>
      <c r="K264" s="1">
        <f>IFERROR(VLOOKUP(B264,Petróleo!R:S,2,FALSE),"")</f>
        <v>2500</v>
      </c>
      <c r="L264" s="1">
        <f>IFERROR(VLOOKUP(B264,Petróleo!T:U,2,FALSE),"")</f>
        <v>3978</v>
      </c>
      <c r="M264" s="8">
        <f>IFERROR(VLOOKUP(B264,Petróleo!X:Y,2,FALSE),"")</f>
        <v>30490</v>
      </c>
      <c r="N264" s="8">
        <f>IFERROR(VLOOKUP(B264,Petróleo!Z:AA,2,FALSE),"")</f>
        <v>9600</v>
      </c>
      <c r="O264" s="8">
        <f>IFERROR(VLOOKUP(B264,Petróleo!AB:AC,2,FALSE),"")</f>
        <v>2595</v>
      </c>
      <c r="P264" s="8">
        <f>IFERROR(VLOOKUP(B264,Petróleo!AD:AE,2,FALSE),"")</f>
        <v>3560</v>
      </c>
      <c r="Q264" s="8">
        <f>IFERROR(VLOOKUP(B264,Petróleo!AF:AG,2,FALSE),"")</f>
        <v>2705</v>
      </c>
      <c r="R264" s="8">
        <f>IFERROR(VLOOKUP(B264,Petróleo!AH:AI,2,FALSE),"")</f>
        <v>600</v>
      </c>
      <c r="S264" s="8">
        <f>IFERROR(VLOOKUP(B264,Petróleo!AJ:AK,2,FALSE),"")</f>
        <v>2150</v>
      </c>
      <c r="T264" s="8">
        <f>IFERROR(VLOOKUP(B264,Petróleo!AL:AM,2,FALSE),"")</f>
        <v>2290</v>
      </c>
      <c r="U264" s="8">
        <f>IFERROR(VLOOKUP(B264,Petróleo!AN:AO,2,FALSE),"")</f>
        <v>2595</v>
      </c>
      <c r="V264" s="10" t="str">
        <f>IFERROR(VLOOKUP(A264,Petróleo!AR:AT,3,FALSE),"")</f>
        <v/>
      </c>
    </row>
    <row r="265" spans="1:22" x14ac:dyDescent="0.25">
      <c r="A265" s="9" t="str">
        <f t="shared" si="4"/>
        <v>122011</v>
      </c>
      <c r="B265" s="9">
        <v>40908</v>
      </c>
      <c r="C265" s="1">
        <f>IFERROR(VLOOKUP(B265,Petróleo!A:B,2,FALSE),"")</f>
        <v>6112</v>
      </c>
      <c r="D265" s="1">
        <f>IFERROR(VLOOKUP(B265,Estoque_US!D:E,2,FALSE),"")</f>
        <v>-5058</v>
      </c>
      <c r="E265" s="1">
        <f>IFERROR(VLOOKUP(B265,Petróleo!F:G,2,FALSE),"")</f>
        <v>10037.602000000001</v>
      </c>
      <c r="F265" s="1">
        <f>IFERROR(VLOOKUP(B265,Petróleo!H:I,2,FALSE),"")</f>
        <v>3950</v>
      </c>
      <c r="G265" s="1">
        <f>IFERROR(VLOOKUP(B265,Petróleo!J:K,2,FALSE),"")</f>
        <v>2725</v>
      </c>
      <c r="H265" s="1">
        <f>IFERROR(VLOOKUP(B265,Petróleo!L:M,2,FALSE),"")</f>
        <v>820</v>
      </c>
      <c r="I265" s="1">
        <f>IFERROR(VLOOKUP(B265,Petróleo!N:O,2,FALSE),"")</f>
        <v>2327</v>
      </c>
      <c r="J265" s="1">
        <f>IFERROR(VLOOKUP(B265,Petróleo!P:Q,2,FALSE),"")</f>
        <v>9869</v>
      </c>
      <c r="K265" s="1">
        <f>IFERROR(VLOOKUP(B265,Petróleo!R:S,2,FALSE),"")</f>
        <v>2500</v>
      </c>
      <c r="L265" s="1">
        <f>IFERROR(VLOOKUP(B265,Petróleo!T:U,2,FALSE),"")</f>
        <v>3999.3</v>
      </c>
      <c r="M265" s="8">
        <f>IFERROR(VLOOKUP(B265,Petróleo!X:Y,2,FALSE),"")</f>
        <v>30712</v>
      </c>
      <c r="N265" s="8">
        <f>IFERROR(VLOOKUP(B265,Petróleo!Z:AA,2,FALSE),"")</f>
        <v>9700</v>
      </c>
      <c r="O265" s="8">
        <f>IFERROR(VLOOKUP(B265,Petróleo!AB:AC,2,FALSE),"")</f>
        <v>2550</v>
      </c>
      <c r="P265" s="8">
        <f>IFERROR(VLOOKUP(B265,Petróleo!AD:AE,2,FALSE),"")</f>
        <v>3575</v>
      </c>
      <c r="Q265" s="8">
        <f>IFERROR(VLOOKUP(B265,Petróleo!AF:AG,2,FALSE),"")</f>
        <v>2700</v>
      </c>
      <c r="R265" s="8">
        <f>IFERROR(VLOOKUP(B265,Petróleo!AH:AI,2,FALSE),"")</f>
        <v>700</v>
      </c>
      <c r="S265" s="8">
        <f>IFERROR(VLOOKUP(B265,Petróleo!AJ:AK,2,FALSE),"")</f>
        <v>2220</v>
      </c>
      <c r="T265" s="8">
        <f>IFERROR(VLOOKUP(B265,Petróleo!AL:AM,2,FALSE),"")</f>
        <v>2290</v>
      </c>
      <c r="U265" s="8">
        <f>IFERROR(VLOOKUP(B265,Petróleo!AN:AO,2,FALSE),"")</f>
        <v>2620</v>
      </c>
      <c r="V265" s="10" t="str">
        <f>IFERROR(VLOOKUP(A265,Petróleo!AR:AT,3,FALSE),"")</f>
        <v/>
      </c>
    </row>
    <row r="266" spans="1:22" x14ac:dyDescent="0.25">
      <c r="A266" s="9" t="str">
        <f t="shared" si="4"/>
        <v>12012</v>
      </c>
      <c r="B266" s="9">
        <v>40939</v>
      </c>
      <c r="C266" s="1">
        <f>IFERROR(VLOOKUP(B266,Petróleo!A:B,2,FALSE),"")</f>
        <v>6177</v>
      </c>
      <c r="D266" s="1">
        <f>IFERROR(VLOOKUP(B266,Estoque_US!D:E,2,FALSE),"")</f>
        <v>9253</v>
      </c>
      <c r="E266" s="1">
        <f>IFERROR(VLOOKUP(B266,Petróleo!F:G,2,FALSE),"")</f>
        <v>10004.258</v>
      </c>
      <c r="F266" s="1">
        <f>IFERROR(VLOOKUP(B266,Petróleo!H:I,2,FALSE),"")</f>
        <v>3850</v>
      </c>
      <c r="G266" s="1">
        <f>IFERROR(VLOOKUP(B266,Petróleo!J:K,2,FALSE),"")</f>
        <v>2675</v>
      </c>
      <c r="H266" s="1">
        <f>IFERROR(VLOOKUP(B266,Petróleo!L:M,2,FALSE),"")</f>
        <v>1065</v>
      </c>
      <c r="I266" s="1">
        <f>IFERROR(VLOOKUP(B266,Petróleo!N:O,2,FALSE),"")</f>
        <v>2432</v>
      </c>
      <c r="J266" s="1">
        <f>IFERROR(VLOOKUP(B266,Petróleo!P:Q,2,FALSE),"")</f>
        <v>9894</v>
      </c>
      <c r="K266" s="1">
        <f>IFERROR(VLOOKUP(B266,Petróleo!R:S,2,FALSE),"")</f>
        <v>2500</v>
      </c>
      <c r="L266" s="1">
        <f>IFERROR(VLOOKUP(B266,Petróleo!T:U,2,FALSE),"")</f>
        <v>4022.1</v>
      </c>
      <c r="M266" s="8">
        <f>IFERROR(VLOOKUP(B266,Petróleo!X:Y,2,FALSE),"")</f>
        <v>30790</v>
      </c>
      <c r="N266" s="8">
        <f>IFERROR(VLOOKUP(B266,Petróleo!Z:AA,2,FALSE),"")</f>
        <v>9650</v>
      </c>
      <c r="O266" s="8">
        <f>IFERROR(VLOOKUP(B266,Petróleo!AB:AC,2,FALSE),"")</f>
        <v>2585</v>
      </c>
      <c r="P266" s="8">
        <f>IFERROR(VLOOKUP(B266,Petróleo!AD:AE,2,FALSE),"")</f>
        <v>3495</v>
      </c>
      <c r="Q266" s="8">
        <f>IFERROR(VLOOKUP(B266,Petróleo!AF:AG,2,FALSE),"")</f>
        <v>2750</v>
      </c>
      <c r="R266" s="8">
        <f>IFERROR(VLOOKUP(B266,Petróleo!AH:AI,2,FALSE),"")</f>
        <v>925</v>
      </c>
      <c r="S266" s="8">
        <f>IFERROR(VLOOKUP(B266,Petróleo!AJ:AK,2,FALSE),"")</f>
        <v>2140</v>
      </c>
      <c r="T266" s="8">
        <f>IFERROR(VLOOKUP(B266,Petróleo!AL:AM,2,FALSE),"")</f>
        <v>2300</v>
      </c>
      <c r="U266" s="8">
        <f>IFERROR(VLOOKUP(B266,Petróleo!AN:AO,2,FALSE),"")</f>
        <v>2650</v>
      </c>
      <c r="V266" s="10" t="str">
        <f>IFERROR(VLOOKUP(A266,Petróleo!AR:AT,3,FALSE),"")</f>
        <v/>
      </c>
    </row>
    <row r="267" spans="1:22" x14ac:dyDescent="0.25">
      <c r="A267" s="9" t="str">
        <f t="shared" si="4"/>
        <v>22012</v>
      </c>
      <c r="B267" s="9">
        <v>40968</v>
      </c>
      <c r="C267" s="1">
        <f>IFERROR(VLOOKUP(B267,Petróleo!A:B,2,FALSE),"")</f>
        <v>6268</v>
      </c>
      <c r="D267" s="1">
        <f>IFERROR(VLOOKUP(B267,Estoque_US!D:E,2,FALSE),"")</f>
        <v>5926</v>
      </c>
      <c r="E267" s="1">
        <f>IFERROR(VLOOKUP(B267,Petróleo!F:G,2,FALSE),"")</f>
        <v>10204.258</v>
      </c>
      <c r="F267" s="1">
        <f>IFERROR(VLOOKUP(B267,Petróleo!H:I,2,FALSE),"")</f>
        <v>3800</v>
      </c>
      <c r="G267" s="1">
        <f>IFERROR(VLOOKUP(B267,Petróleo!J:K,2,FALSE),"")</f>
        <v>2575</v>
      </c>
      <c r="H267" s="1">
        <f>IFERROR(VLOOKUP(B267,Petróleo!L:M,2,FALSE),"")</f>
        <v>1265</v>
      </c>
      <c r="I267" s="1">
        <f>IFERROR(VLOOKUP(B267,Petróleo!N:O,2,FALSE),"")</f>
        <v>2458</v>
      </c>
      <c r="J267" s="1">
        <f>IFERROR(VLOOKUP(B267,Petróleo!P:Q,2,FALSE),"")</f>
        <v>9889</v>
      </c>
      <c r="K267" s="1">
        <f>IFERROR(VLOOKUP(B267,Petróleo!R:S,2,FALSE),"")</f>
        <v>2500</v>
      </c>
      <c r="L267" s="1">
        <f>IFERROR(VLOOKUP(B267,Petróleo!T:U,2,FALSE),"")</f>
        <v>3985.5</v>
      </c>
      <c r="M267" s="8">
        <f>IFERROR(VLOOKUP(B267,Petróleo!X:Y,2,FALSE),"")</f>
        <v>31110</v>
      </c>
      <c r="N267" s="8">
        <f>IFERROR(VLOOKUP(B267,Petróleo!Z:AA,2,FALSE),"")</f>
        <v>9685</v>
      </c>
      <c r="O267" s="8">
        <f>IFERROR(VLOOKUP(B267,Petróleo!AB:AC,2,FALSE),"")</f>
        <v>2595</v>
      </c>
      <c r="P267" s="8">
        <f>IFERROR(VLOOKUP(B267,Petróleo!AD:AE,2,FALSE),"")</f>
        <v>3450</v>
      </c>
      <c r="Q267" s="8">
        <f>IFERROR(VLOOKUP(B267,Petróleo!AF:AG,2,FALSE),"")</f>
        <v>2760</v>
      </c>
      <c r="R267" s="8">
        <f>IFERROR(VLOOKUP(B267,Petróleo!AH:AI,2,FALSE),"")</f>
        <v>1125</v>
      </c>
      <c r="S267" s="8">
        <f>IFERROR(VLOOKUP(B267,Petróleo!AJ:AK,2,FALSE),"")</f>
        <v>2155</v>
      </c>
      <c r="T267" s="8">
        <f>IFERROR(VLOOKUP(B267,Petróleo!AL:AM,2,FALSE),"")</f>
        <v>2310</v>
      </c>
      <c r="U267" s="8">
        <f>IFERROR(VLOOKUP(B267,Petróleo!AN:AO,2,FALSE),"")</f>
        <v>2665</v>
      </c>
      <c r="V267" s="10" t="str">
        <f>IFERROR(VLOOKUP(A267,Petróleo!AR:AT,3,FALSE),"")</f>
        <v/>
      </c>
    </row>
    <row r="268" spans="1:22" x14ac:dyDescent="0.25">
      <c r="A268" s="9" t="str">
        <f t="shared" si="4"/>
        <v>32012</v>
      </c>
      <c r="B268" s="9">
        <v>40999</v>
      </c>
      <c r="C268" s="1">
        <f>IFERROR(VLOOKUP(B268,Petróleo!A:B,2,FALSE),"")</f>
        <v>6327</v>
      </c>
      <c r="D268" s="1">
        <f>IFERROR(VLOOKUP(B268,Estoque_US!D:E,2,FALSE),"")</f>
        <v>17531</v>
      </c>
      <c r="E268" s="1">
        <f>IFERROR(VLOOKUP(B268,Petróleo!F:G,2,FALSE),"")</f>
        <v>10194.258</v>
      </c>
      <c r="F268" s="1">
        <f>IFERROR(VLOOKUP(B268,Petróleo!H:I,2,FALSE),"")</f>
        <v>3750</v>
      </c>
      <c r="G268" s="1">
        <f>IFERROR(VLOOKUP(B268,Petróleo!J:K,2,FALSE),"")</f>
        <v>2725</v>
      </c>
      <c r="H268" s="1">
        <f>IFERROR(VLOOKUP(B268,Petróleo!L:M,2,FALSE),"")</f>
        <v>1415</v>
      </c>
      <c r="I268" s="1">
        <f>IFERROR(VLOOKUP(B268,Petróleo!N:O,2,FALSE),"")</f>
        <v>2438</v>
      </c>
      <c r="J268" s="1">
        <f>IFERROR(VLOOKUP(B268,Petróleo!P:Q,2,FALSE),"")</f>
        <v>9891</v>
      </c>
      <c r="K268" s="1">
        <f>IFERROR(VLOOKUP(B268,Petróleo!R:S,2,FALSE),"")</f>
        <v>2500</v>
      </c>
      <c r="L268" s="1">
        <f>IFERROR(VLOOKUP(B268,Petróleo!T:U,2,FALSE),"")</f>
        <v>4015</v>
      </c>
      <c r="M268" s="8">
        <f>IFERROR(VLOOKUP(B268,Petróleo!X:Y,2,FALSE),"")</f>
        <v>31095</v>
      </c>
      <c r="N268" s="8">
        <f>IFERROR(VLOOKUP(B268,Petróleo!Z:AA,2,FALSE),"")</f>
        <v>9705</v>
      </c>
      <c r="O268" s="8">
        <f>IFERROR(VLOOKUP(B268,Petróleo!AB:AC,2,FALSE),"")</f>
        <v>2610</v>
      </c>
      <c r="P268" s="8">
        <f>IFERROR(VLOOKUP(B268,Petróleo!AD:AE,2,FALSE),"")</f>
        <v>3385</v>
      </c>
      <c r="Q268" s="8">
        <f>IFERROR(VLOOKUP(B268,Petróleo!AF:AG,2,FALSE),"")</f>
        <v>2805</v>
      </c>
      <c r="R268" s="8">
        <f>IFERROR(VLOOKUP(B268,Petróleo!AH:AI,2,FALSE),"")</f>
        <v>1250</v>
      </c>
      <c r="S268" s="8">
        <f>IFERROR(VLOOKUP(B268,Petróleo!AJ:AK,2,FALSE),"")</f>
        <v>2095</v>
      </c>
      <c r="T268" s="8">
        <f>IFERROR(VLOOKUP(B268,Petróleo!AL:AM,2,FALSE),"")</f>
        <v>2315</v>
      </c>
      <c r="U268" s="8">
        <f>IFERROR(VLOOKUP(B268,Petróleo!AN:AO,2,FALSE),"")</f>
        <v>2680</v>
      </c>
      <c r="V268" s="10" t="str">
        <f>IFERROR(VLOOKUP(A268,Petróleo!AR:AT,3,FALSE),"")</f>
        <v/>
      </c>
    </row>
    <row r="269" spans="1:22" x14ac:dyDescent="0.25">
      <c r="A269" s="9" t="str">
        <f t="shared" si="4"/>
        <v>42012</v>
      </c>
      <c r="B269" s="9">
        <v>41029</v>
      </c>
      <c r="C269" s="1">
        <f>IFERROR(VLOOKUP(B269,Petróleo!A:B,2,FALSE),"")</f>
        <v>6320</v>
      </c>
      <c r="D269" s="1">
        <f>IFERROR(VLOOKUP(B269,Estoque_US!D:E,2,FALSE),"")</f>
        <v>13465</v>
      </c>
      <c r="E269" s="1">
        <f>IFERROR(VLOOKUP(B269,Petróleo!F:G,2,FALSE),"")</f>
        <v>10094.258</v>
      </c>
      <c r="F269" s="1">
        <f>IFERROR(VLOOKUP(B269,Petróleo!H:I,2,FALSE),"")</f>
        <v>3600</v>
      </c>
      <c r="G269" s="1">
        <f>IFERROR(VLOOKUP(B269,Petróleo!J:K,2,FALSE),"")</f>
        <v>2965</v>
      </c>
      <c r="H269" s="1">
        <f>IFERROR(VLOOKUP(B269,Petróleo!L:M,2,FALSE),"")</f>
        <v>1465</v>
      </c>
      <c r="I269" s="1">
        <f>IFERROR(VLOOKUP(B269,Petróleo!N:O,2,FALSE),"")</f>
        <v>2595</v>
      </c>
      <c r="J269" s="1">
        <f>IFERROR(VLOOKUP(B269,Petróleo!P:Q,2,FALSE),"")</f>
        <v>9861</v>
      </c>
      <c r="K269" s="1">
        <f>IFERROR(VLOOKUP(B269,Petróleo!R:S,2,FALSE),"")</f>
        <v>2500</v>
      </c>
      <c r="L269" s="1">
        <f>IFERROR(VLOOKUP(B269,Petróleo!T:U,2,FALSE),"")</f>
        <v>4060</v>
      </c>
      <c r="M269" s="8">
        <f>IFERROR(VLOOKUP(B269,Petróleo!X:Y,2,FALSE),"")</f>
        <v>31565</v>
      </c>
      <c r="N269" s="8">
        <f>IFERROR(VLOOKUP(B269,Petróleo!Z:AA,2,FALSE),"")</f>
        <v>9820</v>
      </c>
      <c r="O269" s="8">
        <f>IFERROR(VLOOKUP(B269,Petróleo!AB:AC,2,FALSE),"")</f>
        <v>2650</v>
      </c>
      <c r="P269" s="8">
        <f>IFERROR(VLOOKUP(B269,Petróleo!AD:AE,2,FALSE),"")</f>
        <v>3275</v>
      </c>
      <c r="Q269" s="8">
        <f>IFERROR(VLOOKUP(B269,Petróleo!AF:AG,2,FALSE),"")</f>
        <v>2980</v>
      </c>
      <c r="R269" s="8">
        <f>IFERROR(VLOOKUP(B269,Petróleo!AH:AI,2,FALSE),"")</f>
        <v>1350</v>
      </c>
      <c r="S269" s="8">
        <f>IFERROR(VLOOKUP(B269,Petróleo!AJ:AK,2,FALSE),"")</f>
        <v>2135</v>
      </c>
      <c r="T269" s="8">
        <f>IFERROR(VLOOKUP(B269,Petróleo!AL:AM,2,FALSE),"")</f>
        <v>2325</v>
      </c>
      <c r="U269" s="8">
        <f>IFERROR(VLOOKUP(B269,Petróleo!AN:AO,2,FALSE),"")</f>
        <v>2720</v>
      </c>
      <c r="V269" s="10" t="str">
        <f>IFERROR(VLOOKUP(A269,Petróleo!AR:AT,3,FALSE),"")</f>
        <v/>
      </c>
    </row>
    <row r="270" spans="1:22" x14ac:dyDescent="0.25">
      <c r="A270" s="9" t="str">
        <f t="shared" si="4"/>
        <v>52012</v>
      </c>
      <c r="B270" s="9">
        <v>41060</v>
      </c>
      <c r="C270" s="1">
        <f>IFERROR(VLOOKUP(B270,Petróleo!A:B,2,FALSE),"")</f>
        <v>6370</v>
      </c>
      <c r="D270" s="1">
        <f>IFERROR(VLOOKUP(B270,Estoque_US!D:E,2,FALSE),"")</f>
        <v>8876</v>
      </c>
      <c r="E270" s="1">
        <f>IFERROR(VLOOKUP(B270,Petróleo!F:G,2,FALSE),"")</f>
        <v>9894.2579999999998</v>
      </c>
      <c r="F270" s="1">
        <f>IFERROR(VLOOKUP(B270,Petróleo!H:I,2,FALSE),"")</f>
        <v>3525</v>
      </c>
      <c r="G270" s="1">
        <f>IFERROR(VLOOKUP(B270,Petróleo!J:K,2,FALSE),"")</f>
        <v>2925</v>
      </c>
      <c r="H270" s="1">
        <f>IFERROR(VLOOKUP(B270,Petróleo!L:M,2,FALSE),"")</f>
        <v>1465</v>
      </c>
      <c r="I270" s="1">
        <f>IFERROR(VLOOKUP(B270,Petróleo!N:O,2,FALSE),"")</f>
        <v>2530</v>
      </c>
      <c r="J270" s="1">
        <f>IFERROR(VLOOKUP(B270,Petróleo!P:Q,2,FALSE),"")</f>
        <v>9882</v>
      </c>
      <c r="K270" s="1">
        <f>IFERROR(VLOOKUP(B270,Petróleo!R:S,2,FALSE),"")</f>
        <v>2500</v>
      </c>
      <c r="L270" s="1">
        <f>IFERROR(VLOOKUP(B270,Petróleo!T:U,2,FALSE),"")</f>
        <v>4021.1</v>
      </c>
      <c r="M270" s="8">
        <f>IFERROR(VLOOKUP(B270,Petróleo!X:Y,2,FALSE),"")</f>
        <v>31610</v>
      </c>
      <c r="N270" s="8">
        <f>IFERROR(VLOOKUP(B270,Petróleo!Z:AA,2,FALSE),"")</f>
        <v>9900</v>
      </c>
      <c r="O270" s="8">
        <f>IFERROR(VLOOKUP(B270,Petróleo!AB:AC,2,FALSE),"")</f>
        <v>2630</v>
      </c>
      <c r="P270" s="8">
        <f>IFERROR(VLOOKUP(B270,Petróleo!AD:AE,2,FALSE),"")</f>
        <v>3225</v>
      </c>
      <c r="Q270" s="8">
        <f>IFERROR(VLOOKUP(B270,Petróleo!AF:AG,2,FALSE),"")</f>
        <v>2935</v>
      </c>
      <c r="R270" s="8">
        <f>IFERROR(VLOOKUP(B270,Petróleo!AH:AI,2,FALSE),"")</f>
        <v>1400</v>
      </c>
      <c r="S270" s="8">
        <f>IFERROR(VLOOKUP(B270,Petróleo!AJ:AK,2,FALSE),"")</f>
        <v>2175</v>
      </c>
      <c r="T270" s="8">
        <f>IFERROR(VLOOKUP(B270,Petróleo!AL:AM,2,FALSE),"")</f>
        <v>2335</v>
      </c>
      <c r="U270" s="8">
        <f>IFERROR(VLOOKUP(B270,Petróleo!AN:AO,2,FALSE),"")</f>
        <v>2725</v>
      </c>
      <c r="V270" s="10" t="str">
        <f>IFERROR(VLOOKUP(A270,Petróleo!AR:AT,3,FALSE),"")</f>
        <v/>
      </c>
    </row>
    <row r="271" spans="1:22" x14ac:dyDescent="0.25">
      <c r="A271" s="9" t="str">
        <f t="shared" si="4"/>
        <v>62012</v>
      </c>
      <c r="B271" s="9">
        <v>41090</v>
      </c>
      <c r="C271" s="1">
        <f>IFERROR(VLOOKUP(B271,Petróleo!A:B,2,FALSE),"")</f>
        <v>6275</v>
      </c>
      <c r="D271" s="1">
        <f>IFERROR(VLOOKUP(B271,Estoque_US!D:E,2,FALSE),"")</f>
        <v>-1844</v>
      </c>
      <c r="E271" s="1">
        <f>IFERROR(VLOOKUP(B271,Petróleo!F:G,2,FALSE),"")</f>
        <v>10184.258</v>
      </c>
      <c r="F271" s="1">
        <f>IFERROR(VLOOKUP(B271,Petróleo!H:I,2,FALSE),"")</f>
        <v>3350</v>
      </c>
      <c r="G271" s="1">
        <f>IFERROR(VLOOKUP(B271,Petróleo!J:K,2,FALSE),"")</f>
        <v>2975</v>
      </c>
      <c r="H271" s="1">
        <f>IFERROR(VLOOKUP(B271,Petróleo!L:M,2,FALSE),"")</f>
        <v>1465</v>
      </c>
      <c r="I271" s="1">
        <f>IFERROR(VLOOKUP(B271,Petróleo!N:O,2,FALSE),"")</f>
        <v>2527</v>
      </c>
      <c r="J271" s="1">
        <f>IFERROR(VLOOKUP(B271,Petróleo!P:Q,2,FALSE),"")</f>
        <v>9861</v>
      </c>
      <c r="K271" s="1">
        <f>IFERROR(VLOOKUP(B271,Petróleo!R:S,2,FALSE),"")</f>
        <v>2500</v>
      </c>
      <c r="L271" s="1">
        <f>IFERROR(VLOOKUP(B271,Petróleo!T:U,2,FALSE),"")</f>
        <v>3963.2</v>
      </c>
      <c r="M271" s="8">
        <f>IFERROR(VLOOKUP(B271,Petróleo!X:Y,2,FALSE),"")</f>
        <v>31538</v>
      </c>
      <c r="N271" s="8">
        <f>IFERROR(VLOOKUP(B271,Petróleo!Z:AA,2,FALSE),"")</f>
        <v>9830</v>
      </c>
      <c r="O271" s="8">
        <f>IFERROR(VLOOKUP(B271,Petróleo!AB:AC,2,FALSE),"")</f>
        <v>2605</v>
      </c>
      <c r="P271" s="8">
        <f>IFERROR(VLOOKUP(B271,Petróleo!AD:AE,2,FALSE),"")</f>
        <v>3160</v>
      </c>
      <c r="Q271" s="8">
        <f>IFERROR(VLOOKUP(B271,Petróleo!AF:AG,2,FALSE),"")</f>
        <v>2960</v>
      </c>
      <c r="R271" s="8">
        <f>IFERROR(VLOOKUP(B271,Petróleo!AH:AI,2,FALSE),"")</f>
        <v>1425</v>
      </c>
      <c r="S271" s="8">
        <f>IFERROR(VLOOKUP(B271,Petróleo!AJ:AK,2,FALSE),"")</f>
        <v>2180</v>
      </c>
      <c r="T271" s="8">
        <f>IFERROR(VLOOKUP(B271,Petróleo!AL:AM,2,FALSE),"")</f>
        <v>2335</v>
      </c>
      <c r="U271" s="8">
        <f>IFERROR(VLOOKUP(B271,Petróleo!AN:AO,2,FALSE),"")</f>
        <v>2760</v>
      </c>
      <c r="V271" s="10" t="str">
        <f>IFERROR(VLOOKUP(A271,Petróleo!AR:AT,3,FALSE),"")</f>
        <v/>
      </c>
    </row>
    <row r="272" spans="1:22" x14ac:dyDescent="0.25">
      <c r="A272" s="9" t="str">
        <f t="shared" si="4"/>
        <v>72012</v>
      </c>
      <c r="B272" s="9">
        <v>41121</v>
      </c>
      <c r="C272" s="1">
        <f>IFERROR(VLOOKUP(B272,Petróleo!A:B,2,FALSE),"")</f>
        <v>6431</v>
      </c>
      <c r="D272" s="1">
        <f>IFERROR(VLOOKUP(B272,Estoque_US!D:E,2,FALSE),"")</f>
        <v>-9310</v>
      </c>
      <c r="E272" s="1">
        <f>IFERROR(VLOOKUP(B272,Petróleo!F:G,2,FALSE),"")</f>
        <v>10179.258</v>
      </c>
      <c r="F272" s="1">
        <f>IFERROR(VLOOKUP(B272,Petróleo!H:I,2,FALSE),"")</f>
        <v>3200</v>
      </c>
      <c r="G272" s="1">
        <f>IFERROR(VLOOKUP(B272,Petróleo!J:K,2,FALSE),"")</f>
        <v>3075</v>
      </c>
      <c r="H272" s="1">
        <f>IFERROR(VLOOKUP(B272,Petróleo!L:M,2,FALSE),"")</f>
        <v>1465</v>
      </c>
      <c r="I272" s="1">
        <f>IFERROR(VLOOKUP(B272,Petróleo!N:O,2,FALSE),"")</f>
        <v>2533</v>
      </c>
      <c r="J272" s="1">
        <f>IFERROR(VLOOKUP(B272,Petróleo!P:Q,2,FALSE),"")</f>
        <v>9882</v>
      </c>
      <c r="K272" s="1">
        <f>IFERROR(VLOOKUP(B272,Petróleo!R:S,2,FALSE),"")</f>
        <v>2500</v>
      </c>
      <c r="L272" s="1">
        <f>IFERROR(VLOOKUP(B272,Petróleo!T:U,2,FALSE),"")</f>
        <v>3967.9</v>
      </c>
      <c r="M272" s="8">
        <f>IFERROR(VLOOKUP(B272,Petróleo!X:Y,2,FALSE),"")</f>
        <v>31603</v>
      </c>
      <c r="N272" s="8">
        <f>IFERROR(VLOOKUP(B272,Petróleo!Z:AA,2,FALSE),"")</f>
        <v>9900</v>
      </c>
      <c r="O272" s="8">
        <f>IFERROR(VLOOKUP(B272,Petróleo!AB:AC,2,FALSE),"")</f>
        <v>2650</v>
      </c>
      <c r="P272" s="8">
        <f>IFERROR(VLOOKUP(B272,Petróleo!AD:AE,2,FALSE),"")</f>
        <v>3100</v>
      </c>
      <c r="Q272" s="8">
        <f>IFERROR(VLOOKUP(B272,Petróleo!AF:AG,2,FALSE),"")</f>
        <v>2965</v>
      </c>
      <c r="R272" s="8">
        <f>IFERROR(VLOOKUP(B272,Petróleo!AH:AI,2,FALSE),"")</f>
        <v>1600</v>
      </c>
      <c r="S272" s="8">
        <f>IFERROR(VLOOKUP(B272,Petróleo!AJ:AK,2,FALSE),"")</f>
        <v>2120</v>
      </c>
      <c r="T272" s="8">
        <f>IFERROR(VLOOKUP(B272,Petróleo!AL:AM,2,FALSE),"")</f>
        <v>2340</v>
      </c>
      <c r="U272" s="8">
        <f>IFERROR(VLOOKUP(B272,Petróleo!AN:AO,2,FALSE),"")</f>
        <v>2850</v>
      </c>
      <c r="V272" s="10" t="str">
        <f>IFERROR(VLOOKUP(A272,Petróleo!AR:AT,3,FALSE),"")</f>
        <v/>
      </c>
    </row>
    <row r="273" spans="1:22" x14ac:dyDescent="0.25">
      <c r="A273" s="9" t="str">
        <f t="shared" si="4"/>
        <v>82012</v>
      </c>
      <c r="B273" s="9">
        <v>41152</v>
      </c>
      <c r="C273" s="1">
        <f>IFERROR(VLOOKUP(B273,Petróleo!A:B,2,FALSE),"")</f>
        <v>6351</v>
      </c>
      <c r="D273" s="1">
        <f>IFERROR(VLOOKUP(B273,Estoque_US!D:E,2,FALSE),"")</f>
        <v>-16488</v>
      </c>
      <c r="E273" s="1">
        <f>IFERROR(VLOOKUP(B273,Petróleo!F:G,2,FALSE),"")</f>
        <v>10179.258</v>
      </c>
      <c r="F273" s="1">
        <f>IFERROR(VLOOKUP(B273,Petróleo!H:I,2,FALSE),"")</f>
        <v>3134</v>
      </c>
      <c r="G273" s="1">
        <f>IFERROR(VLOOKUP(B273,Petróleo!J:K,2,FALSE),"")</f>
        <v>3175</v>
      </c>
      <c r="H273" s="1">
        <f>IFERROR(VLOOKUP(B273,Petróleo!L:M,2,FALSE),"")</f>
        <v>1515</v>
      </c>
      <c r="I273" s="1">
        <f>IFERROR(VLOOKUP(B273,Petróleo!N:O,2,FALSE),"")</f>
        <v>2556</v>
      </c>
      <c r="J273" s="1">
        <f>IFERROR(VLOOKUP(B273,Petróleo!P:Q,2,FALSE),"")</f>
        <v>9907</v>
      </c>
      <c r="K273" s="1">
        <f>IFERROR(VLOOKUP(B273,Petróleo!R:S,2,FALSE),"")</f>
        <v>2500</v>
      </c>
      <c r="L273" s="1">
        <f>IFERROR(VLOOKUP(B273,Petróleo!T:U,2,FALSE),"")</f>
        <v>4070.6</v>
      </c>
      <c r="M273" s="8">
        <f>IFERROR(VLOOKUP(B273,Petróleo!X:Y,2,FALSE),"")</f>
        <v>31983</v>
      </c>
      <c r="N273" s="8">
        <f>IFERROR(VLOOKUP(B273,Petróleo!Z:AA,2,FALSE),"")</f>
        <v>9900</v>
      </c>
      <c r="O273" s="8">
        <f>IFERROR(VLOOKUP(B273,Petróleo!AB:AC,2,FALSE),"")</f>
        <v>2650</v>
      </c>
      <c r="P273" s="8">
        <f>IFERROR(VLOOKUP(B273,Petróleo!AD:AE,2,FALSE),"")</f>
        <v>2750</v>
      </c>
      <c r="Q273" s="8">
        <f>IFERROR(VLOOKUP(B273,Petróleo!AF:AG,2,FALSE),"")</f>
        <v>3273</v>
      </c>
      <c r="R273" s="8">
        <f>IFERROR(VLOOKUP(B273,Petróleo!AH:AI,2,FALSE),"")</f>
        <v>1560</v>
      </c>
      <c r="S273" s="8">
        <f>IFERROR(VLOOKUP(B273,Petróleo!AJ:AK,2,FALSE),"")</f>
        <v>2150</v>
      </c>
      <c r="T273" s="8">
        <f>IFERROR(VLOOKUP(B273,Petróleo!AL:AM,2,FALSE),"")</f>
        <v>2350</v>
      </c>
      <c r="U273" s="8">
        <f>IFERROR(VLOOKUP(B273,Petróleo!AN:AO,2,FALSE),"")</f>
        <v>3000</v>
      </c>
      <c r="V273" s="10" t="str">
        <f>IFERROR(VLOOKUP(A273,Petróleo!AR:AT,3,FALSE),"")</f>
        <v/>
      </c>
    </row>
    <row r="274" spans="1:22" x14ac:dyDescent="0.25">
      <c r="A274" s="9" t="str">
        <f t="shared" si="4"/>
        <v>92012</v>
      </c>
      <c r="B274" s="9">
        <v>41182</v>
      </c>
      <c r="C274" s="1">
        <f>IFERROR(VLOOKUP(B274,Petróleo!A:B,2,FALSE),"")</f>
        <v>6598</v>
      </c>
      <c r="D274" s="1">
        <f>IFERROR(VLOOKUP(B274,Estoque_US!D:E,2,FALSE),"")</f>
        <v>7600</v>
      </c>
      <c r="E274" s="1">
        <f>IFERROR(VLOOKUP(B274,Petróleo!F:G,2,FALSE),"")</f>
        <v>9964.2579999999998</v>
      </c>
      <c r="F274" s="1">
        <f>IFERROR(VLOOKUP(B274,Petróleo!H:I,2,FALSE),"")</f>
        <v>3173</v>
      </c>
      <c r="G274" s="1">
        <f>IFERROR(VLOOKUP(B274,Petróleo!J:K,2,FALSE),"")</f>
        <v>3275</v>
      </c>
      <c r="H274" s="1">
        <f>IFERROR(VLOOKUP(B274,Petróleo!L:M,2,FALSE),"")</f>
        <v>1565</v>
      </c>
      <c r="I274" s="1">
        <f>IFERROR(VLOOKUP(B274,Petróleo!N:O,2,FALSE),"")</f>
        <v>2426</v>
      </c>
      <c r="J274" s="1">
        <f>IFERROR(VLOOKUP(B274,Petróleo!P:Q,2,FALSE),"")</f>
        <v>9941</v>
      </c>
      <c r="K274" s="1">
        <f>IFERROR(VLOOKUP(B274,Petróleo!R:S,2,FALSE),"")</f>
        <v>2500</v>
      </c>
      <c r="L274" s="1">
        <f>IFERROR(VLOOKUP(B274,Petróleo!T:U,2,FALSE),"")</f>
        <v>4169.5</v>
      </c>
      <c r="M274" s="8">
        <f>IFERROR(VLOOKUP(B274,Petróleo!X:Y,2,FALSE),"")</f>
        <v>31719</v>
      </c>
      <c r="N274" s="8">
        <f>IFERROR(VLOOKUP(B274,Petróleo!Z:AA,2,FALSE),"")</f>
        <v>9800</v>
      </c>
      <c r="O274" s="8">
        <f>IFERROR(VLOOKUP(B274,Petróleo!AB:AC,2,FALSE),"")</f>
        <v>2820</v>
      </c>
      <c r="P274" s="8">
        <f>IFERROR(VLOOKUP(B274,Petróleo!AD:AE,2,FALSE),"")</f>
        <v>2850</v>
      </c>
      <c r="Q274" s="8">
        <f>IFERROR(VLOOKUP(B274,Petróleo!AF:AG,2,FALSE),"")</f>
        <v>3350</v>
      </c>
      <c r="R274" s="8">
        <f>IFERROR(VLOOKUP(B274,Petróleo!AH:AI,2,FALSE),"")</f>
        <v>1475</v>
      </c>
      <c r="S274" s="8">
        <f>IFERROR(VLOOKUP(B274,Petróleo!AJ:AK,2,FALSE),"")</f>
        <v>1960</v>
      </c>
      <c r="T274" s="8">
        <f>IFERROR(VLOOKUP(B274,Petróleo!AL:AM,2,FALSE),"")</f>
        <v>2360</v>
      </c>
      <c r="U274" s="8">
        <f>IFERROR(VLOOKUP(B274,Petróleo!AN:AO,2,FALSE),"")</f>
        <v>3000</v>
      </c>
      <c r="V274" s="10" t="str">
        <f>IFERROR(VLOOKUP(A274,Petróleo!AR:AT,3,FALSE),"")</f>
        <v/>
      </c>
    </row>
    <row r="275" spans="1:22" x14ac:dyDescent="0.25">
      <c r="A275" s="9" t="str">
        <f t="shared" si="4"/>
        <v>102012</v>
      </c>
      <c r="B275" s="9">
        <v>41213</v>
      </c>
      <c r="C275" s="1">
        <f>IFERROR(VLOOKUP(B275,Petróleo!A:B,2,FALSE),"")</f>
        <v>6970</v>
      </c>
      <c r="D275" s="1">
        <f>IFERROR(VLOOKUP(B275,Estoque_US!D:E,2,FALSE),"")</f>
        <v>8383</v>
      </c>
      <c r="E275" s="1">
        <f>IFERROR(VLOOKUP(B275,Petróleo!F:G,2,FALSE),"")</f>
        <v>9964.2579999999998</v>
      </c>
      <c r="F275" s="1">
        <f>IFERROR(VLOOKUP(B275,Petróleo!H:I,2,FALSE),"")</f>
        <v>3018</v>
      </c>
      <c r="G275" s="1">
        <f>IFERROR(VLOOKUP(B275,Petróleo!J:K,2,FALSE),"")</f>
        <v>3075</v>
      </c>
      <c r="H275" s="1">
        <f>IFERROR(VLOOKUP(B275,Petróleo!L:M,2,FALSE),"")</f>
        <v>1565</v>
      </c>
      <c r="I275" s="1">
        <f>IFERROR(VLOOKUP(B275,Petróleo!N:O,2,FALSE),"")</f>
        <v>2293</v>
      </c>
      <c r="J275" s="1">
        <f>IFERROR(VLOOKUP(B275,Petróleo!P:Q,2,FALSE),"")</f>
        <v>9984</v>
      </c>
      <c r="K275" s="1">
        <f>IFERROR(VLOOKUP(B275,Petróleo!R:S,2,FALSE),"")</f>
        <v>2500</v>
      </c>
      <c r="L275" s="1">
        <f>IFERROR(VLOOKUP(B275,Petróleo!T:U,2,FALSE),"")</f>
        <v>4246</v>
      </c>
      <c r="M275" s="8">
        <f>IFERROR(VLOOKUP(B275,Petróleo!X:Y,2,FALSE),"")</f>
        <v>31372</v>
      </c>
      <c r="N275" s="8">
        <f>IFERROR(VLOOKUP(B275,Petróleo!Z:AA,2,FALSE),"")</f>
        <v>9800</v>
      </c>
      <c r="O275" s="8">
        <f>IFERROR(VLOOKUP(B275,Petróleo!AB:AC,2,FALSE),"")</f>
        <v>2630</v>
      </c>
      <c r="P275" s="8">
        <f>IFERROR(VLOOKUP(B275,Petróleo!AD:AE,2,FALSE),"")</f>
        <v>2650</v>
      </c>
      <c r="Q275" s="8">
        <f>IFERROR(VLOOKUP(B275,Petróleo!AF:AG,2,FALSE),"")</f>
        <v>3350</v>
      </c>
      <c r="R275" s="8">
        <f>IFERROR(VLOOKUP(B275,Petróleo!AH:AI,2,FALSE),"")</f>
        <v>1450</v>
      </c>
      <c r="S275" s="8">
        <f>IFERROR(VLOOKUP(B275,Petróleo!AJ:AK,2,FALSE),"")</f>
        <v>2090</v>
      </c>
      <c r="T275" s="8">
        <f>IFERROR(VLOOKUP(B275,Petróleo!AL:AM,2,FALSE),"")</f>
        <v>2390</v>
      </c>
      <c r="U275" s="8">
        <f>IFERROR(VLOOKUP(B275,Petróleo!AN:AO,2,FALSE),"")</f>
        <v>2800</v>
      </c>
      <c r="V275" s="10" t="str">
        <f>IFERROR(VLOOKUP(A275,Petróleo!AR:AT,3,FALSE),"")</f>
        <v/>
      </c>
    </row>
    <row r="276" spans="1:22" x14ac:dyDescent="0.25">
      <c r="A276" s="9" t="str">
        <f t="shared" si="4"/>
        <v>112012</v>
      </c>
      <c r="B276" s="9">
        <v>41243</v>
      </c>
      <c r="C276" s="1">
        <f>IFERROR(VLOOKUP(B276,Petróleo!A:B,2,FALSE),"")</f>
        <v>7082</v>
      </c>
      <c r="D276" s="1">
        <f>IFERROR(VLOOKUP(B276,Estoque_US!D:E,2,FALSE),"")</f>
        <v>-1315</v>
      </c>
      <c r="E276" s="1">
        <f>IFERROR(VLOOKUP(B276,Petróleo!F:G,2,FALSE),"")</f>
        <v>9704.2579999999998</v>
      </c>
      <c r="F276" s="1">
        <f>IFERROR(VLOOKUP(B276,Petróleo!H:I,2,FALSE),"")</f>
        <v>3150</v>
      </c>
      <c r="G276" s="1">
        <f>IFERROR(VLOOKUP(B276,Petróleo!J:K,2,FALSE),"")</f>
        <v>3225</v>
      </c>
      <c r="H276" s="1">
        <f>IFERROR(VLOOKUP(B276,Petróleo!L:M,2,FALSE),"")</f>
        <v>1515</v>
      </c>
      <c r="I276" s="1">
        <f>IFERROR(VLOOKUP(B276,Petróleo!N:O,2,FALSE),"")</f>
        <v>2269</v>
      </c>
      <c r="J276" s="1">
        <f>IFERROR(VLOOKUP(B276,Petróleo!P:Q,2,FALSE),"")</f>
        <v>10048</v>
      </c>
      <c r="K276" s="1">
        <f>IFERROR(VLOOKUP(B276,Petróleo!R:S,2,FALSE),"")</f>
        <v>2500</v>
      </c>
      <c r="L276" s="1">
        <f>IFERROR(VLOOKUP(B276,Petróleo!T:U,2,FALSE),"")</f>
        <v>4188</v>
      </c>
      <c r="M276" s="8">
        <f>IFERROR(VLOOKUP(B276,Petróleo!X:Y,2,FALSE),"")</f>
        <v>31034</v>
      </c>
      <c r="N276" s="8">
        <f>IFERROR(VLOOKUP(B276,Petróleo!Z:AA,2,FALSE),"")</f>
        <v>9700</v>
      </c>
      <c r="O276" s="8">
        <f>IFERROR(VLOOKUP(B276,Petróleo!AB:AC,2,FALSE),"")</f>
        <v>2600</v>
      </c>
      <c r="P276" s="8">
        <f>IFERROR(VLOOKUP(B276,Petróleo!AD:AE,2,FALSE),"")</f>
        <v>2700</v>
      </c>
      <c r="Q276" s="8">
        <f>IFERROR(VLOOKUP(B276,Petróleo!AF:AG,2,FALSE),"")</f>
        <v>3350</v>
      </c>
      <c r="R276" s="8">
        <f>IFERROR(VLOOKUP(B276,Petróleo!AH:AI,2,FALSE),"")</f>
        <v>1430</v>
      </c>
      <c r="S276" s="8">
        <f>IFERROR(VLOOKUP(B276,Petróleo!AJ:AK,2,FALSE),"")</f>
        <v>1910</v>
      </c>
      <c r="T276" s="8">
        <f>IFERROR(VLOOKUP(B276,Petróleo!AL:AM,2,FALSE),"")</f>
        <v>2400</v>
      </c>
      <c r="U276" s="8">
        <f>IFERROR(VLOOKUP(B276,Petróleo!AN:AO,2,FALSE),"")</f>
        <v>2800</v>
      </c>
      <c r="V276" s="10" t="str">
        <f>IFERROR(VLOOKUP(A276,Petróleo!AR:AT,3,FALSE),"")</f>
        <v/>
      </c>
    </row>
    <row r="277" spans="1:22" x14ac:dyDescent="0.25">
      <c r="A277" s="9" t="str">
        <f t="shared" si="4"/>
        <v>122012</v>
      </c>
      <c r="B277" s="9">
        <v>41274</v>
      </c>
      <c r="C277" s="1">
        <f>IFERROR(VLOOKUP(B277,Petróleo!A:B,2,FALSE),"")</f>
        <v>7106</v>
      </c>
      <c r="D277" s="1">
        <f>IFERROR(VLOOKUP(B277,Estoque_US!D:E,2,FALSE),"")</f>
        <v>-11827</v>
      </c>
      <c r="E277" s="1">
        <f>IFERROR(VLOOKUP(B277,Petróleo!F:G,2,FALSE),"")</f>
        <v>9404.2579999999998</v>
      </c>
      <c r="F277" s="1">
        <f>IFERROR(VLOOKUP(B277,Petróleo!H:I,2,FALSE),"")</f>
        <v>3110</v>
      </c>
      <c r="G277" s="1">
        <f>IFERROR(VLOOKUP(B277,Petróleo!J:K,2,FALSE),"")</f>
        <v>3125</v>
      </c>
      <c r="H277" s="1">
        <f>IFERROR(VLOOKUP(B277,Petróleo!L:M,2,FALSE),"")</f>
        <v>1415</v>
      </c>
      <c r="I277" s="1">
        <f>IFERROR(VLOOKUP(B277,Petróleo!N:O,2,FALSE),"")</f>
        <v>2428</v>
      </c>
      <c r="J277" s="1">
        <f>IFERROR(VLOOKUP(B277,Petróleo!P:Q,2,FALSE),"")</f>
        <v>10018</v>
      </c>
      <c r="K277" s="1">
        <f>IFERROR(VLOOKUP(B277,Petróleo!R:S,2,FALSE),"")</f>
        <v>2500</v>
      </c>
      <c r="L277" s="1">
        <f>IFERROR(VLOOKUP(B277,Petróleo!T:U,2,FALSE),"")</f>
        <v>4177</v>
      </c>
      <c r="M277" s="8">
        <f>IFERROR(VLOOKUP(B277,Petróleo!X:Y,2,FALSE),"")</f>
        <v>30482</v>
      </c>
      <c r="N277" s="8">
        <f>IFERROR(VLOOKUP(B277,Petróleo!Z:AA,2,FALSE),"")</f>
        <v>9200</v>
      </c>
      <c r="O277" s="8">
        <f>IFERROR(VLOOKUP(B277,Petróleo!AB:AC,2,FALSE),"")</f>
        <v>2650</v>
      </c>
      <c r="P277" s="8">
        <f>IFERROR(VLOOKUP(B277,Petróleo!AD:AE,2,FALSE),"")</f>
        <v>2660</v>
      </c>
      <c r="Q277" s="8">
        <f>IFERROR(VLOOKUP(B277,Petróleo!AF:AG,2,FALSE),"")</f>
        <v>3300</v>
      </c>
      <c r="R277" s="8">
        <f>IFERROR(VLOOKUP(B277,Petróleo!AH:AI,2,FALSE),"")</f>
        <v>1430</v>
      </c>
      <c r="S277" s="8">
        <f>IFERROR(VLOOKUP(B277,Petróleo!AJ:AK,2,FALSE),"")</f>
        <v>1890</v>
      </c>
      <c r="T277" s="8">
        <f>IFERROR(VLOOKUP(B277,Petróleo!AL:AM,2,FALSE),"")</f>
        <v>2410</v>
      </c>
      <c r="U277" s="8">
        <f>IFERROR(VLOOKUP(B277,Petróleo!AN:AO,2,FALSE),"")</f>
        <v>2800</v>
      </c>
      <c r="V277" s="10" t="str">
        <f>IFERROR(VLOOKUP(A277,Petróleo!AR:AT,3,FALSE),"")</f>
        <v/>
      </c>
    </row>
    <row r="278" spans="1:22" x14ac:dyDescent="0.25">
      <c r="A278" s="9" t="str">
        <f t="shared" si="4"/>
        <v>12013</v>
      </c>
      <c r="B278" s="9">
        <v>41305</v>
      </c>
      <c r="C278" s="1">
        <f>IFERROR(VLOOKUP(B278,Petróleo!A:B,2,FALSE),"")</f>
        <v>7083</v>
      </c>
      <c r="D278" s="1">
        <f>IFERROR(VLOOKUP(B278,Estoque_US!D:E,2,FALSE),"")</f>
        <v>9123</v>
      </c>
      <c r="E278" s="1">
        <f>IFERROR(VLOOKUP(B278,Petróleo!F:G,2,FALSE),"")</f>
        <v>9319.7199999999993</v>
      </c>
      <c r="F278" s="1">
        <f>IFERROR(VLOOKUP(B278,Petróleo!H:I,2,FALSE),"")</f>
        <v>3088</v>
      </c>
      <c r="G278" s="1">
        <f>IFERROR(VLOOKUP(B278,Petróleo!J:K,2,FALSE),"")</f>
        <v>3076</v>
      </c>
      <c r="H278" s="1">
        <f>IFERROR(VLOOKUP(B278,Petróleo!L:M,2,FALSE),"")</f>
        <v>1410</v>
      </c>
      <c r="I278" s="1">
        <f>IFERROR(VLOOKUP(B278,Petróleo!N:O,2,FALSE),"")</f>
        <v>2362</v>
      </c>
      <c r="J278" s="1">
        <f>IFERROR(VLOOKUP(B278,Petróleo!P:Q,2,FALSE),"")</f>
        <v>9995</v>
      </c>
      <c r="K278" s="1">
        <f>IFERROR(VLOOKUP(B278,Petróleo!R:S,2,FALSE),"")</f>
        <v>2500</v>
      </c>
      <c r="L278" s="1">
        <f>IFERROR(VLOOKUP(B278,Petróleo!T:U,2,FALSE),"")</f>
        <v>4168.1000000000004</v>
      </c>
      <c r="M278" s="8">
        <f>IFERROR(VLOOKUP(B278,Petróleo!X:Y,2,FALSE),"")</f>
        <v>30142</v>
      </c>
      <c r="N278" s="8">
        <f>IFERROR(VLOOKUP(B278,Petróleo!Z:AA,2,FALSE),"")</f>
        <v>9100</v>
      </c>
      <c r="O278" s="8">
        <f>IFERROR(VLOOKUP(B278,Petróleo!AB:AC,2,FALSE),"")</f>
        <v>2600</v>
      </c>
      <c r="P278" s="8">
        <f>IFERROR(VLOOKUP(B278,Petróleo!AD:AE,2,FALSE),"")</f>
        <v>2600</v>
      </c>
      <c r="Q278" s="8">
        <f>IFERROR(VLOOKUP(B278,Petróleo!AF:AG,2,FALSE),"")</f>
        <v>3200</v>
      </c>
      <c r="R278" s="8">
        <f>IFERROR(VLOOKUP(B278,Petróleo!AH:AI,2,FALSE),"")</f>
        <v>1110</v>
      </c>
      <c r="S278" s="8">
        <f>IFERROR(VLOOKUP(B278,Petróleo!AJ:AK,2,FALSE),"")</f>
        <v>1990</v>
      </c>
      <c r="T278" s="8">
        <f>IFERROR(VLOOKUP(B278,Petróleo!AL:AM,2,FALSE),"")</f>
        <v>2405</v>
      </c>
      <c r="U278" s="8">
        <f>IFERROR(VLOOKUP(B278,Petróleo!AN:AO,2,FALSE),"")</f>
        <v>2900</v>
      </c>
      <c r="V278" s="10" t="str">
        <f>IFERROR(VLOOKUP(A278,Petróleo!AR:AT,3,FALSE),"")</f>
        <v/>
      </c>
    </row>
    <row r="279" spans="1:22" x14ac:dyDescent="0.25">
      <c r="A279" s="9" t="str">
        <f t="shared" si="4"/>
        <v>22013</v>
      </c>
      <c r="B279" s="9">
        <v>41333</v>
      </c>
      <c r="C279" s="1">
        <f>IFERROR(VLOOKUP(B279,Petróleo!A:B,2,FALSE),"")</f>
        <v>7145</v>
      </c>
      <c r="D279" s="1">
        <f>IFERROR(VLOOKUP(B279,Estoque_US!D:E,2,FALSE),"")</f>
        <v>8456</v>
      </c>
      <c r="E279" s="1">
        <f>IFERROR(VLOOKUP(B279,Petróleo!F:G,2,FALSE),"")</f>
        <v>9319.7199999999993</v>
      </c>
      <c r="F279" s="1">
        <f>IFERROR(VLOOKUP(B279,Petróleo!H:I,2,FALSE),"")</f>
        <v>3115</v>
      </c>
      <c r="G279" s="1">
        <f>IFERROR(VLOOKUP(B279,Petróleo!J:K,2,FALSE),"")</f>
        <v>3076</v>
      </c>
      <c r="H279" s="1">
        <f>IFERROR(VLOOKUP(B279,Petróleo!L:M,2,FALSE),"")</f>
        <v>1460</v>
      </c>
      <c r="I279" s="1">
        <f>IFERROR(VLOOKUP(B279,Petróleo!N:O,2,FALSE),"")</f>
        <v>2266</v>
      </c>
      <c r="J279" s="1">
        <f>IFERROR(VLOOKUP(B279,Petróleo!P:Q,2,FALSE),"")</f>
        <v>9990</v>
      </c>
      <c r="K279" s="1">
        <f>IFERROR(VLOOKUP(B279,Petróleo!R:S,2,FALSE),"")</f>
        <v>2500</v>
      </c>
      <c r="L279" s="1">
        <f>IFERROR(VLOOKUP(B279,Petróleo!T:U,2,FALSE),"")</f>
        <v>4121.8999999999996</v>
      </c>
      <c r="M279" s="8">
        <f>IFERROR(VLOOKUP(B279,Petróleo!X:Y,2,FALSE),"")</f>
        <v>30164</v>
      </c>
      <c r="N279" s="8">
        <f>IFERROR(VLOOKUP(B279,Petróleo!Z:AA,2,FALSE),"")</f>
        <v>9000</v>
      </c>
      <c r="O279" s="8">
        <f>IFERROR(VLOOKUP(B279,Petróleo!AB:AC,2,FALSE),"")</f>
        <v>2650</v>
      </c>
      <c r="P279" s="8">
        <f>IFERROR(VLOOKUP(B279,Petróleo!AD:AE,2,FALSE),"")</f>
        <v>2630</v>
      </c>
      <c r="Q279" s="8">
        <f>IFERROR(VLOOKUP(B279,Petróleo!AF:AG,2,FALSE),"")</f>
        <v>3100</v>
      </c>
      <c r="R279" s="8">
        <f>IFERROR(VLOOKUP(B279,Petróleo!AH:AI,2,FALSE),"")</f>
        <v>1300</v>
      </c>
      <c r="S279" s="8">
        <f>IFERROR(VLOOKUP(B279,Petróleo!AJ:AK,2,FALSE),"")</f>
        <v>2080</v>
      </c>
      <c r="T279" s="8">
        <f>IFERROR(VLOOKUP(B279,Petróleo!AL:AM,2,FALSE),"")</f>
        <v>2400</v>
      </c>
      <c r="U279" s="8">
        <f>IFERROR(VLOOKUP(B279,Petróleo!AN:AO,2,FALSE),"")</f>
        <v>2850</v>
      </c>
      <c r="V279" s="10" t="str">
        <f>IFERROR(VLOOKUP(A279,Petróleo!AR:AT,3,FALSE),"")</f>
        <v/>
      </c>
    </row>
    <row r="280" spans="1:22" x14ac:dyDescent="0.25">
      <c r="A280" s="9" t="str">
        <f t="shared" si="4"/>
        <v>32013</v>
      </c>
      <c r="B280" s="9">
        <v>41364</v>
      </c>
      <c r="C280" s="1">
        <f>IFERROR(VLOOKUP(B280,Petróleo!A:B,2,FALSE),"")</f>
        <v>7214</v>
      </c>
      <c r="D280" s="1">
        <f>IFERROR(VLOOKUP(B280,Estoque_US!D:E,2,FALSE),"")</f>
        <v>11106</v>
      </c>
      <c r="E280" s="1">
        <f>IFERROR(VLOOKUP(B280,Petróleo!F:G,2,FALSE),"")</f>
        <v>9319.7199999999993</v>
      </c>
      <c r="F280" s="1">
        <f>IFERROR(VLOOKUP(B280,Petróleo!H:I,2,FALSE),"")</f>
        <v>3139</v>
      </c>
      <c r="G280" s="1">
        <f>IFERROR(VLOOKUP(B280,Petróleo!J:K,2,FALSE),"")</f>
        <v>3076</v>
      </c>
      <c r="H280" s="1">
        <f>IFERROR(VLOOKUP(B280,Petróleo!L:M,2,FALSE),"")</f>
        <v>1410</v>
      </c>
      <c r="I280" s="1">
        <f>IFERROR(VLOOKUP(B280,Petróleo!N:O,2,FALSE),"")</f>
        <v>2358</v>
      </c>
      <c r="J280" s="1">
        <f>IFERROR(VLOOKUP(B280,Petróleo!P:Q,2,FALSE),"")</f>
        <v>9995</v>
      </c>
      <c r="K280" s="1">
        <f>IFERROR(VLOOKUP(B280,Petróleo!R:S,2,FALSE),"")</f>
        <v>2500</v>
      </c>
      <c r="L280" s="1">
        <f>IFERROR(VLOOKUP(B280,Petróleo!T:U,2,FALSE),"")</f>
        <v>4158.2</v>
      </c>
      <c r="M280" s="8">
        <f>IFERROR(VLOOKUP(B280,Petróleo!X:Y,2,FALSE),"")</f>
        <v>30294</v>
      </c>
      <c r="N280" s="8">
        <f>IFERROR(VLOOKUP(B280,Petróleo!Z:AA,2,FALSE),"")</f>
        <v>9100</v>
      </c>
      <c r="O280" s="8">
        <f>IFERROR(VLOOKUP(B280,Petróleo!AB:AC,2,FALSE),"")</f>
        <v>2670</v>
      </c>
      <c r="P280" s="8">
        <f>IFERROR(VLOOKUP(B280,Petróleo!AD:AE,2,FALSE),"")</f>
        <v>2700</v>
      </c>
      <c r="Q280" s="8">
        <f>IFERROR(VLOOKUP(B280,Petróleo!AF:AG,2,FALSE),"")</f>
        <v>3200</v>
      </c>
      <c r="R280" s="8">
        <f>IFERROR(VLOOKUP(B280,Petróleo!AH:AI,2,FALSE),"")</f>
        <v>1400</v>
      </c>
      <c r="S280" s="8">
        <f>IFERROR(VLOOKUP(B280,Petróleo!AJ:AK,2,FALSE),"")</f>
        <v>1810</v>
      </c>
      <c r="T280" s="8">
        <f>IFERROR(VLOOKUP(B280,Petróleo!AL:AM,2,FALSE),"")</f>
        <v>2390</v>
      </c>
      <c r="U280" s="8">
        <f>IFERROR(VLOOKUP(B280,Petróleo!AN:AO,2,FALSE),"")</f>
        <v>2820</v>
      </c>
      <c r="V280" s="10" t="str">
        <f>IFERROR(VLOOKUP(A280,Petróleo!AR:AT,3,FALSE),"")</f>
        <v/>
      </c>
    </row>
    <row r="281" spans="1:22" x14ac:dyDescent="0.25">
      <c r="A281" s="9" t="str">
        <f t="shared" si="4"/>
        <v>42013</v>
      </c>
      <c r="B281" s="9">
        <v>41394</v>
      </c>
      <c r="C281" s="1">
        <f>IFERROR(VLOOKUP(B281,Petróleo!A:B,2,FALSE),"")</f>
        <v>7374</v>
      </c>
      <c r="D281" s="1">
        <f>IFERROR(VLOOKUP(B281,Estoque_US!D:E,2,FALSE),"")</f>
        <v>6660</v>
      </c>
      <c r="E281" s="1">
        <f>IFERROR(VLOOKUP(B281,Petróleo!F:G,2,FALSE),"")</f>
        <v>9619.7199999999993</v>
      </c>
      <c r="F281" s="1">
        <f>IFERROR(VLOOKUP(B281,Petróleo!H:I,2,FALSE),"")</f>
        <v>3124</v>
      </c>
      <c r="G281" s="1">
        <f>IFERROR(VLOOKUP(B281,Petróleo!J:K,2,FALSE),"")</f>
        <v>3176</v>
      </c>
      <c r="H281" s="1">
        <f>IFERROR(VLOOKUP(B281,Petróleo!L:M,2,FALSE),"")</f>
        <v>1510</v>
      </c>
      <c r="I281" s="1">
        <f>IFERROR(VLOOKUP(B281,Petróleo!N:O,2,FALSE),"")</f>
        <v>2346</v>
      </c>
      <c r="J281" s="1">
        <f>IFERROR(VLOOKUP(B281,Petróleo!P:Q,2,FALSE),"")</f>
        <v>10002</v>
      </c>
      <c r="K281" s="1">
        <f>IFERROR(VLOOKUP(B281,Petróleo!R:S,2,FALSE),"")</f>
        <v>2500</v>
      </c>
      <c r="L281" s="1">
        <f>IFERROR(VLOOKUP(B281,Petróleo!T:U,2,FALSE),"")</f>
        <v>4149.1000000000004</v>
      </c>
      <c r="M281" s="8">
        <f>IFERROR(VLOOKUP(B281,Petróleo!X:Y,2,FALSE),"")</f>
        <v>30476</v>
      </c>
      <c r="N281" s="8">
        <f>IFERROR(VLOOKUP(B281,Petróleo!Z:AA,2,FALSE),"")</f>
        <v>9180</v>
      </c>
      <c r="O281" s="8">
        <f>IFERROR(VLOOKUP(B281,Petróleo!AB:AC,2,FALSE),"")</f>
        <v>2750</v>
      </c>
      <c r="P281" s="8">
        <f>IFERROR(VLOOKUP(B281,Petróleo!AD:AE,2,FALSE),"")</f>
        <v>2550</v>
      </c>
      <c r="Q281" s="8">
        <f>IFERROR(VLOOKUP(B281,Petróleo!AF:AG,2,FALSE),"")</f>
        <v>3200</v>
      </c>
      <c r="R281" s="8">
        <f>IFERROR(VLOOKUP(B281,Petróleo!AH:AI,2,FALSE),"")</f>
        <v>1380</v>
      </c>
      <c r="S281" s="8">
        <f>IFERROR(VLOOKUP(B281,Petróleo!AJ:AK,2,FALSE),"")</f>
        <v>1880</v>
      </c>
      <c r="T281" s="8">
        <f>IFERROR(VLOOKUP(B281,Petróleo!AL:AM,2,FALSE),"")</f>
        <v>2400</v>
      </c>
      <c r="U281" s="8">
        <f>IFERROR(VLOOKUP(B281,Petróleo!AN:AO,2,FALSE),"")</f>
        <v>2930</v>
      </c>
      <c r="V281" s="10" t="str">
        <f>IFERROR(VLOOKUP(A281,Petróleo!AR:AT,3,FALSE),"")</f>
        <v/>
      </c>
    </row>
    <row r="282" spans="1:22" x14ac:dyDescent="0.25">
      <c r="A282" s="9" t="str">
        <f t="shared" si="4"/>
        <v>52013</v>
      </c>
      <c r="B282" s="9">
        <v>41425</v>
      </c>
      <c r="C282" s="1">
        <f>IFERROR(VLOOKUP(B282,Petróleo!A:B,2,FALSE),"")</f>
        <v>7326</v>
      </c>
      <c r="D282" s="1">
        <f>IFERROR(VLOOKUP(B282,Estoque_US!D:E,2,FALSE),"")</f>
        <v>-3999</v>
      </c>
      <c r="E282" s="1">
        <f>IFERROR(VLOOKUP(B282,Petróleo!F:G,2,FALSE),"")</f>
        <v>9819.7199999999993</v>
      </c>
      <c r="F282" s="1">
        <f>IFERROR(VLOOKUP(B282,Petróleo!H:I,2,FALSE),"")</f>
        <v>3064</v>
      </c>
      <c r="G282" s="1">
        <f>IFERROR(VLOOKUP(B282,Petróleo!J:K,2,FALSE),"")</f>
        <v>3076</v>
      </c>
      <c r="H282" s="1">
        <f>IFERROR(VLOOKUP(B282,Petróleo!L:M,2,FALSE),"")</f>
        <v>1480</v>
      </c>
      <c r="I282" s="1">
        <f>IFERROR(VLOOKUP(B282,Petróleo!N:O,2,FALSE),"")</f>
        <v>2251</v>
      </c>
      <c r="J282" s="1">
        <f>IFERROR(VLOOKUP(B282,Petróleo!P:Q,2,FALSE),"")</f>
        <v>10018</v>
      </c>
      <c r="K282" s="1">
        <f>IFERROR(VLOOKUP(B282,Petróleo!R:S,2,FALSE),"")</f>
        <v>2500</v>
      </c>
      <c r="L282" s="1">
        <f>IFERROR(VLOOKUP(B282,Petróleo!T:U,2,FALSE),"")</f>
        <v>4173</v>
      </c>
      <c r="M282" s="8">
        <f>IFERROR(VLOOKUP(B282,Petróleo!X:Y,2,FALSE),"")</f>
        <v>30594</v>
      </c>
      <c r="N282" s="8">
        <f>IFERROR(VLOOKUP(B282,Petróleo!Z:AA,2,FALSE),"")</f>
        <v>9350</v>
      </c>
      <c r="O282" s="8">
        <f>IFERROR(VLOOKUP(B282,Petróleo!AB:AC,2,FALSE),"")</f>
        <v>2770</v>
      </c>
      <c r="P282" s="8">
        <f>IFERROR(VLOOKUP(B282,Petróleo!AD:AE,2,FALSE),"")</f>
        <v>2500</v>
      </c>
      <c r="Q282" s="8">
        <f>IFERROR(VLOOKUP(B282,Petróleo!AF:AG,2,FALSE),"")</f>
        <v>3150</v>
      </c>
      <c r="R282" s="8">
        <f>IFERROR(VLOOKUP(B282,Petróleo!AH:AI,2,FALSE),"")</f>
        <v>1350</v>
      </c>
      <c r="S282" s="8">
        <f>IFERROR(VLOOKUP(B282,Petróleo!AJ:AK,2,FALSE),"")</f>
        <v>1870</v>
      </c>
      <c r="T282" s="8">
        <f>IFERROR(VLOOKUP(B282,Petróleo!AL:AM,2,FALSE),"")</f>
        <v>2380</v>
      </c>
      <c r="U282" s="8">
        <f>IFERROR(VLOOKUP(B282,Petróleo!AN:AO,2,FALSE),"")</f>
        <v>2970</v>
      </c>
      <c r="V282" s="10" t="str">
        <f>IFERROR(VLOOKUP(A282,Petróleo!AR:AT,3,FALSE),"")</f>
        <v/>
      </c>
    </row>
    <row r="283" spans="1:22" x14ac:dyDescent="0.25">
      <c r="A283" s="9" t="str">
        <f t="shared" si="4"/>
        <v>62013</v>
      </c>
      <c r="B283" s="9">
        <v>41455</v>
      </c>
      <c r="C283" s="1">
        <f>IFERROR(VLOOKUP(B283,Petróleo!A:B,2,FALSE),"")</f>
        <v>7277</v>
      </c>
      <c r="D283" s="1">
        <f>IFERROR(VLOOKUP(B283,Estoque_US!D:E,2,FALSE),"")</f>
        <v>-7493</v>
      </c>
      <c r="E283" s="1">
        <f>IFERROR(VLOOKUP(B283,Petróleo!F:G,2,FALSE),"")</f>
        <v>10019.719999999999</v>
      </c>
      <c r="F283" s="1">
        <f>IFERROR(VLOOKUP(B283,Petróleo!H:I,2,FALSE),"")</f>
        <v>3105</v>
      </c>
      <c r="G283" s="1">
        <f>IFERROR(VLOOKUP(B283,Petróleo!J:K,2,FALSE),"")</f>
        <v>3101</v>
      </c>
      <c r="H283" s="1">
        <f>IFERROR(VLOOKUP(B283,Petróleo!L:M,2,FALSE),"")</f>
        <v>1190</v>
      </c>
      <c r="I283" s="1">
        <f>IFERROR(VLOOKUP(B283,Petróleo!N:O,2,FALSE),"")</f>
        <v>2210</v>
      </c>
      <c r="J283" s="1">
        <f>IFERROR(VLOOKUP(B283,Petróleo!P:Q,2,FALSE),"")</f>
        <v>9955</v>
      </c>
      <c r="K283" s="1">
        <f>IFERROR(VLOOKUP(B283,Petróleo!R:S,2,FALSE),"")</f>
        <v>2500</v>
      </c>
      <c r="L283" s="1">
        <f>IFERROR(VLOOKUP(B283,Petróleo!T:U,2,FALSE),"")</f>
        <v>4254.7</v>
      </c>
      <c r="M283" s="8">
        <f>IFERROR(VLOOKUP(B283,Petróleo!X:Y,2,FALSE),"")</f>
        <v>30577</v>
      </c>
      <c r="N283" s="8">
        <f>IFERROR(VLOOKUP(B283,Petróleo!Z:AA,2,FALSE),"")</f>
        <v>9470</v>
      </c>
      <c r="O283" s="8">
        <f>IFERROR(VLOOKUP(B283,Petróleo!AB:AC,2,FALSE),"")</f>
        <v>2790</v>
      </c>
      <c r="P283" s="8">
        <f>IFERROR(VLOOKUP(B283,Petróleo!AD:AE,2,FALSE),"")</f>
        <v>2560</v>
      </c>
      <c r="Q283" s="8">
        <f>IFERROR(VLOOKUP(B283,Petróleo!AF:AG,2,FALSE),"")</f>
        <v>3200</v>
      </c>
      <c r="R283" s="8">
        <f>IFERROR(VLOOKUP(B283,Petróleo!AH:AI,2,FALSE),"")</f>
        <v>1130</v>
      </c>
      <c r="S283" s="8">
        <f>IFERROR(VLOOKUP(B283,Petróleo!AJ:AK,2,FALSE),"")</f>
        <v>2030</v>
      </c>
      <c r="T283" s="8">
        <f>IFERROR(VLOOKUP(B283,Petróleo!AL:AM,2,FALSE),"")</f>
        <v>2371</v>
      </c>
      <c r="U283" s="8">
        <f>IFERROR(VLOOKUP(B283,Petróleo!AN:AO,2,FALSE),"")</f>
        <v>2970</v>
      </c>
      <c r="V283" s="10" t="str">
        <f>IFERROR(VLOOKUP(A283,Petróleo!AR:AT,3,FALSE),"")</f>
        <v/>
      </c>
    </row>
    <row r="284" spans="1:22" x14ac:dyDescent="0.25">
      <c r="A284" s="9" t="str">
        <f t="shared" si="4"/>
        <v>72013</v>
      </c>
      <c r="B284" s="9">
        <v>41486</v>
      </c>
      <c r="C284" s="1">
        <f>IFERROR(VLOOKUP(B284,Petróleo!A:B,2,FALSE),"")</f>
        <v>7522</v>
      </c>
      <c r="D284" s="1">
        <f>IFERROR(VLOOKUP(B284,Estoque_US!D:E,2,FALSE),"")</f>
        <v>-19170</v>
      </c>
      <c r="E284" s="1">
        <f>IFERROR(VLOOKUP(B284,Petróleo!F:G,2,FALSE),"")</f>
        <v>10219.719999999999</v>
      </c>
      <c r="F284" s="1">
        <f>IFERROR(VLOOKUP(B284,Petróleo!H:I,2,FALSE),"")</f>
        <v>3130</v>
      </c>
      <c r="G284" s="1">
        <f>IFERROR(VLOOKUP(B284,Petróleo!J:K,2,FALSE),"")</f>
        <v>3101</v>
      </c>
      <c r="H284" s="1">
        <f>IFERROR(VLOOKUP(B284,Petróleo!L:M,2,FALSE),"")</f>
        <v>1060</v>
      </c>
      <c r="I284" s="1">
        <f>IFERROR(VLOOKUP(B284,Petróleo!N:O,2,FALSE),"")</f>
        <v>2338</v>
      </c>
      <c r="J284" s="1">
        <f>IFERROR(VLOOKUP(B284,Petróleo!P:Q,2,FALSE),"")</f>
        <v>10052</v>
      </c>
      <c r="K284" s="1">
        <f>IFERROR(VLOOKUP(B284,Petróleo!R:S,2,FALSE),"")</f>
        <v>2500</v>
      </c>
      <c r="L284" s="1">
        <f>IFERROR(VLOOKUP(B284,Petróleo!T:U,2,FALSE),"")</f>
        <v>4040.2</v>
      </c>
      <c r="M284" s="8">
        <f>IFERROR(VLOOKUP(B284,Petróleo!X:Y,2,FALSE),"")</f>
        <v>30594</v>
      </c>
      <c r="N284" s="8">
        <f>IFERROR(VLOOKUP(B284,Petróleo!Z:AA,2,FALSE),"")</f>
        <v>9800</v>
      </c>
      <c r="O284" s="8">
        <f>IFERROR(VLOOKUP(B284,Petróleo!AB:AC,2,FALSE),"")</f>
        <v>2800</v>
      </c>
      <c r="P284" s="8">
        <f>IFERROR(VLOOKUP(B284,Petróleo!AD:AE,2,FALSE),"")</f>
        <v>2560</v>
      </c>
      <c r="Q284" s="8">
        <f>IFERROR(VLOOKUP(B284,Petróleo!AF:AG,2,FALSE),"")</f>
        <v>3200</v>
      </c>
      <c r="R284" s="8">
        <f>IFERROR(VLOOKUP(B284,Petróleo!AH:AI,2,FALSE),"")</f>
        <v>800</v>
      </c>
      <c r="S284" s="8">
        <f>IFERROR(VLOOKUP(B284,Petróleo!AJ:AK,2,FALSE),"")</f>
        <v>1920</v>
      </c>
      <c r="T284" s="8">
        <f>IFERROR(VLOOKUP(B284,Petróleo!AL:AM,2,FALSE),"")</f>
        <v>2365</v>
      </c>
      <c r="U284" s="8">
        <f>IFERROR(VLOOKUP(B284,Petróleo!AN:AO,2,FALSE),"")</f>
        <v>3000</v>
      </c>
      <c r="V284" s="10" t="str">
        <f>IFERROR(VLOOKUP(A284,Petróleo!AR:AT,3,FALSE),"")</f>
        <v/>
      </c>
    </row>
    <row r="285" spans="1:22" x14ac:dyDescent="0.25">
      <c r="A285" s="9" t="str">
        <f t="shared" si="4"/>
        <v>82013</v>
      </c>
      <c r="B285" s="9">
        <v>41517</v>
      </c>
      <c r="C285" s="1">
        <f>IFERROR(VLOOKUP(B285,Petróleo!A:B,2,FALSE),"")</f>
        <v>7534</v>
      </c>
      <c r="D285" s="1">
        <f>IFERROR(VLOOKUP(B285,Estoque_US!D:E,2,FALSE),"")</f>
        <v>-4410</v>
      </c>
      <c r="E285" s="1">
        <f>IFERROR(VLOOKUP(B285,Petróleo!F:G,2,FALSE),"")</f>
        <v>10419.719999999999</v>
      </c>
      <c r="F285" s="1">
        <f>IFERROR(VLOOKUP(B285,Petróleo!H:I,2,FALSE),"")</f>
        <v>3097</v>
      </c>
      <c r="G285" s="1">
        <f>IFERROR(VLOOKUP(B285,Petróleo!J:K,2,FALSE),"")</f>
        <v>3276</v>
      </c>
      <c r="H285" s="1">
        <f>IFERROR(VLOOKUP(B285,Petróleo!L:M,2,FALSE),"")</f>
        <v>650</v>
      </c>
      <c r="I285" s="1">
        <f>IFERROR(VLOOKUP(B285,Petróleo!N:O,2,FALSE),"")</f>
        <v>2344</v>
      </c>
      <c r="J285" s="1">
        <f>IFERROR(VLOOKUP(B285,Petróleo!P:Q,2,FALSE),"")</f>
        <v>10064</v>
      </c>
      <c r="K285" s="1">
        <f>IFERROR(VLOOKUP(B285,Petróleo!R:S,2,FALSE),"")</f>
        <v>2500</v>
      </c>
      <c r="L285" s="1">
        <f>IFERROR(VLOOKUP(B285,Petróleo!T:U,2,FALSE),"")</f>
        <v>4082.1</v>
      </c>
      <c r="M285" s="8">
        <f>IFERROR(VLOOKUP(B285,Petróleo!X:Y,2,FALSE),"")</f>
        <v>30709</v>
      </c>
      <c r="N285" s="8">
        <f>IFERROR(VLOOKUP(B285,Petróleo!Z:AA,2,FALSE),"")</f>
        <v>9950</v>
      </c>
      <c r="O285" s="8">
        <f>IFERROR(VLOOKUP(B285,Petróleo!AB:AC,2,FALSE),"")</f>
        <v>2920</v>
      </c>
      <c r="P285" s="8">
        <f>IFERROR(VLOOKUP(B285,Petróleo!AD:AE,2,FALSE),"")</f>
        <v>2570</v>
      </c>
      <c r="Q285" s="8">
        <f>IFERROR(VLOOKUP(B285,Petróleo!AF:AG,2,FALSE),"")</f>
        <v>3200</v>
      </c>
      <c r="R285" s="8">
        <f>IFERROR(VLOOKUP(B285,Petróleo!AH:AI,2,FALSE),"")</f>
        <v>575</v>
      </c>
      <c r="S285" s="8">
        <f>IFERROR(VLOOKUP(B285,Petróleo!AJ:AK,2,FALSE),"")</f>
        <v>2020</v>
      </c>
      <c r="T285" s="8">
        <f>IFERROR(VLOOKUP(B285,Petróleo!AL:AM,2,FALSE),"")</f>
        <v>2360</v>
      </c>
      <c r="U285" s="8">
        <f>IFERROR(VLOOKUP(B285,Petróleo!AN:AO,2,FALSE),"")</f>
        <v>3000</v>
      </c>
      <c r="V285" s="10" t="str">
        <f>IFERROR(VLOOKUP(A285,Petróleo!AR:AT,3,FALSE),"")</f>
        <v/>
      </c>
    </row>
    <row r="286" spans="1:22" x14ac:dyDescent="0.25">
      <c r="A286" s="9" t="str">
        <f t="shared" si="4"/>
        <v>92013</v>
      </c>
      <c r="B286" s="9">
        <v>41547</v>
      </c>
      <c r="C286" s="1">
        <f>IFERROR(VLOOKUP(B286,Petróleo!A:B,2,FALSE),"")</f>
        <v>7838</v>
      </c>
      <c r="D286" s="1">
        <f>IFERROR(VLOOKUP(B286,Estoque_US!D:E,2,FALSE),"")</f>
        <v>3520</v>
      </c>
      <c r="E286" s="1">
        <f>IFERROR(VLOOKUP(B286,Petróleo!F:G,2,FALSE),"")</f>
        <v>10319.719999999999</v>
      </c>
      <c r="F286" s="1">
        <f>IFERROR(VLOOKUP(B286,Petróleo!H:I,2,FALSE),"")</f>
        <v>3065</v>
      </c>
      <c r="G286" s="1">
        <f>IFERROR(VLOOKUP(B286,Petróleo!J:K,2,FALSE),"")</f>
        <v>2826</v>
      </c>
      <c r="H286" s="1">
        <f>IFERROR(VLOOKUP(B286,Petróleo!L:M,2,FALSE),"")</f>
        <v>420</v>
      </c>
      <c r="I286" s="1">
        <f>IFERROR(VLOOKUP(B286,Petróleo!N:O,2,FALSE),"")</f>
        <v>2366</v>
      </c>
      <c r="J286" s="1">
        <f>IFERROR(VLOOKUP(B286,Petróleo!P:Q,2,FALSE),"")</f>
        <v>10082</v>
      </c>
      <c r="K286" s="1">
        <f>IFERROR(VLOOKUP(B286,Petróleo!R:S,2,FALSE),"")</f>
        <v>2500</v>
      </c>
      <c r="L286" s="1">
        <f>IFERROR(VLOOKUP(B286,Petróleo!T:U,2,FALSE),"")</f>
        <v>4135.8999999999996</v>
      </c>
      <c r="M286" s="8">
        <f>IFERROR(VLOOKUP(B286,Petróleo!X:Y,2,FALSE),"")</f>
        <v>30253</v>
      </c>
      <c r="N286" s="8">
        <f>IFERROR(VLOOKUP(B286,Petróleo!Z:AA,2,FALSE),"")</f>
        <v>10000</v>
      </c>
      <c r="O286" s="8">
        <f>IFERROR(VLOOKUP(B286,Petróleo!AB:AC,2,FALSE),"")</f>
        <v>2900</v>
      </c>
      <c r="P286" s="8">
        <f>IFERROR(VLOOKUP(B286,Petróleo!AD:AE,2,FALSE),"")</f>
        <v>2600</v>
      </c>
      <c r="Q286" s="8">
        <f>IFERROR(VLOOKUP(B286,Petróleo!AF:AG,2,FALSE),"")</f>
        <v>2800</v>
      </c>
      <c r="R286" s="8">
        <f>IFERROR(VLOOKUP(B286,Petróleo!AH:AI,2,FALSE),"")</f>
        <v>300</v>
      </c>
      <c r="S286" s="8">
        <f>IFERROR(VLOOKUP(B286,Petróleo!AJ:AK,2,FALSE),"")</f>
        <v>2150</v>
      </c>
      <c r="T286" s="8">
        <f>IFERROR(VLOOKUP(B286,Petróleo!AL:AM,2,FALSE),"")</f>
        <v>2360</v>
      </c>
      <c r="U286" s="8">
        <f>IFERROR(VLOOKUP(B286,Petróleo!AN:AO,2,FALSE),"")</f>
        <v>3000</v>
      </c>
      <c r="V286" s="10" t="str">
        <f>IFERROR(VLOOKUP(A286,Petróleo!AR:AT,3,FALSE),"")</f>
        <v/>
      </c>
    </row>
    <row r="287" spans="1:22" x14ac:dyDescent="0.25">
      <c r="A287" s="9" t="str">
        <f t="shared" si="4"/>
        <v>102013</v>
      </c>
      <c r="B287" s="9">
        <v>41578</v>
      </c>
      <c r="C287" s="1">
        <f>IFERROR(VLOOKUP(B287,Petróleo!A:B,2,FALSE),"")</f>
        <v>7760</v>
      </c>
      <c r="D287" s="1">
        <f>IFERROR(VLOOKUP(B287,Estoque_US!D:E,2,FALSE),"")</f>
        <v>20139</v>
      </c>
      <c r="E287" s="1">
        <f>IFERROR(VLOOKUP(B287,Petróleo!F:G,2,FALSE),"")</f>
        <v>10019.719999999999</v>
      </c>
      <c r="F287" s="1">
        <f>IFERROR(VLOOKUP(B287,Petróleo!H:I,2,FALSE),"")</f>
        <v>3127</v>
      </c>
      <c r="G287" s="1">
        <f>IFERROR(VLOOKUP(B287,Petróleo!J:K,2,FALSE),"")</f>
        <v>2976</v>
      </c>
      <c r="H287" s="1">
        <f>IFERROR(VLOOKUP(B287,Petróleo!L:M,2,FALSE),"")</f>
        <v>610</v>
      </c>
      <c r="I287" s="1">
        <f>IFERROR(VLOOKUP(B287,Petróleo!N:O,2,FALSE),"")</f>
        <v>2320</v>
      </c>
      <c r="J287" s="1">
        <f>IFERROR(VLOOKUP(B287,Petróleo!P:Q,2,FALSE),"")</f>
        <v>10109</v>
      </c>
      <c r="K287" s="1">
        <f>IFERROR(VLOOKUP(B287,Petróleo!R:S,2,FALSE),"")</f>
        <v>2500</v>
      </c>
      <c r="L287" s="1">
        <f>IFERROR(VLOOKUP(B287,Petróleo!T:U,2,FALSE),"")</f>
        <v>4222.2</v>
      </c>
      <c r="M287" s="8">
        <f>IFERROR(VLOOKUP(B287,Petróleo!X:Y,2,FALSE),"")</f>
        <v>29922</v>
      </c>
      <c r="N287" s="8">
        <f>IFERROR(VLOOKUP(B287,Petróleo!Z:AA,2,FALSE),"")</f>
        <v>9800</v>
      </c>
      <c r="O287" s="8">
        <f>IFERROR(VLOOKUP(B287,Petróleo!AB:AC,2,FALSE),"")</f>
        <v>2800</v>
      </c>
      <c r="P287" s="8">
        <f>IFERROR(VLOOKUP(B287,Petróleo!AD:AE,2,FALSE),"")</f>
        <v>2595</v>
      </c>
      <c r="Q287" s="8">
        <f>IFERROR(VLOOKUP(B287,Petróleo!AF:AG,2,FALSE),"")</f>
        <v>3080</v>
      </c>
      <c r="R287" s="8">
        <f>IFERROR(VLOOKUP(B287,Petróleo!AH:AI,2,FALSE),"")</f>
        <v>250</v>
      </c>
      <c r="S287" s="8">
        <f>IFERROR(VLOOKUP(B287,Petróleo!AJ:AK,2,FALSE),"")</f>
        <v>1990</v>
      </c>
      <c r="T287" s="8">
        <f>IFERROR(VLOOKUP(B287,Petróleo!AL:AM,2,FALSE),"")</f>
        <v>2355</v>
      </c>
      <c r="U287" s="8">
        <f>IFERROR(VLOOKUP(B287,Petróleo!AN:AO,2,FALSE),"")</f>
        <v>2940</v>
      </c>
      <c r="V287" s="10" t="str">
        <f>IFERROR(VLOOKUP(A287,Petróleo!AR:AT,3,FALSE),"")</f>
        <v/>
      </c>
    </row>
    <row r="288" spans="1:22" x14ac:dyDescent="0.25">
      <c r="A288" s="9" t="str">
        <f t="shared" si="4"/>
        <v>112013</v>
      </c>
      <c r="B288" s="9">
        <v>41608</v>
      </c>
      <c r="C288" s="1">
        <f>IFERROR(VLOOKUP(B288,Petróleo!A:B,2,FALSE),"")</f>
        <v>7919</v>
      </c>
      <c r="D288" s="1">
        <f>IFERROR(VLOOKUP(B288,Estoque_US!D:E,2,FALSE),"")</f>
        <v>1960</v>
      </c>
      <c r="E288" s="1">
        <f>IFERROR(VLOOKUP(B288,Petróleo!F:G,2,FALSE),"")</f>
        <v>10019.719999999999</v>
      </c>
      <c r="F288" s="1">
        <f>IFERROR(VLOOKUP(B288,Petróleo!H:I,2,FALSE),"")</f>
        <v>3136</v>
      </c>
      <c r="G288" s="1">
        <f>IFERROR(VLOOKUP(B288,Petróleo!J:K,2,FALSE),"")</f>
        <v>2976</v>
      </c>
      <c r="H288" s="1">
        <f>IFERROR(VLOOKUP(B288,Petróleo!L:M,2,FALSE),"")</f>
        <v>280</v>
      </c>
      <c r="I288" s="1">
        <f>IFERROR(VLOOKUP(B288,Petróleo!N:O,2,FALSE),"")</f>
        <v>2220</v>
      </c>
      <c r="J288" s="1">
        <f>IFERROR(VLOOKUP(B288,Petróleo!P:Q,2,FALSE),"")</f>
        <v>10209</v>
      </c>
      <c r="K288" s="1">
        <f>IFERROR(VLOOKUP(B288,Petróleo!R:S,2,FALSE),"")</f>
        <v>2500</v>
      </c>
      <c r="L288" s="1">
        <f>IFERROR(VLOOKUP(B288,Petróleo!T:U,2,FALSE),"")</f>
        <v>4232</v>
      </c>
      <c r="M288" s="8">
        <f>IFERROR(VLOOKUP(B288,Petróleo!X:Y,2,FALSE),"")</f>
        <v>29658</v>
      </c>
      <c r="N288" s="8">
        <f>IFERROR(VLOOKUP(B288,Petróleo!Z:AA,2,FALSE),"")</f>
        <v>9650</v>
      </c>
      <c r="O288" s="8">
        <f>IFERROR(VLOOKUP(B288,Petróleo!AB:AC,2,FALSE),"")</f>
        <v>2760</v>
      </c>
      <c r="P288" s="8">
        <f>IFERROR(VLOOKUP(B288,Petróleo!AD:AE,2,FALSE),"")</f>
        <v>2645</v>
      </c>
      <c r="Q288" s="8">
        <f>IFERROR(VLOOKUP(B288,Petróleo!AF:AG,2,FALSE),"")</f>
        <v>3100</v>
      </c>
      <c r="R288" s="8">
        <f>IFERROR(VLOOKUP(B288,Petróleo!AH:AI,2,FALSE),"")</f>
        <v>210</v>
      </c>
      <c r="S288" s="8">
        <f>IFERROR(VLOOKUP(B288,Petróleo!AJ:AK,2,FALSE),"")</f>
        <v>1890</v>
      </c>
      <c r="T288" s="8">
        <f>IFERROR(VLOOKUP(B288,Petróleo!AL:AM,2,FALSE),"")</f>
        <v>2355</v>
      </c>
      <c r="U288" s="8">
        <f>IFERROR(VLOOKUP(B288,Petróleo!AN:AO,2,FALSE),"")</f>
        <v>2950</v>
      </c>
      <c r="V288" s="10" t="str">
        <f>IFERROR(VLOOKUP(A288,Petróleo!AR:AT,3,FALSE),"")</f>
        <v/>
      </c>
    </row>
    <row r="289" spans="1:22" x14ac:dyDescent="0.25">
      <c r="A289" s="9" t="str">
        <f t="shared" si="4"/>
        <v>122013</v>
      </c>
      <c r="B289" s="9">
        <v>41639</v>
      </c>
      <c r="C289" s="1">
        <f>IFERROR(VLOOKUP(B289,Petróleo!A:B,2,FALSE),"")</f>
        <v>7932</v>
      </c>
      <c r="D289" s="1">
        <f>IFERROR(VLOOKUP(B289,Estoque_US!D:E,2,FALSE),"")</f>
        <v>-25264</v>
      </c>
      <c r="E289" s="1">
        <f>IFERROR(VLOOKUP(B289,Petróleo!F:G,2,FALSE),"")</f>
        <v>10019.719999999999</v>
      </c>
      <c r="F289" s="1">
        <f>IFERROR(VLOOKUP(B289,Petróleo!H:I,2,FALSE),"")</f>
        <v>3169</v>
      </c>
      <c r="G289" s="1">
        <f>IFERROR(VLOOKUP(B289,Petróleo!J:K,2,FALSE),"")</f>
        <v>2926</v>
      </c>
      <c r="H289" s="1">
        <f>IFERROR(VLOOKUP(B289,Petróleo!L:M,2,FALSE),"")</f>
        <v>290</v>
      </c>
      <c r="I289" s="1">
        <f>IFERROR(VLOOKUP(B289,Petróleo!N:O,2,FALSE),"")</f>
        <v>2300</v>
      </c>
      <c r="J289" s="1">
        <f>IFERROR(VLOOKUP(B289,Petróleo!P:Q,2,FALSE),"")</f>
        <v>10170</v>
      </c>
      <c r="K289" s="1">
        <f>IFERROR(VLOOKUP(B289,Petróleo!R:S,2,FALSE),"")</f>
        <v>2500</v>
      </c>
      <c r="L289" s="1">
        <f>IFERROR(VLOOKUP(B289,Petróleo!T:U,2,FALSE),"")</f>
        <v>4228.1000000000004</v>
      </c>
      <c r="M289" s="8">
        <f>IFERROR(VLOOKUP(B289,Petróleo!X:Y,2,FALSE),"")</f>
        <v>29919</v>
      </c>
      <c r="N289" s="8">
        <f>IFERROR(VLOOKUP(B289,Petróleo!Z:AA,2,FALSE),"")</f>
        <v>9800</v>
      </c>
      <c r="O289" s="8">
        <f>IFERROR(VLOOKUP(B289,Petróleo!AB:AC,2,FALSE),"")</f>
        <v>2760</v>
      </c>
      <c r="P289" s="8">
        <f>IFERROR(VLOOKUP(B289,Petróleo!AD:AE,2,FALSE),"")</f>
        <v>2680</v>
      </c>
      <c r="Q289" s="8">
        <f>IFERROR(VLOOKUP(B289,Petróleo!AF:AG,2,FALSE),"")</f>
        <v>3100</v>
      </c>
      <c r="R289" s="8">
        <f>IFERROR(VLOOKUP(B289,Petróleo!AH:AI,2,FALSE),"")</f>
        <v>210</v>
      </c>
      <c r="S289" s="8">
        <f>IFERROR(VLOOKUP(B289,Petróleo!AJ:AK,2,FALSE),"")</f>
        <v>1931</v>
      </c>
      <c r="T289" s="8">
        <f>IFERROR(VLOOKUP(B289,Petróleo!AL:AM,2,FALSE),"")</f>
        <v>2330</v>
      </c>
      <c r="U289" s="8">
        <f>IFERROR(VLOOKUP(B289,Petróleo!AN:AO,2,FALSE),"")</f>
        <v>2964</v>
      </c>
      <c r="V289" s="10" t="str">
        <f>IFERROR(VLOOKUP(A289,Petróleo!AR:AT,3,FALSE),"")</f>
        <v/>
      </c>
    </row>
    <row r="290" spans="1:22" x14ac:dyDescent="0.25">
      <c r="A290" s="9" t="str">
        <f t="shared" si="4"/>
        <v>12014</v>
      </c>
      <c r="B290" s="9">
        <v>41670</v>
      </c>
      <c r="C290" s="1">
        <f>IFERROR(VLOOKUP(B290,Petróleo!A:B,2,FALSE),"")</f>
        <v>8072</v>
      </c>
      <c r="D290" s="1">
        <f>IFERROR(VLOOKUP(B290,Estoque_US!D:E,2,FALSE),"")</f>
        <v>-2482</v>
      </c>
      <c r="E290" s="1">
        <f>IFERROR(VLOOKUP(B290,Petróleo!F:G,2,FALSE),"")</f>
        <v>10109.977999999999</v>
      </c>
      <c r="F290" s="1">
        <f>IFERROR(VLOOKUP(B290,Petróleo!H:I,2,FALSE),"")</f>
        <v>3270</v>
      </c>
      <c r="G290" s="1">
        <f>IFERROR(VLOOKUP(B290,Petróleo!J:K,2,FALSE),"")</f>
        <v>3127</v>
      </c>
      <c r="H290" s="1">
        <f>IFERROR(VLOOKUP(B290,Petróleo!L:M,2,FALSE),"")</f>
        <v>569</v>
      </c>
      <c r="I290" s="1">
        <f>IFERROR(VLOOKUP(B290,Petróleo!N:O,2,FALSE),"")</f>
        <v>2420</v>
      </c>
      <c r="J290" s="1">
        <f>IFERROR(VLOOKUP(B290,Petróleo!P:Q,2,FALSE),"")</f>
        <v>10131</v>
      </c>
      <c r="K290" s="1">
        <f>IFERROR(VLOOKUP(B290,Petróleo!R:S,2,FALSE),"")</f>
        <v>2500</v>
      </c>
      <c r="L290" s="1">
        <f>IFERROR(VLOOKUP(B290,Petróleo!T:U,2,FALSE),"")</f>
        <v>4181.7</v>
      </c>
      <c r="M290" s="8">
        <f>IFERROR(VLOOKUP(B290,Petróleo!X:Y,2,FALSE),"")</f>
        <v>29768</v>
      </c>
      <c r="N290" s="8">
        <f>IFERROR(VLOOKUP(B290,Petróleo!Z:AA,2,FALSE),"")</f>
        <v>9700</v>
      </c>
      <c r="O290" s="8">
        <f>IFERROR(VLOOKUP(B290,Petróleo!AB:AC,2,FALSE),"")</f>
        <v>2770</v>
      </c>
      <c r="P290" s="8">
        <f>IFERROR(VLOOKUP(B290,Petróleo!AD:AE,2,FALSE),"")</f>
        <v>2700</v>
      </c>
      <c r="Q290" s="8">
        <f>IFERROR(VLOOKUP(B290,Petróleo!AF:AG,2,FALSE),"")</f>
        <v>3050</v>
      </c>
      <c r="R290" s="8">
        <f>IFERROR(VLOOKUP(B290,Petróleo!AH:AI,2,FALSE),"")</f>
        <v>470</v>
      </c>
      <c r="S290" s="8">
        <f>IFERROR(VLOOKUP(B290,Petróleo!AJ:AK,2,FALSE),"")</f>
        <v>1925</v>
      </c>
      <c r="T290" s="8">
        <f>IFERROR(VLOOKUP(B290,Petróleo!AL:AM,2,FALSE),"")</f>
        <v>2330</v>
      </c>
      <c r="U290" s="8">
        <f>IFERROR(VLOOKUP(B290,Petróleo!AN:AO,2,FALSE),"")</f>
        <v>2930</v>
      </c>
      <c r="V290" s="10" t="str">
        <f>IFERROR(VLOOKUP(A290,Petróleo!AR:AT,3,FALSE),"")</f>
        <v/>
      </c>
    </row>
    <row r="291" spans="1:22" x14ac:dyDescent="0.25">
      <c r="A291" s="9" t="str">
        <f t="shared" si="4"/>
        <v>22014</v>
      </c>
      <c r="B291" s="9">
        <v>41698</v>
      </c>
      <c r="C291" s="1">
        <f>IFERROR(VLOOKUP(B291,Petróleo!A:B,2,FALSE),"")</f>
        <v>8149</v>
      </c>
      <c r="D291" s="1">
        <f>IFERROR(VLOOKUP(B291,Estoque_US!D:E,2,FALSE),"")</f>
        <v>5737</v>
      </c>
      <c r="E291" s="1">
        <f>IFERROR(VLOOKUP(B291,Petróleo!F:G,2,FALSE),"")</f>
        <v>10059.977999999999</v>
      </c>
      <c r="F291" s="1">
        <f>IFERROR(VLOOKUP(B291,Petróleo!H:I,2,FALSE),"")</f>
        <v>3260</v>
      </c>
      <c r="G291" s="1">
        <f>IFERROR(VLOOKUP(B291,Petróleo!J:K,2,FALSE),"")</f>
        <v>3427</v>
      </c>
      <c r="H291" s="1">
        <f>IFERROR(VLOOKUP(B291,Petróleo!L:M,2,FALSE),"")</f>
        <v>439</v>
      </c>
      <c r="I291" s="1">
        <f>IFERROR(VLOOKUP(B291,Petróleo!N:O,2,FALSE),"")</f>
        <v>2370</v>
      </c>
      <c r="J291" s="1">
        <f>IFERROR(VLOOKUP(B291,Petróleo!P:Q,2,FALSE),"")</f>
        <v>10106</v>
      </c>
      <c r="K291" s="1">
        <f>IFERROR(VLOOKUP(B291,Petróleo!R:S,2,FALSE),"")</f>
        <v>2500</v>
      </c>
      <c r="L291" s="1">
        <f>IFERROR(VLOOKUP(B291,Petróleo!T:U,2,FALSE),"")</f>
        <v>4215</v>
      </c>
      <c r="M291" s="8">
        <f>IFERROR(VLOOKUP(B291,Petróleo!X:Y,2,FALSE),"")</f>
        <v>30290</v>
      </c>
      <c r="N291" s="8">
        <f>IFERROR(VLOOKUP(B291,Petróleo!Z:AA,2,FALSE),"")</f>
        <v>9650</v>
      </c>
      <c r="O291" s="8">
        <f>IFERROR(VLOOKUP(B291,Petróleo!AB:AC,2,FALSE),"")</f>
        <v>2730</v>
      </c>
      <c r="P291" s="8">
        <f>IFERROR(VLOOKUP(B291,Petróleo!AD:AE,2,FALSE),"")</f>
        <v>2800</v>
      </c>
      <c r="Q291" s="8">
        <f>IFERROR(VLOOKUP(B291,Petróleo!AF:AG,2,FALSE),"")</f>
        <v>3400</v>
      </c>
      <c r="R291" s="8">
        <f>IFERROR(VLOOKUP(B291,Petróleo!AH:AI,2,FALSE),"")</f>
        <v>350</v>
      </c>
      <c r="S291" s="8">
        <f>IFERROR(VLOOKUP(B291,Petróleo!AJ:AK,2,FALSE),"")</f>
        <v>2010</v>
      </c>
      <c r="T291" s="8">
        <f>IFERROR(VLOOKUP(B291,Petróleo!AL:AM,2,FALSE),"")</f>
        <v>2330</v>
      </c>
      <c r="U291" s="8">
        <f>IFERROR(VLOOKUP(B291,Petróleo!AN:AO,2,FALSE),"")</f>
        <v>2910</v>
      </c>
      <c r="V291" s="10" t="str">
        <f>IFERROR(VLOOKUP(A291,Petróleo!AR:AT,3,FALSE),"")</f>
        <v/>
      </c>
    </row>
    <row r="292" spans="1:22" x14ac:dyDescent="0.25">
      <c r="A292" s="9" t="str">
        <f t="shared" si="4"/>
        <v>32014</v>
      </c>
      <c r="B292" s="9">
        <v>41729</v>
      </c>
      <c r="C292" s="1">
        <f>IFERROR(VLOOKUP(B292,Petróleo!A:B,2,FALSE),"")</f>
        <v>8291</v>
      </c>
      <c r="D292" s="1">
        <f>IFERROR(VLOOKUP(B292,Estoque_US!D:E,2,FALSE),"")</f>
        <v>16270</v>
      </c>
      <c r="E292" s="1">
        <f>IFERROR(VLOOKUP(B292,Petróleo!F:G,2,FALSE),"")</f>
        <v>9859.9779999999992</v>
      </c>
      <c r="F292" s="1">
        <f>IFERROR(VLOOKUP(B292,Petróleo!H:I,2,FALSE),"")</f>
        <v>3230</v>
      </c>
      <c r="G292" s="1">
        <f>IFERROR(VLOOKUP(B292,Petróleo!J:K,2,FALSE),"")</f>
        <v>3327</v>
      </c>
      <c r="H292" s="1">
        <f>IFERROR(VLOOKUP(B292,Petróleo!L:M,2,FALSE),"")</f>
        <v>309</v>
      </c>
      <c r="I292" s="1">
        <f>IFERROR(VLOOKUP(B292,Petróleo!N:O,2,FALSE),"")</f>
        <v>2320</v>
      </c>
      <c r="J292" s="1">
        <f>IFERROR(VLOOKUP(B292,Petróleo!P:Q,2,FALSE),"")</f>
        <v>10103</v>
      </c>
      <c r="K292" s="1">
        <f>IFERROR(VLOOKUP(B292,Petróleo!R:S,2,FALSE),"")</f>
        <v>2500</v>
      </c>
      <c r="L292" s="1">
        <f>IFERROR(VLOOKUP(B292,Petróleo!T:U,2,FALSE),"")</f>
        <v>4166.8999999999996</v>
      </c>
      <c r="M292" s="8">
        <f>IFERROR(VLOOKUP(B292,Petróleo!X:Y,2,FALSE),"")</f>
        <v>30045</v>
      </c>
      <c r="N292" s="8">
        <f>IFERROR(VLOOKUP(B292,Petróleo!Z:AA,2,FALSE),"")</f>
        <v>9600</v>
      </c>
      <c r="O292" s="8">
        <f>IFERROR(VLOOKUP(B292,Petróleo!AB:AC,2,FALSE),"")</f>
        <v>2700</v>
      </c>
      <c r="P292" s="8">
        <f>IFERROR(VLOOKUP(B292,Petróleo!AD:AE,2,FALSE),"")</f>
        <v>2865</v>
      </c>
      <c r="Q292" s="8">
        <f>IFERROR(VLOOKUP(B292,Petróleo!AF:AG,2,FALSE),"")</f>
        <v>3350</v>
      </c>
      <c r="R292" s="8">
        <f>IFERROR(VLOOKUP(B292,Petróleo!AH:AI,2,FALSE),"")</f>
        <v>250</v>
      </c>
      <c r="S292" s="8">
        <f>IFERROR(VLOOKUP(B292,Petróleo!AJ:AK,2,FALSE),"")</f>
        <v>2080</v>
      </c>
      <c r="T292" s="8">
        <f>IFERROR(VLOOKUP(B292,Petróleo!AL:AM,2,FALSE),"")</f>
        <v>2330</v>
      </c>
      <c r="U292" s="8">
        <f>IFERROR(VLOOKUP(B292,Petróleo!AN:AO,2,FALSE),"")</f>
        <v>2920</v>
      </c>
      <c r="V292" s="10" t="str">
        <f>IFERROR(VLOOKUP(A292,Petróleo!AR:AT,3,FALSE),"")</f>
        <v/>
      </c>
    </row>
    <row r="293" spans="1:22" x14ac:dyDescent="0.25">
      <c r="A293" s="9" t="str">
        <f t="shared" si="4"/>
        <v>42014</v>
      </c>
      <c r="B293" s="9">
        <v>41759</v>
      </c>
      <c r="C293" s="1">
        <f>IFERROR(VLOOKUP(B293,Petróleo!A:B,2,FALSE),"")</f>
        <v>8520</v>
      </c>
      <c r="D293" s="1">
        <f>IFERROR(VLOOKUP(B293,Estoque_US!D:E,2,FALSE),"")</f>
        <v>19265</v>
      </c>
      <c r="E293" s="1">
        <f>IFERROR(VLOOKUP(B293,Petróleo!F:G,2,FALSE),"")</f>
        <v>9859.9779999999992</v>
      </c>
      <c r="F293" s="1">
        <f>IFERROR(VLOOKUP(B293,Petróleo!H:I,2,FALSE),"")</f>
        <v>3230</v>
      </c>
      <c r="G293" s="1">
        <f>IFERROR(VLOOKUP(B293,Petróleo!J:K,2,FALSE),"")</f>
        <v>3302</v>
      </c>
      <c r="H293" s="1">
        <f>IFERROR(VLOOKUP(B293,Petróleo!L:M,2,FALSE),"")</f>
        <v>269</v>
      </c>
      <c r="I293" s="1">
        <f>IFERROR(VLOOKUP(B293,Petróleo!N:O,2,FALSE),"")</f>
        <v>2325</v>
      </c>
      <c r="J293" s="1">
        <f>IFERROR(VLOOKUP(B293,Petróleo!P:Q,2,FALSE),"")</f>
        <v>10083</v>
      </c>
      <c r="K293" s="1">
        <f>IFERROR(VLOOKUP(B293,Petróleo!R:S,2,FALSE),"")</f>
        <v>2500</v>
      </c>
      <c r="L293" s="1">
        <f>IFERROR(VLOOKUP(B293,Petróleo!T:U,2,FALSE),"")</f>
        <v>4142</v>
      </c>
      <c r="M293" s="8">
        <f>IFERROR(VLOOKUP(B293,Petróleo!X:Y,2,FALSE),"")</f>
        <v>29793</v>
      </c>
      <c r="N293" s="8">
        <f>IFERROR(VLOOKUP(B293,Petróleo!Z:AA,2,FALSE),"")</f>
        <v>9600</v>
      </c>
      <c r="O293" s="8">
        <f>IFERROR(VLOOKUP(B293,Petróleo!AB:AC,2,FALSE),"")</f>
        <v>2700</v>
      </c>
      <c r="P293" s="8">
        <f>IFERROR(VLOOKUP(B293,Petróleo!AD:AE,2,FALSE),"")</f>
        <v>2840</v>
      </c>
      <c r="Q293" s="8">
        <f>IFERROR(VLOOKUP(B293,Petróleo!AF:AG,2,FALSE),"")</f>
        <v>3250</v>
      </c>
      <c r="R293" s="8">
        <f>IFERROR(VLOOKUP(B293,Petróleo!AH:AI,2,FALSE),"")</f>
        <v>215</v>
      </c>
      <c r="S293" s="8">
        <f>IFERROR(VLOOKUP(B293,Petróleo!AJ:AK,2,FALSE),"")</f>
        <v>2020</v>
      </c>
      <c r="T293" s="8">
        <f>IFERROR(VLOOKUP(B293,Petróleo!AL:AM,2,FALSE),"")</f>
        <v>2330</v>
      </c>
      <c r="U293" s="8">
        <f>IFERROR(VLOOKUP(B293,Petróleo!AN:AO,2,FALSE),"")</f>
        <v>2920</v>
      </c>
      <c r="V293" s="10" t="str">
        <f>IFERROR(VLOOKUP(A293,Petróleo!AR:AT,3,FALSE),"")</f>
        <v/>
      </c>
    </row>
    <row r="294" spans="1:22" x14ac:dyDescent="0.25">
      <c r="A294" s="9" t="str">
        <f t="shared" si="4"/>
        <v>52014</v>
      </c>
      <c r="B294" s="9">
        <v>41790</v>
      </c>
      <c r="C294" s="1">
        <f>IFERROR(VLOOKUP(B294,Petróleo!A:B,2,FALSE),"")</f>
        <v>8636</v>
      </c>
      <c r="D294" s="1">
        <f>IFERROR(VLOOKUP(B294,Estoque_US!D:E,2,FALSE),"")</f>
        <v>-9834</v>
      </c>
      <c r="E294" s="1">
        <f>IFERROR(VLOOKUP(B294,Petróleo!F:G,2,FALSE),"")</f>
        <v>9859.9779999999992</v>
      </c>
      <c r="F294" s="1">
        <f>IFERROR(VLOOKUP(B294,Petróleo!H:I,2,FALSE),"")</f>
        <v>3230</v>
      </c>
      <c r="G294" s="1">
        <f>IFERROR(VLOOKUP(B294,Petróleo!J:K,2,FALSE),"")</f>
        <v>3327</v>
      </c>
      <c r="H294" s="1">
        <f>IFERROR(VLOOKUP(B294,Petróleo!L:M,2,FALSE),"")</f>
        <v>289</v>
      </c>
      <c r="I294" s="1">
        <f>IFERROR(VLOOKUP(B294,Petróleo!N:O,2,FALSE),"")</f>
        <v>2334</v>
      </c>
      <c r="J294" s="1">
        <f>IFERROR(VLOOKUP(B294,Petróleo!P:Q,2,FALSE),"")</f>
        <v>10083</v>
      </c>
      <c r="K294" s="1">
        <f>IFERROR(VLOOKUP(B294,Petróleo!R:S,2,FALSE),"")</f>
        <v>2500</v>
      </c>
      <c r="L294" s="1">
        <f>IFERROR(VLOOKUP(B294,Petróleo!T:U,2,FALSE),"")</f>
        <v>4188.8</v>
      </c>
      <c r="M294" s="8">
        <f>IFERROR(VLOOKUP(B294,Petróleo!X:Y,2,FALSE),"")</f>
        <v>29825</v>
      </c>
      <c r="N294" s="8">
        <f>IFERROR(VLOOKUP(B294,Petróleo!Z:AA,2,FALSE),"")</f>
        <v>9670</v>
      </c>
      <c r="O294" s="8">
        <f>IFERROR(VLOOKUP(B294,Petróleo!AB:AC,2,FALSE),"")</f>
        <v>2700</v>
      </c>
      <c r="P294" s="8">
        <f>IFERROR(VLOOKUP(B294,Petróleo!AD:AE,2,FALSE),"")</f>
        <v>2750</v>
      </c>
      <c r="Q294" s="8">
        <f>IFERROR(VLOOKUP(B294,Petróleo!AF:AG,2,FALSE),"")</f>
        <v>3300</v>
      </c>
      <c r="R294" s="8">
        <f>IFERROR(VLOOKUP(B294,Petróleo!AH:AI,2,FALSE),"")</f>
        <v>250</v>
      </c>
      <c r="S294" s="8">
        <f>IFERROR(VLOOKUP(B294,Petróleo!AJ:AK,2,FALSE),"")</f>
        <v>1950</v>
      </c>
      <c r="T294" s="8">
        <f>IFERROR(VLOOKUP(B294,Petróleo!AL:AM,2,FALSE),"")</f>
        <v>2340</v>
      </c>
      <c r="U294" s="8">
        <f>IFERROR(VLOOKUP(B294,Petróleo!AN:AO,2,FALSE),"")</f>
        <v>2800</v>
      </c>
      <c r="V294" s="10" t="str">
        <f>IFERROR(VLOOKUP(A294,Petróleo!AR:AT,3,FALSE),"")</f>
        <v/>
      </c>
    </row>
    <row r="295" spans="1:22" x14ac:dyDescent="0.25">
      <c r="A295" s="9" t="str">
        <f t="shared" si="4"/>
        <v>62014</v>
      </c>
      <c r="B295" s="9">
        <v>41820</v>
      </c>
      <c r="C295" s="1">
        <f>IFERROR(VLOOKUP(B295,Petróleo!A:B,2,FALSE),"")</f>
        <v>8734</v>
      </c>
      <c r="D295" s="1">
        <f>IFERROR(VLOOKUP(B295,Estoque_US!D:E,2,FALSE),"")</f>
        <v>-4588</v>
      </c>
      <c r="E295" s="1">
        <f>IFERROR(VLOOKUP(B295,Petróleo!F:G,2,FALSE),"")</f>
        <v>9859.9779999999992</v>
      </c>
      <c r="F295" s="1">
        <f>IFERROR(VLOOKUP(B295,Petróleo!H:I,2,FALSE),"")</f>
        <v>3150</v>
      </c>
      <c r="G295" s="1">
        <f>IFERROR(VLOOKUP(B295,Petróleo!J:K,2,FALSE),"")</f>
        <v>3327</v>
      </c>
      <c r="H295" s="1">
        <f>IFERROR(VLOOKUP(B295,Petróleo!L:M,2,FALSE),"")</f>
        <v>294</v>
      </c>
      <c r="I295" s="1">
        <f>IFERROR(VLOOKUP(B295,Petróleo!N:O,2,FALSE),"")</f>
        <v>2370</v>
      </c>
      <c r="J295" s="1">
        <f>IFERROR(VLOOKUP(B295,Petróleo!P:Q,2,FALSE),"")</f>
        <v>10095</v>
      </c>
      <c r="K295" s="1">
        <f>IFERROR(VLOOKUP(B295,Petróleo!R:S,2,FALSE),"")</f>
        <v>2500</v>
      </c>
      <c r="L295" s="1">
        <f>IFERROR(VLOOKUP(B295,Petróleo!T:U,2,FALSE),"")</f>
        <v>4272</v>
      </c>
      <c r="M295" s="8">
        <f>IFERROR(VLOOKUP(B295,Petróleo!X:Y,2,FALSE),"")</f>
        <v>30206</v>
      </c>
      <c r="N295" s="8">
        <f>IFERROR(VLOOKUP(B295,Petróleo!Z:AA,2,FALSE),"")</f>
        <v>9800</v>
      </c>
      <c r="O295" s="8">
        <f>IFERROR(VLOOKUP(B295,Petróleo!AB:AC,2,FALSE),"")</f>
        <v>2800</v>
      </c>
      <c r="P295" s="8">
        <f>IFERROR(VLOOKUP(B295,Petróleo!AD:AE,2,FALSE),"")</f>
        <v>2840</v>
      </c>
      <c r="Q295" s="8">
        <f>IFERROR(VLOOKUP(B295,Petróleo!AF:AG,2,FALSE),"")</f>
        <v>3100</v>
      </c>
      <c r="R295" s="8">
        <f>IFERROR(VLOOKUP(B295,Petróleo!AH:AI,2,FALSE),"")</f>
        <v>300</v>
      </c>
      <c r="S295" s="8">
        <f>IFERROR(VLOOKUP(B295,Petróleo!AJ:AK,2,FALSE),"")</f>
        <v>2150</v>
      </c>
      <c r="T295" s="8">
        <f>IFERROR(VLOOKUP(B295,Petróleo!AL:AM,2,FALSE),"")</f>
        <v>2350</v>
      </c>
      <c r="U295" s="8">
        <f>IFERROR(VLOOKUP(B295,Petróleo!AN:AO,2,FALSE),"")</f>
        <v>2800</v>
      </c>
      <c r="V295" s="10" t="str">
        <f>IFERROR(VLOOKUP(A295,Petróleo!AR:AT,3,FALSE),"")</f>
        <v/>
      </c>
    </row>
    <row r="296" spans="1:22" x14ac:dyDescent="0.25">
      <c r="A296" s="9" t="str">
        <f t="shared" si="4"/>
        <v>72014</v>
      </c>
      <c r="B296" s="9">
        <v>41851</v>
      </c>
      <c r="C296" s="1">
        <f>IFERROR(VLOOKUP(B296,Petróleo!A:B,2,FALSE),"")</f>
        <v>8837</v>
      </c>
      <c r="D296" s="1">
        <f>IFERROR(VLOOKUP(B296,Estoque_US!D:E,2,FALSE),"")</f>
        <v>-17561</v>
      </c>
      <c r="E296" s="1">
        <f>IFERROR(VLOOKUP(B296,Petróleo!F:G,2,FALSE),"")</f>
        <v>10009.977999999999</v>
      </c>
      <c r="F296" s="1">
        <f>IFERROR(VLOOKUP(B296,Petróleo!H:I,2,FALSE),"")</f>
        <v>3150</v>
      </c>
      <c r="G296" s="1">
        <f>IFERROR(VLOOKUP(B296,Petróleo!J:K,2,FALSE),"")</f>
        <v>3197</v>
      </c>
      <c r="H296" s="1">
        <f>IFERROR(VLOOKUP(B296,Petróleo!L:M,2,FALSE),"")</f>
        <v>494</v>
      </c>
      <c r="I296" s="1">
        <f>IFERROR(VLOOKUP(B296,Petróleo!N:O,2,FALSE),"")</f>
        <v>2291</v>
      </c>
      <c r="J296" s="1">
        <f>IFERROR(VLOOKUP(B296,Petróleo!P:Q,2,FALSE),"")</f>
        <v>10003</v>
      </c>
      <c r="K296" s="1">
        <f>IFERROR(VLOOKUP(B296,Petróleo!R:S,2,FALSE),"")</f>
        <v>2500</v>
      </c>
      <c r="L296" s="1">
        <f>IFERROR(VLOOKUP(B296,Petróleo!T:U,2,FALSE),"")</f>
        <v>4090.6</v>
      </c>
      <c r="M296" s="8">
        <f>IFERROR(VLOOKUP(B296,Petróleo!X:Y,2,FALSE),"")</f>
        <v>30022</v>
      </c>
      <c r="N296" s="8">
        <f>IFERROR(VLOOKUP(B296,Petróleo!Z:AA,2,FALSE),"")</f>
        <v>9820</v>
      </c>
      <c r="O296" s="8">
        <f>IFERROR(VLOOKUP(B296,Petróleo!AB:AC,2,FALSE),"")</f>
        <v>2800</v>
      </c>
      <c r="P296" s="8">
        <f>IFERROR(VLOOKUP(B296,Petróleo!AD:AE,2,FALSE),"")</f>
        <v>2830</v>
      </c>
      <c r="Q296" s="8">
        <f>IFERROR(VLOOKUP(B296,Petróleo!AF:AG,2,FALSE),"")</f>
        <v>3000</v>
      </c>
      <c r="R296" s="8">
        <f>IFERROR(VLOOKUP(B296,Petróleo!AH:AI,2,FALSE),"")</f>
        <v>400</v>
      </c>
      <c r="S296" s="8">
        <f>IFERROR(VLOOKUP(B296,Petróleo!AJ:AK,2,FALSE),"")</f>
        <v>1920</v>
      </c>
      <c r="T296" s="8">
        <f>IFERROR(VLOOKUP(B296,Petróleo!AL:AM,2,FALSE),"")</f>
        <v>2355</v>
      </c>
      <c r="U296" s="8">
        <f>IFERROR(VLOOKUP(B296,Petróleo!AN:AO,2,FALSE),"")</f>
        <v>2880</v>
      </c>
      <c r="V296" s="10" t="str">
        <f>IFERROR(VLOOKUP(A296,Petróleo!AR:AT,3,FALSE),"")</f>
        <v/>
      </c>
    </row>
    <row r="297" spans="1:22" x14ac:dyDescent="0.25">
      <c r="A297" s="9" t="str">
        <f t="shared" si="4"/>
        <v>82014</v>
      </c>
      <c r="B297" s="9">
        <v>41882</v>
      </c>
      <c r="C297" s="1">
        <f>IFERROR(VLOOKUP(B297,Petróleo!A:B,2,FALSE),"")</f>
        <v>8920</v>
      </c>
      <c r="D297" s="1">
        <f>IFERROR(VLOOKUP(B297,Estoque_US!D:E,2,FALSE),"")</f>
        <v>-7804</v>
      </c>
      <c r="E297" s="1">
        <f>IFERROR(VLOOKUP(B297,Petróleo!F:G,2,FALSE),"")</f>
        <v>9909.9779999999992</v>
      </c>
      <c r="F297" s="1">
        <f>IFERROR(VLOOKUP(B297,Petróleo!H:I,2,FALSE),"")</f>
        <v>3200</v>
      </c>
      <c r="G297" s="1">
        <f>IFERROR(VLOOKUP(B297,Petróleo!J:K,2,FALSE),"")</f>
        <v>3227</v>
      </c>
      <c r="H297" s="1">
        <f>IFERROR(VLOOKUP(B297,Petróleo!L:M,2,FALSE),"")</f>
        <v>589</v>
      </c>
      <c r="I297" s="1">
        <f>IFERROR(VLOOKUP(B297,Petróleo!N:O,2,FALSE),"")</f>
        <v>2341</v>
      </c>
      <c r="J297" s="1">
        <f>IFERROR(VLOOKUP(B297,Petróleo!P:Q,2,FALSE),"")</f>
        <v>10056</v>
      </c>
      <c r="K297" s="1">
        <f>IFERROR(VLOOKUP(B297,Petróleo!R:S,2,FALSE),"")</f>
        <v>2500</v>
      </c>
      <c r="L297" s="1">
        <f>IFERROR(VLOOKUP(B297,Petróleo!T:U,2,FALSE),"")</f>
        <v>4129</v>
      </c>
      <c r="M297" s="8">
        <f>IFERROR(VLOOKUP(B297,Petróleo!X:Y,2,FALSE),"")</f>
        <v>30402</v>
      </c>
      <c r="N297" s="8">
        <f>IFERROR(VLOOKUP(B297,Petróleo!Z:AA,2,FALSE),"")</f>
        <v>9600</v>
      </c>
      <c r="O297" s="8">
        <f>IFERROR(VLOOKUP(B297,Petróleo!AB:AC,2,FALSE),"")</f>
        <v>2800</v>
      </c>
      <c r="P297" s="8">
        <f>IFERROR(VLOOKUP(B297,Petróleo!AD:AE,2,FALSE),"")</f>
        <v>2800</v>
      </c>
      <c r="Q297" s="8">
        <f>IFERROR(VLOOKUP(B297,Petróleo!AF:AG,2,FALSE),"")</f>
        <v>3100</v>
      </c>
      <c r="R297" s="8">
        <f>IFERROR(VLOOKUP(B297,Petróleo!AH:AI,2,FALSE),"")</f>
        <v>500</v>
      </c>
      <c r="S297" s="8">
        <f>IFERROR(VLOOKUP(B297,Petróleo!AJ:AK,2,FALSE),"")</f>
        <v>2200</v>
      </c>
      <c r="T297" s="8">
        <f>IFERROR(VLOOKUP(B297,Petróleo!AL:AM,2,FALSE),"")</f>
        <v>2351</v>
      </c>
      <c r="U297" s="8">
        <f>IFERROR(VLOOKUP(B297,Petróleo!AN:AO,2,FALSE),"")</f>
        <v>2890</v>
      </c>
      <c r="V297" s="10" t="str">
        <f>IFERROR(VLOOKUP(A297,Petróleo!AR:AT,3,FALSE),"")</f>
        <v/>
      </c>
    </row>
    <row r="298" spans="1:22" x14ac:dyDescent="0.25">
      <c r="A298" s="9" t="str">
        <f t="shared" si="4"/>
        <v>92014</v>
      </c>
      <c r="B298" s="9">
        <v>41912</v>
      </c>
      <c r="C298" s="1">
        <f>IFERROR(VLOOKUP(B298,Petróleo!A:B,2,FALSE),"")</f>
        <v>9070</v>
      </c>
      <c r="D298" s="1">
        <f>IFERROR(VLOOKUP(B298,Estoque_US!D:E,2,FALSE),"")</f>
        <v>-2935</v>
      </c>
      <c r="E298" s="1">
        <f>IFERROR(VLOOKUP(B298,Petróleo!F:G,2,FALSE),"")</f>
        <v>9809.9779999999992</v>
      </c>
      <c r="F298" s="1">
        <f>IFERROR(VLOOKUP(B298,Petróleo!H:I,2,FALSE),"")</f>
        <v>3250</v>
      </c>
      <c r="G298" s="1">
        <f>IFERROR(VLOOKUP(B298,Petróleo!J:K,2,FALSE),"")</f>
        <v>3517</v>
      </c>
      <c r="H298" s="1">
        <f>IFERROR(VLOOKUP(B298,Petróleo!L:M,2,FALSE),"")</f>
        <v>844</v>
      </c>
      <c r="I298" s="1">
        <f>IFERROR(VLOOKUP(B298,Petróleo!N:O,2,FALSE),"")</f>
        <v>2296</v>
      </c>
      <c r="J298" s="1">
        <f>IFERROR(VLOOKUP(B298,Petróleo!P:Q,2,FALSE),"")</f>
        <v>10079</v>
      </c>
      <c r="K298" s="1">
        <f>IFERROR(VLOOKUP(B298,Petróleo!R:S,2,FALSE),"")</f>
        <v>2500</v>
      </c>
      <c r="L298" s="1">
        <f>IFERROR(VLOOKUP(B298,Petróleo!T:U,2,FALSE),"")</f>
        <v>4202</v>
      </c>
      <c r="M298" s="8">
        <f>IFERROR(VLOOKUP(B298,Petróleo!X:Y,2,FALSE),"")</f>
        <v>30801</v>
      </c>
      <c r="N298" s="8">
        <f>IFERROR(VLOOKUP(B298,Petróleo!Z:AA,2,FALSE),"")</f>
        <v>9650</v>
      </c>
      <c r="O298" s="8">
        <f>IFERROR(VLOOKUP(B298,Petróleo!AB:AC,2,FALSE),"")</f>
        <v>2850</v>
      </c>
      <c r="P298" s="8">
        <f>IFERROR(VLOOKUP(B298,Petróleo!AD:AE,2,FALSE),"")</f>
        <v>2780</v>
      </c>
      <c r="Q298" s="8">
        <f>IFERROR(VLOOKUP(B298,Petróleo!AF:AG,2,FALSE),"")</f>
        <v>3150</v>
      </c>
      <c r="R298" s="8">
        <f>IFERROR(VLOOKUP(B298,Petróleo!AH:AI,2,FALSE),"")</f>
        <v>780</v>
      </c>
      <c r="S298" s="8">
        <f>IFERROR(VLOOKUP(B298,Petróleo!AJ:AK,2,FALSE),"")</f>
        <v>2130</v>
      </c>
      <c r="T298" s="8">
        <f>IFERROR(VLOOKUP(B298,Petróleo!AL:AM,2,FALSE),"")</f>
        <v>2351</v>
      </c>
      <c r="U298" s="8">
        <f>IFERROR(VLOOKUP(B298,Petróleo!AN:AO,2,FALSE),"")</f>
        <v>2900</v>
      </c>
      <c r="V298" s="10" t="str">
        <f>IFERROR(VLOOKUP(A298,Petróleo!AR:AT,3,FALSE),"")</f>
        <v/>
      </c>
    </row>
    <row r="299" spans="1:22" x14ac:dyDescent="0.25">
      <c r="A299" s="9" t="str">
        <f t="shared" si="4"/>
        <v>102014</v>
      </c>
      <c r="B299" s="9">
        <v>41943</v>
      </c>
      <c r="C299" s="1">
        <f>IFERROR(VLOOKUP(B299,Petróleo!A:B,2,FALSE),"")</f>
        <v>9250</v>
      </c>
      <c r="D299" s="1">
        <f>IFERROR(VLOOKUP(B299,Estoque_US!D:E,2,FALSE),"")</f>
        <v>23570</v>
      </c>
      <c r="E299" s="1">
        <f>IFERROR(VLOOKUP(B299,Petróleo!F:G,2,FALSE),"")</f>
        <v>9909.9779999999992</v>
      </c>
      <c r="F299" s="1">
        <f>IFERROR(VLOOKUP(B299,Petróleo!H:I,2,FALSE),"")</f>
        <v>3300</v>
      </c>
      <c r="G299" s="1">
        <f>IFERROR(VLOOKUP(B299,Petróleo!J:K,2,FALSE),"")</f>
        <v>3467</v>
      </c>
      <c r="H299" s="1">
        <f>IFERROR(VLOOKUP(B299,Petróleo!L:M,2,FALSE),"")</f>
        <v>1009</v>
      </c>
      <c r="I299" s="1">
        <f>IFERROR(VLOOKUP(B299,Petróleo!N:O,2,FALSE),"")</f>
        <v>2384</v>
      </c>
      <c r="J299" s="1">
        <f>IFERROR(VLOOKUP(B299,Petróleo!P:Q,2,FALSE),"")</f>
        <v>10176</v>
      </c>
      <c r="K299" s="1">
        <f>IFERROR(VLOOKUP(B299,Petróleo!R:S,2,FALSE),"")</f>
        <v>2500</v>
      </c>
      <c r="L299" s="1">
        <f>IFERROR(VLOOKUP(B299,Petróleo!T:U,2,FALSE),"")</f>
        <v>4252</v>
      </c>
      <c r="M299" s="8">
        <f>IFERROR(VLOOKUP(B299,Petróleo!X:Y,2,FALSE),"")</f>
        <v>30864</v>
      </c>
      <c r="N299" s="8">
        <f>IFERROR(VLOOKUP(B299,Petróleo!Z:AA,2,FALSE),"")</f>
        <v>9750</v>
      </c>
      <c r="O299" s="8">
        <f>IFERROR(VLOOKUP(B299,Petróleo!AB:AC,2,FALSE),"")</f>
        <v>2850</v>
      </c>
      <c r="P299" s="8">
        <f>IFERROR(VLOOKUP(B299,Petróleo!AD:AE,2,FALSE),"")</f>
        <v>2780</v>
      </c>
      <c r="Q299" s="8">
        <f>IFERROR(VLOOKUP(B299,Petróleo!AF:AG,2,FALSE),"")</f>
        <v>3300</v>
      </c>
      <c r="R299" s="8">
        <f>IFERROR(VLOOKUP(B299,Petróleo!AH:AI,2,FALSE),"")</f>
        <v>850</v>
      </c>
      <c r="S299" s="8">
        <f>IFERROR(VLOOKUP(B299,Petróleo!AJ:AK,2,FALSE),"")</f>
        <v>2090</v>
      </c>
      <c r="T299" s="8">
        <f>IFERROR(VLOOKUP(B299,Petróleo!AL:AM,2,FALSE),"")</f>
        <v>2349</v>
      </c>
      <c r="U299" s="8">
        <f>IFERROR(VLOOKUP(B299,Petróleo!AN:AO,2,FALSE),"")</f>
        <v>2850</v>
      </c>
      <c r="V299" s="10" t="str">
        <f>IFERROR(VLOOKUP(A299,Petróleo!AR:AT,3,FALSE),"")</f>
        <v/>
      </c>
    </row>
    <row r="300" spans="1:22" x14ac:dyDescent="0.25">
      <c r="A300" s="9" t="str">
        <f t="shared" si="4"/>
        <v>112014</v>
      </c>
      <c r="B300" s="9">
        <v>41973</v>
      </c>
      <c r="C300" s="1">
        <f>IFERROR(VLOOKUP(B300,Petróleo!A:B,2,FALSE),"")</f>
        <v>9307</v>
      </c>
      <c r="D300" s="1">
        <f>IFERROR(VLOOKUP(B300,Estoque_US!D:E,2,FALSE),"")</f>
        <v>-870</v>
      </c>
      <c r="E300" s="1">
        <f>IFERROR(VLOOKUP(B300,Petróleo!F:G,2,FALSE),"")</f>
        <v>9809.9779999999992</v>
      </c>
      <c r="F300" s="1">
        <f>IFERROR(VLOOKUP(B300,Petróleo!H:I,2,FALSE),"")</f>
        <v>3300</v>
      </c>
      <c r="G300" s="1">
        <f>IFERROR(VLOOKUP(B300,Petróleo!J:K,2,FALSE),"")</f>
        <v>3427</v>
      </c>
      <c r="H300" s="1">
        <f>IFERROR(VLOOKUP(B300,Petróleo!L:M,2,FALSE),"")</f>
        <v>674</v>
      </c>
      <c r="I300" s="1">
        <f>IFERROR(VLOOKUP(B300,Petróleo!N:O,2,FALSE),"")</f>
        <v>2325</v>
      </c>
      <c r="J300" s="1">
        <f>IFERROR(VLOOKUP(B300,Petróleo!P:Q,2,FALSE),"")</f>
        <v>10173</v>
      </c>
      <c r="K300" s="1">
        <f>IFERROR(VLOOKUP(B300,Petróleo!R:S,2,FALSE),"")</f>
        <v>2500</v>
      </c>
      <c r="L300" s="1">
        <f>IFERROR(VLOOKUP(B300,Petróleo!T:U,2,FALSE),"")</f>
        <v>4319</v>
      </c>
      <c r="M300" s="8">
        <f>IFERROR(VLOOKUP(B300,Petróleo!X:Y,2,FALSE),"")</f>
        <v>30241</v>
      </c>
      <c r="N300" s="8">
        <f>IFERROR(VLOOKUP(B300,Petróleo!Z:AA,2,FALSE),"")</f>
        <v>9650</v>
      </c>
      <c r="O300" s="8">
        <f>IFERROR(VLOOKUP(B300,Petróleo!AB:AC,2,FALSE),"")</f>
        <v>2800</v>
      </c>
      <c r="P300" s="8">
        <f>IFERROR(VLOOKUP(B300,Petróleo!AD:AE,2,FALSE),"")</f>
        <v>2780</v>
      </c>
      <c r="Q300" s="8">
        <f>IFERROR(VLOOKUP(B300,Petróleo!AF:AG,2,FALSE),"")</f>
        <v>3370</v>
      </c>
      <c r="R300" s="8">
        <f>IFERROR(VLOOKUP(B300,Petróleo!AH:AI,2,FALSE),"")</f>
        <v>580</v>
      </c>
      <c r="S300" s="8">
        <f>IFERROR(VLOOKUP(B300,Petróleo!AJ:AK,2,FALSE),"")</f>
        <v>1970</v>
      </c>
      <c r="T300" s="8">
        <f>IFERROR(VLOOKUP(B300,Petróleo!AL:AM,2,FALSE),"")</f>
        <v>2350</v>
      </c>
      <c r="U300" s="8">
        <f>IFERROR(VLOOKUP(B300,Petróleo!AN:AO,2,FALSE),"")</f>
        <v>2790</v>
      </c>
      <c r="V300" s="10" t="str">
        <f>IFERROR(VLOOKUP(A300,Petróleo!AR:AT,3,FALSE),"")</f>
        <v/>
      </c>
    </row>
    <row r="301" spans="1:22" x14ac:dyDescent="0.25">
      <c r="A301" s="9" t="str">
        <f t="shared" si="4"/>
        <v>122014</v>
      </c>
      <c r="B301" s="9">
        <v>42004</v>
      </c>
      <c r="C301" s="1">
        <f>IFERROR(VLOOKUP(B301,Petróleo!A:B,2,FALSE),"")</f>
        <v>9546</v>
      </c>
      <c r="D301" s="1">
        <f>IFERROR(VLOOKUP(B301,Estoque_US!D:E,2,FALSE),"")</f>
        <v>6120</v>
      </c>
      <c r="E301" s="1">
        <f>IFERROR(VLOOKUP(B301,Petróleo!F:G,2,FALSE),"")</f>
        <v>9809.9779999999992</v>
      </c>
      <c r="F301" s="1">
        <f>IFERROR(VLOOKUP(B301,Petróleo!H:I,2,FALSE),"")</f>
        <v>3300</v>
      </c>
      <c r="G301" s="1">
        <f>IFERROR(VLOOKUP(B301,Petróleo!J:K,2,FALSE),"")</f>
        <v>3777</v>
      </c>
      <c r="H301" s="1">
        <f>IFERROR(VLOOKUP(B301,Petróleo!L:M,2,FALSE),"")</f>
        <v>569</v>
      </c>
      <c r="I301" s="1">
        <f>IFERROR(VLOOKUP(B301,Petróleo!N:O,2,FALSE),"")</f>
        <v>2390</v>
      </c>
      <c r="J301" s="1">
        <f>IFERROR(VLOOKUP(B301,Petróleo!P:Q,2,FALSE),"")</f>
        <v>10197</v>
      </c>
      <c r="K301" s="1">
        <f>IFERROR(VLOOKUP(B301,Petróleo!R:S,2,FALSE),"")</f>
        <v>2500</v>
      </c>
      <c r="L301" s="1">
        <f>IFERROR(VLOOKUP(B301,Petróleo!T:U,2,FALSE),"")</f>
        <v>4344</v>
      </c>
      <c r="M301" s="8">
        <f>IFERROR(VLOOKUP(B301,Petróleo!X:Y,2,FALSE),"")</f>
        <v>30302</v>
      </c>
      <c r="N301" s="8">
        <f>IFERROR(VLOOKUP(B301,Petróleo!Z:AA,2,FALSE),"")</f>
        <v>9500</v>
      </c>
      <c r="O301" s="8">
        <f>IFERROR(VLOOKUP(B301,Petróleo!AB:AC,2,FALSE),"")</f>
        <v>2700</v>
      </c>
      <c r="P301" s="8">
        <f>IFERROR(VLOOKUP(B301,Petróleo!AD:AE,2,FALSE),"")</f>
        <v>2770</v>
      </c>
      <c r="Q301" s="8">
        <f>IFERROR(VLOOKUP(B301,Petróleo!AF:AG,2,FALSE),"")</f>
        <v>3700</v>
      </c>
      <c r="R301" s="8">
        <f>IFERROR(VLOOKUP(B301,Petróleo!AH:AI,2,FALSE),"")</f>
        <v>450</v>
      </c>
      <c r="S301" s="8">
        <f>IFERROR(VLOOKUP(B301,Petróleo!AJ:AK,2,FALSE),"")</f>
        <v>2080</v>
      </c>
      <c r="T301" s="8">
        <f>IFERROR(VLOOKUP(B301,Petróleo!AL:AM,2,FALSE),"")</f>
        <v>2348</v>
      </c>
      <c r="U301" s="8">
        <f>IFERROR(VLOOKUP(B301,Petróleo!AN:AO,2,FALSE),"")</f>
        <v>2790</v>
      </c>
      <c r="V301" s="10" t="str">
        <f>IFERROR(VLOOKUP(A301,Petróleo!AR:AT,3,FALSE),"")</f>
        <v/>
      </c>
    </row>
    <row r="302" spans="1:22" x14ac:dyDescent="0.25">
      <c r="A302" s="9" t="str">
        <f t="shared" si="4"/>
        <v>12015</v>
      </c>
      <c r="B302" s="9">
        <v>42035</v>
      </c>
      <c r="C302" s="1">
        <f>IFERROR(VLOOKUP(B302,Petróleo!A:B,2,FALSE),"")</f>
        <v>9377</v>
      </c>
      <c r="D302" s="1">
        <f>IFERROR(VLOOKUP(B302,Estoque_US!D:E,2,FALSE),"")</f>
        <v>27605</v>
      </c>
      <c r="E302" s="1">
        <f>IFERROR(VLOOKUP(B302,Petróleo!F:G,2,FALSE),"")</f>
        <v>9807.3709999999992</v>
      </c>
      <c r="F302" s="1">
        <f>IFERROR(VLOOKUP(B302,Petróleo!H:I,2,FALSE),"")</f>
        <v>3266</v>
      </c>
      <c r="G302" s="1">
        <f>IFERROR(VLOOKUP(B302,Petróleo!J:K,2,FALSE),"")</f>
        <v>3478</v>
      </c>
      <c r="H302" s="1">
        <f>IFERROR(VLOOKUP(B302,Petróleo!L:M,2,FALSE),"")</f>
        <v>430</v>
      </c>
      <c r="I302" s="1">
        <f>IFERROR(VLOOKUP(B302,Petróleo!N:O,2,FALSE),"")</f>
        <v>2294</v>
      </c>
      <c r="J302" s="1">
        <f>IFERROR(VLOOKUP(B302,Petróleo!P:Q,2,FALSE),"")</f>
        <v>10231</v>
      </c>
      <c r="K302" s="1">
        <f>IFERROR(VLOOKUP(B302,Petróleo!R:S,2,FALSE),"")</f>
        <v>2495</v>
      </c>
      <c r="L302" s="1">
        <f>IFERROR(VLOOKUP(B302,Petróleo!T:U,2,FALSE),"")</f>
        <v>4232</v>
      </c>
      <c r="M302" s="8">
        <f>IFERROR(VLOOKUP(B302,Petróleo!X:Y,2,FALSE),"")</f>
        <v>30285</v>
      </c>
      <c r="N302" s="8">
        <f>IFERROR(VLOOKUP(B302,Petróleo!Z:AA,2,FALSE),"")</f>
        <v>9720</v>
      </c>
      <c r="O302" s="8">
        <f>IFERROR(VLOOKUP(B302,Petróleo!AB:AC,2,FALSE),"")</f>
        <v>2700</v>
      </c>
      <c r="P302" s="8">
        <f>IFERROR(VLOOKUP(B302,Petróleo!AD:AE,2,FALSE),"")</f>
        <v>2780</v>
      </c>
      <c r="Q302" s="8">
        <f>IFERROR(VLOOKUP(B302,Petróleo!AF:AG,2,FALSE),"")</f>
        <v>3400</v>
      </c>
      <c r="R302" s="8">
        <f>IFERROR(VLOOKUP(B302,Petróleo!AH:AI,2,FALSE),"")</f>
        <v>300</v>
      </c>
      <c r="S302" s="8">
        <f>IFERROR(VLOOKUP(B302,Petróleo!AJ:AK,2,FALSE),"")</f>
        <v>2040</v>
      </c>
      <c r="T302" s="8">
        <f>IFERROR(VLOOKUP(B302,Petróleo!AL:AM,2,FALSE),"")</f>
        <v>2348</v>
      </c>
      <c r="U302" s="8">
        <f>IFERROR(VLOOKUP(B302,Petróleo!AN:AO,2,FALSE),"")</f>
        <v>2850</v>
      </c>
      <c r="V302" s="10" t="str">
        <f>IFERROR(VLOOKUP(A302,Petróleo!AR:AT,3,FALSE),"")</f>
        <v/>
      </c>
    </row>
    <row r="303" spans="1:22" x14ac:dyDescent="0.25">
      <c r="A303" s="9" t="str">
        <f t="shared" si="4"/>
        <v>22015</v>
      </c>
      <c r="B303" s="9">
        <v>42063</v>
      </c>
      <c r="C303" s="1">
        <f>IFERROR(VLOOKUP(B303,Petróleo!A:B,2,FALSE),"")</f>
        <v>9485</v>
      </c>
      <c r="D303" s="1">
        <f>IFERROR(VLOOKUP(B303,Estoque_US!D:E,2,FALSE),"")</f>
        <v>31314</v>
      </c>
      <c r="E303" s="1">
        <f>IFERROR(VLOOKUP(B303,Petróleo!F:G,2,FALSE),"")</f>
        <v>9907.3709999999992</v>
      </c>
      <c r="F303" s="1">
        <f>IFERROR(VLOOKUP(B303,Petróleo!H:I,2,FALSE),"")</f>
        <v>3274</v>
      </c>
      <c r="G303" s="1">
        <f>IFERROR(VLOOKUP(B303,Petróleo!J:K,2,FALSE),"")</f>
        <v>3328</v>
      </c>
      <c r="H303" s="1">
        <f>IFERROR(VLOOKUP(B303,Petróleo!L:M,2,FALSE),"")</f>
        <v>420</v>
      </c>
      <c r="I303" s="1">
        <f>IFERROR(VLOOKUP(B303,Petróleo!N:O,2,FALSE),"")</f>
        <v>2269</v>
      </c>
      <c r="J303" s="1">
        <f>IFERROR(VLOOKUP(B303,Petróleo!P:Q,2,FALSE),"")</f>
        <v>10181</v>
      </c>
      <c r="K303" s="1">
        <f>IFERROR(VLOOKUP(B303,Petróleo!R:S,2,FALSE),"")</f>
        <v>2494</v>
      </c>
      <c r="L303" s="1">
        <f>IFERROR(VLOOKUP(B303,Petróleo!T:U,2,FALSE),"")</f>
        <v>4218</v>
      </c>
      <c r="M303" s="8">
        <f>IFERROR(VLOOKUP(B303,Petróleo!X:Y,2,FALSE),"")</f>
        <v>30428</v>
      </c>
      <c r="N303" s="8">
        <f>IFERROR(VLOOKUP(B303,Petróleo!Z:AA,2,FALSE),"")</f>
        <v>9800</v>
      </c>
      <c r="O303" s="8">
        <f>IFERROR(VLOOKUP(B303,Petróleo!AB:AC,2,FALSE),"")</f>
        <v>2800</v>
      </c>
      <c r="P303" s="8">
        <f>IFERROR(VLOOKUP(B303,Petróleo!AD:AE,2,FALSE),"")</f>
        <v>2780</v>
      </c>
      <c r="Q303" s="8">
        <f>IFERROR(VLOOKUP(B303,Petróleo!AF:AG,2,FALSE),"")</f>
        <v>3450</v>
      </c>
      <c r="R303" s="8">
        <f>IFERROR(VLOOKUP(B303,Petróleo!AH:AI,2,FALSE),"")</f>
        <v>250</v>
      </c>
      <c r="S303" s="8">
        <f>IFERROR(VLOOKUP(B303,Petróleo!AJ:AK,2,FALSE),"")</f>
        <v>1990</v>
      </c>
      <c r="T303" s="8">
        <f>IFERROR(VLOOKUP(B303,Petróleo!AL:AM,2,FALSE),"")</f>
        <v>2349</v>
      </c>
      <c r="U303" s="8">
        <f>IFERROR(VLOOKUP(B303,Petróleo!AN:AO,2,FALSE),"")</f>
        <v>2850</v>
      </c>
      <c r="V303" s="10" t="str">
        <f>IFERROR(VLOOKUP(A303,Petróleo!AR:AT,3,FALSE),"")</f>
        <v/>
      </c>
    </row>
    <row r="304" spans="1:22" x14ac:dyDescent="0.25">
      <c r="A304" s="9" t="str">
        <f t="shared" si="4"/>
        <v>32015</v>
      </c>
      <c r="B304" s="9">
        <v>42094</v>
      </c>
      <c r="C304" s="1">
        <f>IFERROR(VLOOKUP(B304,Petróleo!A:B,2,FALSE),"")</f>
        <v>9580</v>
      </c>
      <c r="D304" s="1">
        <f>IFERROR(VLOOKUP(B304,Estoque_US!D:E,2,FALSE),"")</f>
        <v>27070</v>
      </c>
      <c r="E304" s="1">
        <f>IFERROR(VLOOKUP(B304,Petróleo!F:G,2,FALSE),"")</f>
        <v>10307.370999999999</v>
      </c>
      <c r="F304" s="1">
        <f>IFERROR(VLOOKUP(B304,Petróleo!H:I,2,FALSE),"")</f>
        <v>3252</v>
      </c>
      <c r="G304" s="1">
        <f>IFERROR(VLOOKUP(B304,Petróleo!J:K,2,FALSE),"")</f>
        <v>3728</v>
      </c>
      <c r="H304" s="1">
        <f>IFERROR(VLOOKUP(B304,Petróleo!L:M,2,FALSE),"")</f>
        <v>535</v>
      </c>
      <c r="I304" s="1">
        <f>IFERROR(VLOOKUP(B304,Petróleo!N:O,2,FALSE),"")</f>
        <v>2152</v>
      </c>
      <c r="J304" s="1">
        <f>IFERROR(VLOOKUP(B304,Petróleo!P:Q,2,FALSE),"")</f>
        <v>10264</v>
      </c>
      <c r="K304" s="1">
        <f>IFERROR(VLOOKUP(B304,Petróleo!R:S,2,FALSE),"")</f>
        <v>2493</v>
      </c>
      <c r="L304" s="1">
        <f>IFERROR(VLOOKUP(B304,Petróleo!T:U,2,FALSE),"")</f>
        <v>4256</v>
      </c>
      <c r="M304" s="8">
        <f>IFERROR(VLOOKUP(B304,Petróleo!X:Y,2,FALSE),"")</f>
        <v>31176</v>
      </c>
      <c r="N304" s="8">
        <f>IFERROR(VLOOKUP(B304,Petróleo!Z:AA,2,FALSE),"")</f>
        <v>10100</v>
      </c>
      <c r="O304" s="8">
        <f>IFERROR(VLOOKUP(B304,Petróleo!AB:AC,2,FALSE),"")</f>
        <v>2800</v>
      </c>
      <c r="P304" s="8">
        <f>IFERROR(VLOOKUP(B304,Petróleo!AD:AE,2,FALSE),"")</f>
        <v>2780</v>
      </c>
      <c r="Q304" s="8">
        <f>IFERROR(VLOOKUP(B304,Petróleo!AF:AG,2,FALSE),"")</f>
        <v>3750</v>
      </c>
      <c r="R304" s="8">
        <f>IFERROR(VLOOKUP(B304,Petróleo!AH:AI,2,FALSE),"")</f>
        <v>480</v>
      </c>
      <c r="S304" s="8">
        <f>IFERROR(VLOOKUP(B304,Petróleo!AJ:AK,2,FALSE),"")</f>
        <v>1900</v>
      </c>
      <c r="T304" s="8">
        <f>IFERROR(VLOOKUP(B304,Petróleo!AL:AM,2,FALSE),"")</f>
        <v>2349</v>
      </c>
      <c r="U304" s="8">
        <f>IFERROR(VLOOKUP(B304,Petróleo!AN:AO,2,FALSE),"")</f>
        <v>2850</v>
      </c>
      <c r="V304" s="10" t="str">
        <f>IFERROR(VLOOKUP(A304,Petróleo!AR:AT,3,FALSE),"")</f>
        <v/>
      </c>
    </row>
    <row r="305" spans="1:22" x14ac:dyDescent="0.25">
      <c r="A305" s="9" t="str">
        <f t="shared" si="4"/>
        <v>42015</v>
      </c>
      <c r="B305" s="9">
        <v>42124</v>
      </c>
      <c r="C305" s="1">
        <f>IFERROR(VLOOKUP(B305,Petróleo!A:B,2,FALSE),"")</f>
        <v>9652</v>
      </c>
      <c r="D305" s="1">
        <f>IFERROR(VLOOKUP(B305,Estoque_US!D:E,2,FALSE),"")</f>
        <v>19468</v>
      </c>
      <c r="E305" s="1">
        <f>IFERROR(VLOOKUP(B305,Petróleo!F:G,2,FALSE),"")</f>
        <v>10307.370999999999</v>
      </c>
      <c r="F305" s="1">
        <f>IFERROR(VLOOKUP(B305,Petróleo!H:I,2,FALSE),"")</f>
        <v>3344</v>
      </c>
      <c r="G305" s="1">
        <f>IFERROR(VLOOKUP(B305,Petróleo!J:K,2,FALSE),"")</f>
        <v>3775</v>
      </c>
      <c r="H305" s="1">
        <f>IFERROR(VLOOKUP(B305,Petróleo!L:M,2,FALSE),"")</f>
        <v>565</v>
      </c>
      <c r="I305" s="1">
        <f>IFERROR(VLOOKUP(B305,Petróleo!N:O,2,FALSE),"")</f>
        <v>2165</v>
      </c>
      <c r="J305" s="1">
        <f>IFERROR(VLOOKUP(B305,Petróleo!P:Q,2,FALSE),"")</f>
        <v>10111</v>
      </c>
      <c r="K305" s="1">
        <f>IFERROR(VLOOKUP(B305,Petróleo!R:S,2,FALSE),"")</f>
        <v>2492</v>
      </c>
      <c r="L305" s="1">
        <f>IFERROR(VLOOKUP(B305,Petróleo!T:U,2,FALSE),"")</f>
        <v>4258</v>
      </c>
      <c r="M305" s="8">
        <f>IFERROR(VLOOKUP(B305,Petróleo!X:Y,2,FALSE),"")</f>
        <v>31392</v>
      </c>
      <c r="N305" s="8">
        <f>IFERROR(VLOOKUP(B305,Petróleo!Z:AA,2,FALSE),"")</f>
        <v>10250</v>
      </c>
      <c r="O305" s="8">
        <f>IFERROR(VLOOKUP(B305,Petróleo!AB:AC,2,FALSE),"")</f>
        <v>2900</v>
      </c>
      <c r="P305" s="8">
        <f>IFERROR(VLOOKUP(B305,Petróleo!AD:AE,2,FALSE),"")</f>
        <v>2780</v>
      </c>
      <c r="Q305" s="8">
        <f>IFERROR(VLOOKUP(B305,Petróleo!AF:AG,2,FALSE),"")</f>
        <v>3673</v>
      </c>
      <c r="R305" s="8">
        <f>IFERROR(VLOOKUP(B305,Petróleo!AH:AI,2,FALSE),"")</f>
        <v>520</v>
      </c>
      <c r="S305" s="8">
        <f>IFERROR(VLOOKUP(B305,Petróleo!AJ:AK,2,FALSE),"")</f>
        <v>1980</v>
      </c>
      <c r="T305" s="8">
        <f>IFERROR(VLOOKUP(B305,Petróleo!AL:AM,2,FALSE),"")</f>
        <v>2362</v>
      </c>
      <c r="U305" s="8">
        <f>IFERROR(VLOOKUP(B305,Petróleo!AN:AO,2,FALSE),"")</f>
        <v>2850</v>
      </c>
      <c r="V305" s="10" t="str">
        <f>IFERROR(VLOOKUP(A305,Petróleo!AR:AT,3,FALSE),"")</f>
        <v/>
      </c>
    </row>
    <row r="306" spans="1:22" x14ac:dyDescent="0.25">
      <c r="A306" s="9" t="str">
        <f t="shared" si="4"/>
        <v>52015</v>
      </c>
      <c r="B306" s="9">
        <v>42155</v>
      </c>
      <c r="C306" s="1">
        <f>IFERROR(VLOOKUP(B306,Petróleo!A:B,2,FALSE),"")</f>
        <v>9466</v>
      </c>
      <c r="D306" s="1">
        <f>IFERROR(VLOOKUP(B306,Estoque_US!D:E,2,FALSE),"")</f>
        <v>-13497</v>
      </c>
      <c r="E306" s="1">
        <f>IFERROR(VLOOKUP(B306,Petróleo!F:G,2,FALSE),"")</f>
        <v>10507.370999999999</v>
      </c>
      <c r="F306" s="1">
        <f>IFERROR(VLOOKUP(B306,Petróleo!H:I,2,FALSE),"")</f>
        <v>3322</v>
      </c>
      <c r="G306" s="1">
        <f>IFERROR(VLOOKUP(B306,Petróleo!J:K,2,FALSE),"")</f>
        <v>3925</v>
      </c>
      <c r="H306" s="1">
        <f>IFERROR(VLOOKUP(B306,Petróleo!L:M,2,FALSE),"")</f>
        <v>490</v>
      </c>
      <c r="I306" s="1">
        <f>IFERROR(VLOOKUP(B306,Petróleo!N:O,2,FALSE),"")</f>
        <v>2139</v>
      </c>
      <c r="J306" s="1">
        <f>IFERROR(VLOOKUP(B306,Petróleo!P:Q,2,FALSE),"")</f>
        <v>10270</v>
      </c>
      <c r="K306" s="1">
        <f>IFERROR(VLOOKUP(B306,Petróleo!R:S,2,FALSE),"")</f>
        <v>2491</v>
      </c>
      <c r="L306" s="1">
        <f>IFERROR(VLOOKUP(B306,Petróleo!T:U,2,FALSE),"")</f>
        <v>4271</v>
      </c>
      <c r="M306" s="8">
        <f>IFERROR(VLOOKUP(B306,Petróleo!X:Y,2,FALSE),"")</f>
        <v>31270</v>
      </c>
      <c r="N306" s="8">
        <f>IFERROR(VLOOKUP(B306,Petróleo!Z:AA,2,FALSE),"")</f>
        <v>10300</v>
      </c>
      <c r="O306" s="8">
        <f>IFERROR(VLOOKUP(B306,Petróleo!AB:AC,2,FALSE),"")</f>
        <v>2900</v>
      </c>
      <c r="P306" s="8">
        <f>IFERROR(VLOOKUP(B306,Petróleo!AD:AE,2,FALSE),"")</f>
        <v>2800</v>
      </c>
      <c r="Q306" s="8">
        <f>IFERROR(VLOOKUP(B306,Petróleo!AF:AG,2,FALSE),"")</f>
        <v>3821</v>
      </c>
      <c r="R306" s="8">
        <f>IFERROR(VLOOKUP(B306,Petróleo!AH:AI,2,FALSE),"")</f>
        <v>415</v>
      </c>
      <c r="S306" s="8">
        <f>IFERROR(VLOOKUP(B306,Petróleo!AJ:AK,2,FALSE),"")</f>
        <v>1820</v>
      </c>
      <c r="T306" s="8">
        <f>IFERROR(VLOOKUP(B306,Petróleo!AL:AM,2,FALSE),"")</f>
        <v>2362</v>
      </c>
      <c r="U306" s="8">
        <f>IFERROR(VLOOKUP(B306,Petróleo!AN:AO,2,FALSE),"")</f>
        <v>2830</v>
      </c>
      <c r="V306" s="10" t="str">
        <f>IFERROR(VLOOKUP(A306,Petróleo!AR:AT,3,FALSE),"")</f>
        <v/>
      </c>
    </row>
    <row r="307" spans="1:22" x14ac:dyDescent="0.25">
      <c r="A307" s="9" t="str">
        <f t="shared" si="4"/>
        <v>62015</v>
      </c>
      <c r="B307" s="9">
        <v>42185</v>
      </c>
      <c r="C307" s="1">
        <f>IFERROR(VLOOKUP(B307,Petróleo!A:B,2,FALSE),"")</f>
        <v>9350</v>
      </c>
      <c r="D307" s="1">
        <f>IFERROR(VLOOKUP(B307,Estoque_US!D:E,2,FALSE),"")</f>
        <v>-12036</v>
      </c>
      <c r="E307" s="1">
        <f>IFERROR(VLOOKUP(B307,Petróleo!F:G,2,FALSE),"")</f>
        <v>10657.370999999999</v>
      </c>
      <c r="F307" s="1">
        <f>IFERROR(VLOOKUP(B307,Petróleo!H:I,2,FALSE),"")</f>
        <v>3273</v>
      </c>
      <c r="G307" s="1">
        <f>IFERROR(VLOOKUP(B307,Petróleo!J:K,2,FALSE),"")</f>
        <v>4275</v>
      </c>
      <c r="H307" s="1">
        <f>IFERROR(VLOOKUP(B307,Petróleo!L:M,2,FALSE),"")</f>
        <v>470</v>
      </c>
      <c r="I307" s="1">
        <f>IFERROR(VLOOKUP(B307,Petróleo!N:O,2,FALSE),"")</f>
        <v>2025</v>
      </c>
      <c r="J307" s="1">
        <f>IFERROR(VLOOKUP(B307,Petróleo!P:Q,2,FALSE),"")</f>
        <v>10166</v>
      </c>
      <c r="K307" s="1">
        <f>IFERROR(VLOOKUP(B307,Petróleo!R:S,2,FALSE),"")</f>
        <v>2490</v>
      </c>
      <c r="L307" s="1">
        <f>IFERROR(VLOOKUP(B307,Petróleo!T:U,2,FALSE),"")</f>
        <v>4408</v>
      </c>
      <c r="M307" s="8">
        <f>IFERROR(VLOOKUP(B307,Petróleo!X:Y,2,FALSE),"")</f>
        <v>32349</v>
      </c>
      <c r="N307" s="8">
        <f>IFERROR(VLOOKUP(B307,Petróleo!Z:AA,2,FALSE),"")</f>
        <v>10500</v>
      </c>
      <c r="O307" s="8">
        <f>IFERROR(VLOOKUP(B307,Petróleo!AB:AC,2,FALSE),"")</f>
        <v>2900</v>
      </c>
      <c r="P307" s="8">
        <f>IFERROR(VLOOKUP(B307,Petróleo!AD:AE,2,FALSE),"")</f>
        <v>2850</v>
      </c>
      <c r="Q307" s="8">
        <f>IFERROR(VLOOKUP(B307,Petróleo!AF:AG,2,FALSE),"")</f>
        <v>4388</v>
      </c>
      <c r="R307" s="8">
        <f>IFERROR(VLOOKUP(B307,Petróleo!AH:AI,2,FALSE),"")</f>
        <v>400</v>
      </c>
      <c r="S307" s="8">
        <f>IFERROR(VLOOKUP(B307,Petróleo!AJ:AK,2,FALSE),"")</f>
        <v>1950</v>
      </c>
      <c r="T307" s="8">
        <f>IFERROR(VLOOKUP(B307,Petróleo!AL:AM,2,FALSE),"")</f>
        <v>2366</v>
      </c>
      <c r="U307" s="8">
        <f>IFERROR(VLOOKUP(B307,Petróleo!AN:AO,2,FALSE),"")</f>
        <v>2835</v>
      </c>
      <c r="V307" s="10" t="str">
        <f>IFERROR(VLOOKUP(A307,Petróleo!AR:AT,3,FALSE),"")</f>
        <v/>
      </c>
    </row>
    <row r="308" spans="1:22" x14ac:dyDescent="0.25">
      <c r="A308" s="9" t="str">
        <f t="shared" si="4"/>
        <v>72015</v>
      </c>
      <c r="B308" s="9">
        <v>42216</v>
      </c>
      <c r="C308" s="1">
        <f>IFERROR(VLOOKUP(B308,Petróleo!A:B,2,FALSE),"")</f>
        <v>9436</v>
      </c>
      <c r="D308" s="1">
        <f>IFERROR(VLOOKUP(B308,Estoque_US!D:E,2,FALSE),"")</f>
        <v>-10104</v>
      </c>
      <c r="E308" s="1">
        <f>IFERROR(VLOOKUP(B308,Petróleo!F:G,2,FALSE),"")</f>
        <v>10567.370999999999</v>
      </c>
      <c r="F308" s="1">
        <f>IFERROR(VLOOKUP(B308,Petróleo!H:I,2,FALSE),"")</f>
        <v>3305</v>
      </c>
      <c r="G308" s="1">
        <f>IFERROR(VLOOKUP(B308,Petróleo!J:K,2,FALSE),"")</f>
        <v>4325</v>
      </c>
      <c r="H308" s="1">
        <f>IFERROR(VLOOKUP(B308,Petróleo!L:M,2,FALSE),"")</f>
        <v>460</v>
      </c>
      <c r="I308" s="1">
        <f>IFERROR(VLOOKUP(B308,Petróleo!N:O,2,FALSE),"")</f>
        <v>2122</v>
      </c>
      <c r="J308" s="1">
        <f>IFERROR(VLOOKUP(B308,Petróleo!P:Q,2,FALSE),"")</f>
        <v>10213</v>
      </c>
      <c r="K308" s="1">
        <f>IFERROR(VLOOKUP(B308,Petróleo!R:S,2,FALSE),"")</f>
        <v>2489</v>
      </c>
      <c r="L308" s="1">
        <f>IFERROR(VLOOKUP(B308,Petróleo!T:U,2,FALSE),"")</f>
        <v>4263</v>
      </c>
      <c r="M308" s="8">
        <f>IFERROR(VLOOKUP(B308,Petróleo!X:Y,2,FALSE),"")</f>
        <v>32088</v>
      </c>
      <c r="N308" s="8">
        <f>IFERROR(VLOOKUP(B308,Petróleo!Z:AA,2,FALSE),"")</f>
        <v>10570</v>
      </c>
      <c r="O308" s="8">
        <f>IFERROR(VLOOKUP(B308,Petróleo!AB:AC,2,FALSE),"")</f>
        <v>2800</v>
      </c>
      <c r="P308" s="8">
        <f>IFERROR(VLOOKUP(B308,Petróleo!AD:AE,2,FALSE),"")</f>
        <v>2850</v>
      </c>
      <c r="Q308" s="8">
        <f>IFERROR(VLOOKUP(B308,Petróleo!AF:AG,2,FALSE),"")</f>
        <v>4295</v>
      </c>
      <c r="R308" s="8">
        <f>IFERROR(VLOOKUP(B308,Petróleo!AH:AI,2,FALSE),"")</f>
        <v>380</v>
      </c>
      <c r="S308" s="8">
        <f>IFERROR(VLOOKUP(B308,Petróleo!AJ:AK,2,FALSE),"")</f>
        <v>1880</v>
      </c>
      <c r="T308" s="8">
        <f>IFERROR(VLOOKUP(B308,Petróleo!AL:AM,2,FALSE),"")</f>
        <v>2370</v>
      </c>
      <c r="U308" s="8">
        <f>IFERROR(VLOOKUP(B308,Petróleo!AN:AO,2,FALSE),"")</f>
        <v>2825</v>
      </c>
      <c r="V308" s="10" t="str">
        <f>IFERROR(VLOOKUP(A308,Petróleo!AR:AT,3,FALSE),"")</f>
        <v/>
      </c>
    </row>
    <row r="309" spans="1:22" x14ac:dyDescent="0.25">
      <c r="A309" s="9" t="str">
        <f t="shared" si="4"/>
        <v>82015</v>
      </c>
      <c r="B309" s="9">
        <v>42247</v>
      </c>
      <c r="C309" s="1">
        <f>IFERROR(VLOOKUP(B309,Petróleo!A:B,2,FALSE),"")</f>
        <v>9400</v>
      </c>
      <c r="D309" s="1">
        <f>IFERROR(VLOOKUP(B309,Estoque_US!D:E,2,FALSE),"")</f>
        <v>153</v>
      </c>
      <c r="E309" s="1">
        <f>IFERROR(VLOOKUP(B309,Petróleo!F:G,2,FALSE),"")</f>
        <v>10457.370999999999</v>
      </c>
      <c r="F309" s="1">
        <f>IFERROR(VLOOKUP(B309,Petróleo!H:I,2,FALSE),"")</f>
        <v>3210</v>
      </c>
      <c r="G309" s="1">
        <f>IFERROR(VLOOKUP(B309,Petróleo!J:K,2,FALSE),"")</f>
        <v>4225</v>
      </c>
      <c r="H309" s="1">
        <f>IFERROR(VLOOKUP(B309,Petróleo!L:M,2,FALSE),"")</f>
        <v>420</v>
      </c>
      <c r="I309" s="1">
        <f>IFERROR(VLOOKUP(B309,Petróleo!N:O,2,FALSE),"")</f>
        <v>2088</v>
      </c>
      <c r="J309" s="1">
        <f>IFERROR(VLOOKUP(B309,Petróleo!P:Q,2,FALSE),"")</f>
        <v>10268</v>
      </c>
      <c r="K309" s="1">
        <f>IFERROR(VLOOKUP(B309,Petróleo!R:S,2,FALSE),"")</f>
        <v>2488</v>
      </c>
      <c r="L309" s="1">
        <f>IFERROR(VLOOKUP(B309,Petróleo!T:U,2,FALSE),"")</f>
        <v>4278</v>
      </c>
      <c r="M309" s="8">
        <f>IFERROR(VLOOKUP(B309,Petróleo!X:Y,2,FALSE),"")</f>
        <v>32161</v>
      </c>
      <c r="N309" s="8">
        <f>IFERROR(VLOOKUP(B309,Petróleo!Z:AA,2,FALSE),"")</f>
        <v>10500</v>
      </c>
      <c r="O309" s="8">
        <f>IFERROR(VLOOKUP(B309,Petróleo!AB:AC,2,FALSE),"")</f>
        <v>2950</v>
      </c>
      <c r="P309" s="8">
        <f>IFERROR(VLOOKUP(B309,Petróleo!AD:AE,2,FALSE),"")</f>
        <v>2900</v>
      </c>
      <c r="Q309" s="8">
        <f>IFERROR(VLOOKUP(B309,Petróleo!AF:AG,2,FALSE),"")</f>
        <v>4299</v>
      </c>
      <c r="R309" s="8">
        <f>IFERROR(VLOOKUP(B309,Petróleo!AH:AI,2,FALSE),"")</f>
        <v>355</v>
      </c>
      <c r="S309" s="8">
        <f>IFERROR(VLOOKUP(B309,Petróleo!AJ:AK,2,FALSE),"")</f>
        <v>1905</v>
      </c>
      <c r="T309" s="8">
        <f>IFERROR(VLOOKUP(B309,Petróleo!AL:AM,2,FALSE),"")</f>
        <v>2370</v>
      </c>
      <c r="U309" s="8">
        <f>IFERROR(VLOOKUP(B309,Petróleo!AN:AO,2,FALSE),"")</f>
        <v>2850</v>
      </c>
      <c r="V309" s="10" t="str">
        <f>IFERROR(VLOOKUP(A309,Petróleo!AR:AT,3,FALSE),"")</f>
        <v/>
      </c>
    </row>
    <row r="310" spans="1:22" x14ac:dyDescent="0.25">
      <c r="A310" s="9" t="str">
        <f t="shared" si="4"/>
        <v>92015</v>
      </c>
      <c r="B310" s="9">
        <v>42277</v>
      </c>
      <c r="C310" s="1">
        <f>IFERROR(VLOOKUP(B310,Petróleo!A:B,2,FALSE),"")</f>
        <v>9471</v>
      </c>
      <c r="D310" s="1">
        <f>IFERROR(VLOOKUP(B310,Estoque_US!D:E,2,FALSE),"")</f>
        <v>2496</v>
      </c>
      <c r="E310" s="1">
        <f>IFERROR(VLOOKUP(B310,Petróleo!F:G,2,FALSE),"")</f>
        <v>10457.370999999999</v>
      </c>
      <c r="F310" s="1">
        <f>IFERROR(VLOOKUP(B310,Petróleo!H:I,2,FALSE),"")</f>
        <v>3254</v>
      </c>
      <c r="G310" s="1">
        <f>IFERROR(VLOOKUP(B310,Petróleo!J:K,2,FALSE),"")</f>
        <v>4425</v>
      </c>
      <c r="H310" s="1">
        <f>IFERROR(VLOOKUP(B310,Petróleo!L:M,2,FALSE),"")</f>
        <v>435</v>
      </c>
      <c r="I310" s="1">
        <f>IFERROR(VLOOKUP(B310,Petróleo!N:O,2,FALSE),"")</f>
        <v>2225</v>
      </c>
      <c r="J310" s="1">
        <f>IFERROR(VLOOKUP(B310,Petróleo!P:Q,2,FALSE),"")</f>
        <v>10209</v>
      </c>
      <c r="K310" s="1">
        <f>IFERROR(VLOOKUP(B310,Petróleo!R:S,2,FALSE),"")</f>
        <v>2487</v>
      </c>
      <c r="L310" s="1">
        <f>IFERROR(VLOOKUP(B310,Petróleo!T:U,2,FALSE),"")</f>
        <v>4317</v>
      </c>
      <c r="M310" s="8">
        <f>IFERROR(VLOOKUP(B310,Petróleo!X:Y,2,FALSE),"")</f>
        <v>32017</v>
      </c>
      <c r="N310" s="8">
        <f>IFERROR(VLOOKUP(B310,Petróleo!Z:AA,2,FALSE),"")</f>
        <v>10300</v>
      </c>
      <c r="O310" s="8">
        <f>IFERROR(VLOOKUP(B310,Petróleo!AB:AC,2,FALSE),"")</f>
        <v>2950</v>
      </c>
      <c r="P310" s="8">
        <f>IFERROR(VLOOKUP(B310,Petróleo!AD:AE,2,FALSE),"")</f>
        <v>2800</v>
      </c>
      <c r="Q310" s="8">
        <f>IFERROR(VLOOKUP(B310,Petróleo!AF:AG,2,FALSE),"")</f>
        <v>4247</v>
      </c>
      <c r="R310" s="8">
        <f>IFERROR(VLOOKUP(B310,Petróleo!AH:AI,2,FALSE),"")</f>
        <v>350</v>
      </c>
      <c r="S310" s="8">
        <f>IFERROR(VLOOKUP(B310,Petróleo!AJ:AK,2,FALSE),"")</f>
        <v>1980</v>
      </c>
      <c r="T310" s="8">
        <f>IFERROR(VLOOKUP(B310,Petróleo!AL:AM,2,FALSE),"")</f>
        <v>2380</v>
      </c>
      <c r="U310" s="8">
        <f>IFERROR(VLOOKUP(B310,Petróleo!AN:AO,2,FALSE),"")</f>
        <v>2940</v>
      </c>
      <c r="V310" s="10" t="str">
        <f>IFERROR(VLOOKUP(A310,Petróleo!AR:AT,3,FALSE),"")</f>
        <v/>
      </c>
    </row>
    <row r="311" spans="1:22" x14ac:dyDescent="0.25">
      <c r="A311" s="9" t="str">
        <f t="shared" si="4"/>
        <v>102015</v>
      </c>
      <c r="B311" s="9">
        <v>42308</v>
      </c>
      <c r="C311" s="1">
        <f>IFERROR(VLOOKUP(B311,Petróleo!A:B,2,FALSE),"")</f>
        <v>9394</v>
      </c>
      <c r="D311" s="1">
        <f>IFERROR(VLOOKUP(B311,Estoque_US!D:E,2,FALSE),"")</f>
        <v>24886</v>
      </c>
      <c r="E311" s="1">
        <f>IFERROR(VLOOKUP(B311,Petróleo!F:G,2,FALSE),"")</f>
        <v>10407.370999999999</v>
      </c>
      <c r="F311" s="1">
        <f>IFERROR(VLOOKUP(B311,Petróleo!H:I,2,FALSE),"")</f>
        <v>3278</v>
      </c>
      <c r="G311" s="1">
        <f>IFERROR(VLOOKUP(B311,Petróleo!J:K,2,FALSE),"")</f>
        <v>4275</v>
      </c>
      <c r="H311" s="1">
        <f>IFERROR(VLOOKUP(B311,Petróleo!L:M,2,FALSE),"")</f>
        <v>475</v>
      </c>
      <c r="I311" s="1">
        <f>IFERROR(VLOOKUP(B311,Petróleo!N:O,2,FALSE),"")</f>
        <v>2198</v>
      </c>
      <c r="J311" s="1">
        <f>IFERROR(VLOOKUP(B311,Petróleo!P:Q,2,FALSE),"")</f>
        <v>10341</v>
      </c>
      <c r="K311" s="1">
        <f>IFERROR(VLOOKUP(B311,Petróleo!R:S,2,FALSE),"")</f>
        <v>2486</v>
      </c>
      <c r="L311" s="1">
        <f>IFERROR(VLOOKUP(B311,Petróleo!T:U,2,FALSE),"")</f>
        <v>4259</v>
      </c>
      <c r="M311" s="8">
        <f>IFERROR(VLOOKUP(B311,Petróleo!X:Y,2,FALSE),"")</f>
        <v>32034</v>
      </c>
      <c r="N311" s="8">
        <f>IFERROR(VLOOKUP(B311,Petróleo!Z:AA,2,FALSE),"")</f>
        <v>10300</v>
      </c>
      <c r="O311" s="8">
        <f>IFERROR(VLOOKUP(B311,Petróleo!AB:AC,2,FALSE),"")</f>
        <v>2970</v>
      </c>
      <c r="P311" s="8">
        <f>IFERROR(VLOOKUP(B311,Petróleo!AD:AE,2,FALSE),"")</f>
        <v>2800</v>
      </c>
      <c r="Q311" s="8">
        <f>IFERROR(VLOOKUP(B311,Petróleo!AF:AG,2,FALSE),"")</f>
        <v>4217</v>
      </c>
      <c r="R311" s="8">
        <f>IFERROR(VLOOKUP(B311,Petróleo!AH:AI,2,FALSE),"")</f>
        <v>430</v>
      </c>
      <c r="S311" s="8">
        <f>IFERROR(VLOOKUP(B311,Petróleo!AJ:AK,2,FALSE),"")</f>
        <v>2019</v>
      </c>
      <c r="T311" s="8">
        <f>IFERROR(VLOOKUP(B311,Petróleo!AL:AM,2,FALSE),"")</f>
        <v>2380</v>
      </c>
      <c r="U311" s="8">
        <f>IFERROR(VLOOKUP(B311,Petróleo!AN:AO,2,FALSE),"")</f>
        <v>2820</v>
      </c>
      <c r="V311" s="10" t="str">
        <f>IFERROR(VLOOKUP(A311,Petróleo!AR:AT,3,FALSE),"")</f>
        <v/>
      </c>
    </row>
    <row r="312" spans="1:22" x14ac:dyDescent="0.25">
      <c r="A312" s="9" t="str">
        <f t="shared" si="4"/>
        <v>112015</v>
      </c>
      <c r="B312" s="9">
        <v>42338</v>
      </c>
      <c r="C312" s="1">
        <f>IFERROR(VLOOKUP(B312,Petróleo!A:B,2,FALSE),"")</f>
        <v>9328</v>
      </c>
      <c r="D312" s="1">
        <f>IFERROR(VLOOKUP(B312,Estoque_US!D:E,2,FALSE),"")</f>
        <v>6614</v>
      </c>
      <c r="E312" s="1">
        <f>IFERROR(VLOOKUP(B312,Petróleo!F:G,2,FALSE),"")</f>
        <v>10307.370999999999</v>
      </c>
      <c r="F312" s="1">
        <f>IFERROR(VLOOKUP(B312,Petróleo!H:I,2,FALSE),"")</f>
        <v>3351</v>
      </c>
      <c r="G312" s="1">
        <f>IFERROR(VLOOKUP(B312,Petróleo!J:K,2,FALSE),"")</f>
        <v>4425</v>
      </c>
      <c r="H312" s="1">
        <f>IFERROR(VLOOKUP(B312,Petróleo!L:M,2,FALSE),"")</f>
        <v>435</v>
      </c>
      <c r="I312" s="1">
        <f>IFERROR(VLOOKUP(B312,Petróleo!N:O,2,FALSE),"")</f>
        <v>2226</v>
      </c>
      <c r="J312" s="1">
        <f>IFERROR(VLOOKUP(B312,Petróleo!P:Q,2,FALSE),"")</f>
        <v>10361</v>
      </c>
      <c r="K312" s="1">
        <f>IFERROR(VLOOKUP(B312,Petróleo!R:S,2,FALSE),"")</f>
        <v>2485</v>
      </c>
      <c r="L312" s="1">
        <f>IFERROR(VLOOKUP(B312,Petróleo!T:U,2,FALSE),"")</f>
        <v>4297</v>
      </c>
      <c r="M312" s="8">
        <f>IFERROR(VLOOKUP(B312,Petróleo!X:Y,2,FALSE),"")</f>
        <v>32001</v>
      </c>
      <c r="N312" s="8">
        <f>IFERROR(VLOOKUP(B312,Petróleo!Z:AA,2,FALSE),"")</f>
        <v>10330</v>
      </c>
      <c r="O312" s="8">
        <f>IFERROR(VLOOKUP(B312,Petróleo!AB:AC,2,FALSE),"")</f>
        <v>2940</v>
      </c>
      <c r="P312" s="8">
        <f>IFERROR(VLOOKUP(B312,Petróleo!AD:AE,2,FALSE),"")</f>
        <v>2800</v>
      </c>
      <c r="Q312" s="8">
        <f>IFERROR(VLOOKUP(B312,Petróleo!AF:AG,2,FALSE),"")</f>
        <v>4321</v>
      </c>
      <c r="R312" s="8">
        <f>IFERROR(VLOOKUP(B312,Petróleo!AH:AI,2,FALSE),"")</f>
        <v>375</v>
      </c>
      <c r="S312" s="8">
        <f>IFERROR(VLOOKUP(B312,Petróleo!AJ:AK,2,FALSE),"")</f>
        <v>1876</v>
      </c>
      <c r="T312" s="8">
        <f>IFERROR(VLOOKUP(B312,Petróleo!AL:AM,2,FALSE),"")</f>
        <v>2360</v>
      </c>
      <c r="U312" s="8">
        <f>IFERROR(VLOOKUP(B312,Petróleo!AN:AO,2,FALSE),"")</f>
        <v>2850</v>
      </c>
      <c r="V312" s="10" t="str">
        <f>IFERROR(VLOOKUP(A312,Petróleo!AR:AT,3,FALSE),"")</f>
        <v/>
      </c>
    </row>
    <row r="313" spans="1:22" x14ac:dyDescent="0.25">
      <c r="A313" s="9" t="str">
        <f t="shared" si="4"/>
        <v>122015</v>
      </c>
      <c r="B313" s="9">
        <v>42369</v>
      </c>
      <c r="C313" s="1">
        <f>IFERROR(VLOOKUP(B313,Petróleo!A:B,2,FALSE),"")</f>
        <v>9270</v>
      </c>
      <c r="D313" s="1">
        <f>IFERROR(VLOOKUP(B313,Estoque_US!D:E,2,FALSE),"")</f>
        <v>-2015</v>
      </c>
      <c r="E313" s="1">
        <f>IFERROR(VLOOKUP(B313,Petróleo!F:G,2,FALSE),"")</f>
        <v>10307.370999999999</v>
      </c>
      <c r="F313" s="1">
        <f>IFERROR(VLOOKUP(B313,Petróleo!H:I,2,FALSE),"")</f>
        <v>3389</v>
      </c>
      <c r="G313" s="1">
        <f>IFERROR(VLOOKUP(B313,Petróleo!J:K,2,FALSE),"")</f>
        <v>4425</v>
      </c>
      <c r="H313" s="1">
        <f>IFERROR(VLOOKUP(B313,Petróleo!L:M,2,FALSE),"")</f>
        <v>430</v>
      </c>
      <c r="I313" s="1">
        <f>IFERROR(VLOOKUP(B313,Petróleo!N:O,2,FALSE),"")</f>
        <v>2159</v>
      </c>
      <c r="J313" s="1">
        <f>IFERROR(VLOOKUP(B313,Petróleo!P:Q,2,FALSE),"")</f>
        <v>10407</v>
      </c>
      <c r="K313" s="1">
        <f>IFERROR(VLOOKUP(B313,Petróleo!R:S,2,FALSE),"")</f>
        <v>2484</v>
      </c>
      <c r="L313" s="1">
        <f>IFERROR(VLOOKUP(B313,Petróleo!T:U,2,FALSE),"")</f>
        <v>4275</v>
      </c>
      <c r="M313" s="8">
        <f>IFERROR(VLOOKUP(B313,Petróleo!X:Y,2,FALSE),"")</f>
        <v>32945</v>
      </c>
      <c r="N313" s="8">
        <f>IFERROR(VLOOKUP(B313,Petróleo!Z:AA,2,FALSE),"")</f>
        <v>10250</v>
      </c>
      <c r="O313" s="8">
        <f>IFERROR(VLOOKUP(B313,Petróleo!AB:AC,2,FALSE),"")</f>
        <v>2940</v>
      </c>
      <c r="P313" s="8">
        <f>IFERROR(VLOOKUP(B313,Petróleo!AD:AE,2,FALSE),"")</f>
        <v>2800</v>
      </c>
      <c r="Q313" s="8">
        <f>IFERROR(VLOOKUP(B313,Petróleo!AF:AG,2,FALSE),"")</f>
        <v>4440</v>
      </c>
      <c r="R313" s="8">
        <f>IFERROR(VLOOKUP(B313,Petróleo!AH:AI,2,FALSE),"")</f>
        <v>375</v>
      </c>
      <c r="S313" s="8">
        <f>IFERROR(VLOOKUP(B313,Petróleo!AJ:AK,2,FALSE),"")</f>
        <v>1919</v>
      </c>
      <c r="T313" s="8">
        <f>IFERROR(VLOOKUP(B313,Petróleo!AL:AM,2,FALSE),"")</f>
        <v>2356</v>
      </c>
      <c r="U313" s="8">
        <f>IFERROR(VLOOKUP(B313,Petróleo!AN:AO,2,FALSE),"")</f>
        <v>2900</v>
      </c>
      <c r="V313" s="10" t="str">
        <f>IFERROR(VLOOKUP(A313,Petróleo!AR:AT,3,FALSE),"")</f>
        <v/>
      </c>
    </row>
    <row r="314" spans="1:22" x14ac:dyDescent="0.25">
      <c r="A314" s="9" t="str">
        <f t="shared" si="4"/>
        <v>12016</v>
      </c>
      <c r="B314" s="9">
        <v>42400</v>
      </c>
      <c r="C314" s="1">
        <f>IFERROR(VLOOKUP(B314,Petróleo!A:B,2,FALSE),"")</f>
        <v>9209</v>
      </c>
      <c r="D314" s="1">
        <f>IFERROR(VLOOKUP(B314,Estoque_US!D:E,2,FALSE),"")</f>
        <v>15303</v>
      </c>
      <c r="E314" s="1">
        <f>IFERROR(VLOOKUP(B314,Petróleo!F:G,2,FALSE),"")</f>
        <v>10414</v>
      </c>
      <c r="F314" s="1">
        <f>IFERROR(VLOOKUP(B314,Petróleo!H:I,2,FALSE),"")</f>
        <v>3652</v>
      </c>
      <c r="G314" s="1">
        <f>IFERROR(VLOOKUP(B314,Petróleo!J:K,2,FALSE),"")</f>
        <v>4475</v>
      </c>
      <c r="H314" s="1">
        <f>IFERROR(VLOOKUP(B314,Petróleo!L:M,2,FALSE),"")</f>
        <v>430</v>
      </c>
      <c r="I314" s="1">
        <f>IFERROR(VLOOKUP(B314,Petróleo!N:O,2,FALSE),"")</f>
        <v>2159</v>
      </c>
      <c r="J314" s="1">
        <f>IFERROR(VLOOKUP(B314,Petróleo!P:Q,2,FALSE),"")</f>
        <v>10485</v>
      </c>
      <c r="K314" s="1">
        <f>IFERROR(VLOOKUP(B314,Petróleo!R:S,2,FALSE),"")</f>
        <v>2383</v>
      </c>
      <c r="L314" s="1">
        <f>IFERROR(VLOOKUP(B314,Petróleo!T:U,2,FALSE),"")</f>
        <v>4166</v>
      </c>
      <c r="M314" s="8">
        <f>IFERROR(VLOOKUP(B314,Petróleo!X:Y,2,FALSE),"")</f>
        <v>32839</v>
      </c>
      <c r="N314" s="8">
        <f>IFERROR(VLOOKUP(B314,Petróleo!Z:AA,2,FALSE),"")</f>
        <v>10200</v>
      </c>
      <c r="O314" s="8">
        <f>IFERROR(VLOOKUP(B314,Petróleo!AB:AC,2,FALSE),"")</f>
        <v>2930</v>
      </c>
      <c r="P314" s="8">
        <f>IFERROR(VLOOKUP(B314,Petróleo!AD:AE,2,FALSE),"")</f>
        <v>2860</v>
      </c>
      <c r="Q314" s="8">
        <f>IFERROR(VLOOKUP(B314,Petróleo!AF:AG,2,FALSE),"")</f>
        <v>4510</v>
      </c>
      <c r="R314" s="8">
        <f>IFERROR(VLOOKUP(B314,Petróleo!AH:AI,2,FALSE),"")</f>
        <v>370</v>
      </c>
      <c r="S314" s="8">
        <f>IFERROR(VLOOKUP(B314,Petróleo!AJ:AK,2,FALSE),"")</f>
        <v>2028</v>
      </c>
      <c r="T314" s="8">
        <f>IFERROR(VLOOKUP(B314,Petróleo!AL:AM,2,FALSE),"")</f>
        <v>2346</v>
      </c>
      <c r="U314" s="8">
        <f>IFERROR(VLOOKUP(B314,Petróleo!AN:AO,2,FALSE),"")</f>
        <v>2860</v>
      </c>
      <c r="V314" s="10" t="str">
        <f>IFERROR(VLOOKUP(A314,Petróleo!AR:AT,3,FALSE),"")</f>
        <v/>
      </c>
    </row>
    <row r="315" spans="1:22" x14ac:dyDescent="0.25">
      <c r="A315" s="9" t="str">
        <f t="shared" si="4"/>
        <v>22016</v>
      </c>
      <c r="B315" s="9">
        <v>42429</v>
      </c>
      <c r="C315" s="1">
        <f>IFERROR(VLOOKUP(B315,Petróleo!A:B,2,FALSE),"")</f>
        <v>9067</v>
      </c>
      <c r="D315" s="1">
        <f>IFERROR(VLOOKUP(B315,Estoque_US!D:E,2,FALSE),"")</f>
        <v>15269</v>
      </c>
      <c r="E315" s="1">
        <f>IFERROR(VLOOKUP(B315,Petróleo!F:G,2,FALSE),"")</f>
        <v>10414</v>
      </c>
      <c r="F315" s="1">
        <f>IFERROR(VLOOKUP(B315,Petróleo!H:I,2,FALSE),"")</f>
        <v>3792</v>
      </c>
      <c r="G315" s="1">
        <f>IFERROR(VLOOKUP(B315,Petróleo!J:K,2,FALSE),"")</f>
        <v>4225</v>
      </c>
      <c r="H315" s="1">
        <f>IFERROR(VLOOKUP(B315,Petróleo!L:M,2,FALSE),"")</f>
        <v>420</v>
      </c>
      <c r="I315" s="1">
        <f>IFERROR(VLOOKUP(B315,Petróleo!N:O,2,FALSE),"")</f>
        <v>2120</v>
      </c>
      <c r="J315" s="1">
        <f>IFERROR(VLOOKUP(B315,Petróleo!P:Q,2,FALSE),"")</f>
        <v>10485</v>
      </c>
      <c r="K315" s="1">
        <f>IFERROR(VLOOKUP(B315,Petróleo!R:S,2,FALSE),"")</f>
        <v>2382</v>
      </c>
      <c r="L315" s="1">
        <f>IFERROR(VLOOKUP(B315,Petróleo!T:U,2,FALSE),"")</f>
        <v>4150</v>
      </c>
      <c r="M315" s="8">
        <f>IFERROR(VLOOKUP(B315,Petróleo!X:Y,2,FALSE),"")</f>
        <v>32596</v>
      </c>
      <c r="N315" s="8">
        <f>IFERROR(VLOOKUP(B315,Petróleo!Z:AA,2,FALSE),"")</f>
        <v>10200</v>
      </c>
      <c r="O315" s="8">
        <f>IFERROR(VLOOKUP(B315,Petróleo!AB:AC,2,FALSE),"")</f>
        <v>2820</v>
      </c>
      <c r="P315" s="8">
        <f>IFERROR(VLOOKUP(B315,Petróleo!AD:AE,2,FALSE),"")</f>
        <v>3100</v>
      </c>
      <c r="Q315" s="8">
        <f>IFERROR(VLOOKUP(B315,Petróleo!AF:AG,2,FALSE),"")</f>
        <v>4200</v>
      </c>
      <c r="R315" s="8">
        <f>IFERROR(VLOOKUP(B315,Petróleo!AH:AI,2,FALSE),"")</f>
        <v>370</v>
      </c>
      <c r="S315" s="8">
        <f>IFERROR(VLOOKUP(B315,Petróleo!AJ:AK,2,FALSE),"")</f>
        <v>1889</v>
      </c>
      <c r="T315" s="8">
        <f>IFERROR(VLOOKUP(B315,Petróleo!AL:AM,2,FALSE),"")</f>
        <v>2331</v>
      </c>
      <c r="U315" s="8">
        <f>IFERROR(VLOOKUP(B315,Petróleo!AN:AO,2,FALSE),"")</f>
        <v>2850</v>
      </c>
      <c r="V315" s="10" t="str">
        <f>IFERROR(VLOOKUP(A315,Petróleo!AR:AT,3,FALSE),"")</f>
        <v/>
      </c>
    </row>
    <row r="316" spans="1:22" x14ac:dyDescent="0.25">
      <c r="A316" s="9" t="str">
        <f t="shared" si="4"/>
        <v>32016</v>
      </c>
      <c r="B316" s="9">
        <v>42460</v>
      </c>
      <c r="C316" s="1">
        <f>IFERROR(VLOOKUP(B316,Petróleo!A:B,2,FALSE),"")</f>
        <v>9109</v>
      </c>
      <c r="D316" s="1">
        <f>IFERROR(VLOOKUP(B316,Estoque_US!D:E,2,FALSE),"")</f>
        <v>16853</v>
      </c>
      <c r="E316" s="1">
        <f>IFERROR(VLOOKUP(B316,Petróleo!F:G,2,FALSE),"")</f>
        <v>10414</v>
      </c>
      <c r="F316" s="1">
        <f>IFERROR(VLOOKUP(B316,Petróleo!H:I,2,FALSE),"")</f>
        <v>4093</v>
      </c>
      <c r="G316" s="1">
        <f>IFERROR(VLOOKUP(B316,Petróleo!J:K,2,FALSE),"")</f>
        <v>4225</v>
      </c>
      <c r="H316" s="1">
        <f>IFERROR(VLOOKUP(B316,Petróleo!L:M,2,FALSE),"")</f>
        <v>380</v>
      </c>
      <c r="I316" s="1">
        <f>IFERROR(VLOOKUP(B316,Petróleo!N:O,2,FALSE),"")</f>
        <v>1993</v>
      </c>
      <c r="J316" s="1">
        <f>IFERROR(VLOOKUP(B316,Petróleo!P:Q,2,FALSE),"")</f>
        <v>10522</v>
      </c>
      <c r="K316" s="1">
        <f>IFERROR(VLOOKUP(B316,Petróleo!R:S,2,FALSE),"")</f>
        <v>2381</v>
      </c>
      <c r="L316" s="1">
        <f>IFERROR(VLOOKUP(B316,Petróleo!T:U,2,FALSE),"")</f>
        <v>4091</v>
      </c>
      <c r="M316" s="8">
        <f>IFERROR(VLOOKUP(B316,Petróleo!X:Y,2,FALSE),"")</f>
        <v>32343</v>
      </c>
      <c r="N316" s="8">
        <f>IFERROR(VLOOKUP(B316,Petróleo!Z:AA,2,FALSE),"")</f>
        <v>10190</v>
      </c>
      <c r="O316" s="8">
        <f>IFERROR(VLOOKUP(B316,Petróleo!AB:AC,2,FALSE),"")</f>
        <v>2760</v>
      </c>
      <c r="P316" s="8">
        <f>IFERROR(VLOOKUP(B316,Petróleo!AD:AE,2,FALSE),"")</f>
        <v>3200</v>
      </c>
      <c r="Q316" s="8">
        <f>IFERROR(VLOOKUP(B316,Petróleo!AF:AG,2,FALSE),"")</f>
        <v>4150</v>
      </c>
      <c r="R316" s="8">
        <f>IFERROR(VLOOKUP(B316,Petróleo!AH:AI,2,FALSE),"")</f>
        <v>330</v>
      </c>
      <c r="S316" s="8">
        <f>IFERROR(VLOOKUP(B316,Petróleo!AJ:AK,2,FALSE),"")</f>
        <v>1720</v>
      </c>
      <c r="T316" s="8">
        <f>IFERROR(VLOOKUP(B316,Petróleo!AL:AM,2,FALSE),"")</f>
        <v>2320</v>
      </c>
      <c r="U316" s="8">
        <f>IFERROR(VLOOKUP(B316,Petróleo!AN:AO,2,FALSE),"")</f>
        <v>2860</v>
      </c>
      <c r="V316" s="10" t="str">
        <f>IFERROR(VLOOKUP(A316,Petróleo!AR:AT,3,FALSE),"")</f>
        <v/>
      </c>
    </row>
    <row r="317" spans="1:22" x14ac:dyDescent="0.25">
      <c r="A317" s="9" t="str">
        <f t="shared" si="4"/>
        <v>42016</v>
      </c>
      <c r="B317" s="9">
        <v>42490</v>
      </c>
      <c r="C317" s="1">
        <f>IFERROR(VLOOKUP(B317,Petróleo!A:B,2,FALSE),"")</f>
        <v>8880</v>
      </c>
      <c r="D317" s="1">
        <f>IFERROR(VLOOKUP(B317,Estoque_US!D:E,2,FALSE),"")</f>
        <v>8560</v>
      </c>
      <c r="E317" s="1">
        <f>IFERROR(VLOOKUP(B317,Petróleo!F:G,2,FALSE),"")</f>
        <v>10414</v>
      </c>
      <c r="F317" s="1">
        <f>IFERROR(VLOOKUP(B317,Petróleo!H:I,2,FALSE),"")</f>
        <v>4173</v>
      </c>
      <c r="G317" s="1">
        <f>IFERROR(VLOOKUP(B317,Petróleo!J:K,2,FALSE),"")</f>
        <v>4475</v>
      </c>
      <c r="H317" s="1">
        <f>IFERROR(VLOOKUP(B317,Petróleo!L:M,2,FALSE),"")</f>
        <v>390</v>
      </c>
      <c r="I317" s="1">
        <f>IFERROR(VLOOKUP(B317,Petróleo!N:O,2,FALSE),"")</f>
        <v>2010</v>
      </c>
      <c r="J317" s="1">
        <f>IFERROR(VLOOKUP(B317,Petróleo!P:Q,2,FALSE),"")</f>
        <v>10450</v>
      </c>
      <c r="K317" s="1">
        <f>IFERROR(VLOOKUP(B317,Petróleo!R:S,2,FALSE),"")</f>
        <v>2380</v>
      </c>
      <c r="L317" s="1">
        <f>IFERROR(VLOOKUP(B317,Petróleo!T:U,2,FALSE),"")</f>
        <v>4039</v>
      </c>
      <c r="M317" s="8">
        <f>IFERROR(VLOOKUP(B317,Petróleo!X:Y,2,FALSE),"")</f>
        <v>32710</v>
      </c>
      <c r="N317" s="8">
        <f>IFERROR(VLOOKUP(B317,Petróleo!Z:AA,2,FALSE),"")</f>
        <v>10200</v>
      </c>
      <c r="O317" s="8">
        <f>IFERROR(VLOOKUP(B317,Petróleo!AB:AC,2,FALSE),"")</f>
        <v>2800</v>
      </c>
      <c r="P317" s="8">
        <f>IFERROR(VLOOKUP(B317,Petróleo!AD:AE,2,FALSE),"")</f>
        <v>3500</v>
      </c>
      <c r="Q317" s="8">
        <f>IFERROR(VLOOKUP(B317,Petróleo!AF:AG,2,FALSE),"")</f>
        <v>4420</v>
      </c>
      <c r="R317" s="8">
        <f>IFERROR(VLOOKUP(B317,Petróleo!AH:AI,2,FALSE),"")</f>
        <v>310</v>
      </c>
      <c r="S317" s="8">
        <f>IFERROR(VLOOKUP(B317,Petróleo!AJ:AK,2,FALSE),"")</f>
        <v>1610</v>
      </c>
      <c r="T317" s="8">
        <f>IFERROR(VLOOKUP(B317,Petróleo!AL:AM,2,FALSE),"")</f>
        <v>2250</v>
      </c>
      <c r="U317" s="8">
        <f>IFERROR(VLOOKUP(B317,Petróleo!AN:AO,2,FALSE),"")</f>
        <v>2770</v>
      </c>
      <c r="V317" s="10" t="str">
        <f>IFERROR(VLOOKUP(A317,Petróleo!AR:AT,3,FALSE),"")</f>
        <v/>
      </c>
    </row>
    <row r="318" spans="1:22" x14ac:dyDescent="0.25">
      <c r="A318" s="9" t="str">
        <f t="shared" si="4"/>
        <v>52016</v>
      </c>
      <c r="B318" s="9">
        <v>42521</v>
      </c>
      <c r="C318" s="1">
        <f>IFERROR(VLOOKUP(B318,Petróleo!A:B,2,FALSE),"")</f>
        <v>8839</v>
      </c>
      <c r="D318" s="1">
        <f>IFERROR(VLOOKUP(B318,Estoque_US!D:E,2,FALSE),"")</f>
        <v>-7692</v>
      </c>
      <c r="E318" s="1">
        <f>IFERROR(VLOOKUP(B318,Petróleo!F:G,2,FALSE),"")</f>
        <v>10514</v>
      </c>
      <c r="F318" s="1">
        <f>IFERROR(VLOOKUP(B318,Petróleo!H:I,2,FALSE),"")</f>
        <v>4162</v>
      </c>
      <c r="G318" s="1">
        <f>IFERROR(VLOOKUP(B318,Petróleo!J:K,2,FALSE),"")</f>
        <v>4355</v>
      </c>
      <c r="H318" s="1">
        <f>IFERROR(VLOOKUP(B318,Petróleo!L:M,2,FALSE),"")</f>
        <v>345</v>
      </c>
      <c r="I318" s="1">
        <f>IFERROR(VLOOKUP(B318,Petróleo!N:O,2,FALSE),"")</f>
        <v>1673</v>
      </c>
      <c r="J318" s="1">
        <f>IFERROR(VLOOKUP(B318,Petróleo!P:Q,2,FALSE),"")</f>
        <v>10440</v>
      </c>
      <c r="K318" s="1">
        <f>IFERROR(VLOOKUP(B318,Petróleo!R:S,2,FALSE),"")</f>
        <v>2279</v>
      </c>
      <c r="L318" s="1">
        <f>IFERROR(VLOOKUP(B318,Petróleo!T:U,2,FALSE),"")</f>
        <v>3977</v>
      </c>
      <c r="M318" s="8">
        <f>IFERROR(VLOOKUP(B318,Petróleo!X:Y,2,FALSE),"")</f>
        <v>32520</v>
      </c>
      <c r="N318" s="8">
        <f>IFERROR(VLOOKUP(B318,Petróleo!Z:AA,2,FALSE),"")</f>
        <v>10260</v>
      </c>
      <c r="O318" s="8">
        <f>IFERROR(VLOOKUP(B318,Petróleo!AB:AC,2,FALSE),"")</f>
        <v>2860</v>
      </c>
      <c r="P318" s="8">
        <f>IFERROR(VLOOKUP(B318,Petróleo!AD:AE,2,FALSE),"")</f>
        <v>3500</v>
      </c>
      <c r="Q318" s="8">
        <f>IFERROR(VLOOKUP(B318,Petróleo!AF:AG,2,FALSE),"")</f>
        <v>4370</v>
      </c>
      <c r="R318" s="8">
        <f>IFERROR(VLOOKUP(B318,Petróleo!AH:AI,2,FALSE),"")</f>
        <v>280</v>
      </c>
      <c r="S318" s="8">
        <f>IFERROR(VLOOKUP(B318,Petróleo!AJ:AK,2,FALSE),"")</f>
        <v>1440</v>
      </c>
      <c r="T318" s="8">
        <f>IFERROR(VLOOKUP(B318,Petróleo!AL:AM,2,FALSE),"")</f>
        <v>2210</v>
      </c>
      <c r="U318" s="8">
        <f>IFERROR(VLOOKUP(B318,Petróleo!AN:AO,2,FALSE),"")</f>
        <v>2830</v>
      </c>
      <c r="V318" s="10" t="str">
        <f>IFERROR(VLOOKUP(A318,Petróleo!AR:AT,3,FALSE),"")</f>
        <v/>
      </c>
    </row>
    <row r="319" spans="1:22" x14ac:dyDescent="0.25">
      <c r="A319" s="9" t="str">
        <f t="shared" si="4"/>
        <v>62016</v>
      </c>
      <c r="B319" s="9">
        <v>42551</v>
      </c>
      <c r="C319" s="1">
        <f>IFERROR(VLOOKUP(B319,Petróleo!A:B,2,FALSE),"")</f>
        <v>8679</v>
      </c>
      <c r="D319" s="1">
        <f>IFERROR(VLOOKUP(B319,Estoque_US!D:E,2,FALSE),"")</f>
        <v>-9129</v>
      </c>
      <c r="E319" s="1">
        <f>IFERROR(VLOOKUP(B319,Petróleo!F:G,2,FALSE),"")</f>
        <v>10714</v>
      </c>
      <c r="F319" s="1">
        <f>IFERROR(VLOOKUP(B319,Petróleo!H:I,2,FALSE),"")</f>
        <v>4150</v>
      </c>
      <c r="G319" s="1">
        <f>IFERROR(VLOOKUP(B319,Petróleo!J:K,2,FALSE),"")</f>
        <v>4405</v>
      </c>
      <c r="H319" s="1">
        <f>IFERROR(VLOOKUP(B319,Petróleo!L:M,2,FALSE),"")</f>
        <v>390</v>
      </c>
      <c r="I319" s="1">
        <f>IFERROR(VLOOKUP(B319,Petróleo!N:O,2,FALSE),"")</f>
        <v>1811</v>
      </c>
      <c r="J319" s="1">
        <f>IFERROR(VLOOKUP(B319,Petróleo!P:Q,2,FALSE),"")</f>
        <v>10453</v>
      </c>
      <c r="K319" s="1">
        <f>IFERROR(VLOOKUP(B319,Petróleo!R:S,2,FALSE),"")</f>
        <v>2258</v>
      </c>
      <c r="L319" s="1">
        <f>IFERROR(VLOOKUP(B319,Petróleo!T:U,2,FALSE),"")</f>
        <v>4038</v>
      </c>
      <c r="M319" s="8">
        <f>IFERROR(VLOOKUP(B319,Petróleo!X:Y,2,FALSE),"")</f>
        <v>33110</v>
      </c>
      <c r="N319" s="8">
        <f>IFERROR(VLOOKUP(B319,Petróleo!Z:AA,2,FALSE),"")</f>
        <v>10470</v>
      </c>
      <c r="O319" s="8">
        <f>IFERROR(VLOOKUP(B319,Petróleo!AB:AC,2,FALSE),"")</f>
        <v>2920</v>
      </c>
      <c r="P319" s="8">
        <f>IFERROR(VLOOKUP(B319,Petróleo!AD:AE,2,FALSE),"")</f>
        <v>3530</v>
      </c>
      <c r="Q319" s="8">
        <f>IFERROR(VLOOKUP(B319,Petróleo!AF:AG,2,FALSE),"")</f>
        <v>4350</v>
      </c>
      <c r="R319" s="8">
        <f>IFERROR(VLOOKUP(B319,Petróleo!AH:AI,2,FALSE),"")</f>
        <v>320</v>
      </c>
      <c r="S319" s="8">
        <f>IFERROR(VLOOKUP(B319,Petróleo!AJ:AK,2,FALSE),"")</f>
        <v>1590</v>
      </c>
      <c r="T319" s="8">
        <f>IFERROR(VLOOKUP(B319,Petróleo!AL:AM,2,FALSE),"")</f>
        <v>2250</v>
      </c>
      <c r="U319" s="8">
        <f>IFERROR(VLOOKUP(B319,Petróleo!AN:AO,2,FALSE),"")</f>
        <v>2900</v>
      </c>
      <c r="V319" s="10" t="str">
        <f>IFERROR(VLOOKUP(A319,Petróleo!AR:AT,3,FALSE),"")</f>
        <v/>
      </c>
    </row>
    <row r="320" spans="1:22" x14ac:dyDescent="0.25">
      <c r="A320" s="9" t="str">
        <f t="shared" si="4"/>
        <v>72016</v>
      </c>
      <c r="B320" s="9">
        <v>42582</v>
      </c>
      <c r="C320" s="1">
        <f>IFERROR(VLOOKUP(B320,Petróleo!A:B,2,FALSE),"")</f>
        <v>8669</v>
      </c>
      <c r="D320" s="1">
        <f>IFERROR(VLOOKUP(B320,Estoque_US!D:E,2,FALSE),"")</f>
        <v>-4027</v>
      </c>
      <c r="E320" s="1">
        <f>IFERROR(VLOOKUP(B320,Petróleo!F:G,2,FALSE),"")</f>
        <v>10844</v>
      </c>
      <c r="F320" s="1">
        <f>IFERROR(VLOOKUP(B320,Petróleo!H:I,2,FALSE),"")</f>
        <v>4224</v>
      </c>
      <c r="G320" s="1">
        <f>IFERROR(VLOOKUP(B320,Petróleo!J:K,2,FALSE),"")</f>
        <v>4415</v>
      </c>
      <c r="H320" s="1">
        <f>IFERROR(VLOOKUP(B320,Petróleo!L:M,2,FALSE),"")</f>
        <v>370</v>
      </c>
      <c r="I320" s="1">
        <f>IFERROR(VLOOKUP(B320,Petróleo!N:O,2,FALSE),"")</f>
        <v>1764</v>
      </c>
      <c r="J320" s="1">
        <f>IFERROR(VLOOKUP(B320,Petróleo!P:Q,2,FALSE),"")</f>
        <v>10254</v>
      </c>
      <c r="K320" s="1">
        <f>IFERROR(VLOOKUP(B320,Petróleo!R:S,2,FALSE),"")</f>
        <v>2197</v>
      </c>
      <c r="L320" s="1">
        <f>IFERROR(VLOOKUP(B320,Petróleo!T:U,2,FALSE),"")</f>
        <v>3941</v>
      </c>
      <c r="M320" s="8">
        <f>IFERROR(VLOOKUP(B320,Petróleo!X:Y,2,FALSE),"")</f>
        <v>33570</v>
      </c>
      <c r="N320" s="8">
        <f>IFERROR(VLOOKUP(B320,Petróleo!Z:AA,2,FALSE),"")</f>
        <v>10660</v>
      </c>
      <c r="O320" s="8">
        <f>IFERROR(VLOOKUP(B320,Petróleo!AB:AC,2,FALSE),"")</f>
        <v>3000</v>
      </c>
      <c r="P320" s="8">
        <f>IFERROR(VLOOKUP(B320,Petróleo!AD:AE,2,FALSE),"")</f>
        <v>3560</v>
      </c>
      <c r="Q320" s="8">
        <f>IFERROR(VLOOKUP(B320,Petróleo!AF:AG,2,FALSE),"")</f>
        <v>4410</v>
      </c>
      <c r="R320" s="8">
        <f>IFERROR(VLOOKUP(B320,Petróleo!AH:AI,2,FALSE),"")</f>
        <v>300</v>
      </c>
      <c r="S320" s="8">
        <f>IFERROR(VLOOKUP(B320,Petróleo!AJ:AK,2,FALSE),"")</f>
        <v>1570</v>
      </c>
      <c r="T320" s="8">
        <f>IFERROR(VLOOKUP(B320,Petróleo!AL:AM,2,FALSE),"")</f>
        <v>2200</v>
      </c>
      <c r="U320" s="8">
        <f>IFERROR(VLOOKUP(B320,Petróleo!AN:AO,2,FALSE),"")</f>
        <v>2860</v>
      </c>
      <c r="V320" s="10" t="str">
        <f>IFERROR(VLOOKUP(A320,Petróleo!AR:AT,3,FALSE),"")</f>
        <v/>
      </c>
    </row>
    <row r="321" spans="1:22" x14ac:dyDescent="0.25">
      <c r="A321" s="9" t="str">
        <f t="shared" si="4"/>
        <v>82016</v>
      </c>
      <c r="B321" s="9">
        <v>42613</v>
      </c>
      <c r="C321" s="1">
        <f>IFERROR(VLOOKUP(B321,Petróleo!A:B,2,FALSE),"")</f>
        <v>8695</v>
      </c>
      <c r="D321" s="1">
        <f>IFERROR(VLOOKUP(B321,Estoque_US!D:E,2,FALSE),"")</f>
        <v>3324</v>
      </c>
      <c r="E321" s="1">
        <f>IFERROR(VLOOKUP(B321,Petróleo!F:G,2,FALSE),"")</f>
        <v>10814</v>
      </c>
      <c r="F321" s="1">
        <f>IFERROR(VLOOKUP(B321,Petróleo!H:I,2,FALSE),"")</f>
        <v>4226</v>
      </c>
      <c r="G321" s="1">
        <f>IFERROR(VLOOKUP(B321,Petróleo!J:K,2,FALSE),"")</f>
        <v>4460</v>
      </c>
      <c r="H321" s="1">
        <f>IFERROR(VLOOKUP(B321,Petróleo!L:M,2,FALSE),"")</f>
        <v>310</v>
      </c>
      <c r="I321" s="1">
        <f>IFERROR(VLOOKUP(B321,Petróleo!N:O,2,FALSE),"")</f>
        <v>1694</v>
      </c>
      <c r="J321" s="1">
        <f>IFERROR(VLOOKUP(B321,Petróleo!P:Q,2,FALSE),"")</f>
        <v>10316</v>
      </c>
      <c r="K321" s="1">
        <f>IFERROR(VLOOKUP(B321,Petróleo!R:S,2,FALSE),"")</f>
        <v>2186</v>
      </c>
      <c r="L321" s="1">
        <f>IFERROR(VLOOKUP(B321,Petróleo!T:U,2,FALSE),"")</f>
        <v>3878</v>
      </c>
      <c r="M321" s="8">
        <f>IFERROR(VLOOKUP(B321,Petróleo!X:Y,2,FALSE),"")</f>
        <v>33580</v>
      </c>
      <c r="N321" s="8">
        <f>IFERROR(VLOOKUP(B321,Petróleo!Z:AA,2,FALSE),"")</f>
        <v>10640</v>
      </c>
      <c r="O321" s="8">
        <f>IFERROR(VLOOKUP(B321,Petróleo!AB:AC,2,FALSE),"")</f>
        <v>3030</v>
      </c>
      <c r="P321" s="8">
        <f>IFERROR(VLOOKUP(B321,Petróleo!AD:AE,2,FALSE),"")</f>
        <v>3620</v>
      </c>
      <c r="Q321" s="8">
        <f>IFERROR(VLOOKUP(B321,Petróleo!AF:AG,2,FALSE),"")</f>
        <v>4480</v>
      </c>
      <c r="R321" s="8">
        <f>IFERROR(VLOOKUP(B321,Petróleo!AH:AI,2,FALSE),"")</f>
        <v>260</v>
      </c>
      <c r="S321" s="8">
        <f>IFERROR(VLOOKUP(B321,Petróleo!AJ:AK,2,FALSE),"")</f>
        <v>1390</v>
      </c>
      <c r="T321" s="8">
        <f>IFERROR(VLOOKUP(B321,Petróleo!AL:AM,2,FALSE),"")</f>
        <v>2190</v>
      </c>
      <c r="U321" s="8">
        <f>IFERROR(VLOOKUP(B321,Petróleo!AN:AO,2,FALSE),"")</f>
        <v>2930</v>
      </c>
      <c r="V321" s="10" t="str">
        <f>IFERROR(VLOOKUP(A321,Petróleo!AR:AT,3,FALSE),"")</f>
        <v/>
      </c>
    </row>
    <row r="322" spans="1:22" x14ac:dyDescent="0.25">
      <c r="A322" s="9" t="str">
        <f t="shared" si="4"/>
        <v>92016</v>
      </c>
      <c r="B322" s="9">
        <v>42643</v>
      </c>
      <c r="C322" s="1">
        <f>IFERROR(VLOOKUP(B322,Petróleo!A:B,2,FALSE),"")</f>
        <v>8547</v>
      </c>
      <c r="D322" s="1">
        <f>IFERROR(VLOOKUP(B322,Estoque_US!D:E,2,FALSE),"")</f>
        <v>-26130</v>
      </c>
      <c r="E322" s="1">
        <f>IFERROR(VLOOKUP(B322,Petróleo!F:G,2,FALSE),"")</f>
        <v>10774</v>
      </c>
      <c r="F322" s="1">
        <f>IFERROR(VLOOKUP(B322,Petróleo!H:I,2,FALSE),"")</f>
        <v>4210</v>
      </c>
      <c r="G322" s="1">
        <f>IFERROR(VLOOKUP(B322,Petróleo!J:K,2,FALSE),"")</f>
        <v>4480</v>
      </c>
      <c r="H322" s="1">
        <f>IFERROR(VLOOKUP(B322,Petróleo!L:M,2,FALSE),"")</f>
        <v>370</v>
      </c>
      <c r="I322" s="1">
        <f>IFERROR(VLOOKUP(B322,Petróleo!N:O,2,FALSE),"")</f>
        <v>1726</v>
      </c>
      <c r="J322" s="1">
        <f>IFERROR(VLOOKUP(B322,Petróleo!P:Q,2,FALSE),"")</f>
        <v>10729</v>
      </c>
      <c r="K322" s="1">
        <f>IFERROR(VLOOKUP(B322,Petróleo!R:S,2,FALSE),"")</f>
        <v>2175</v>
      </c>
      <c r="L322" s="1">
        <f>IFERROR(VLOOKUP(B322,Petróleo!T:U,2,FALSE),"")</f>
        <v>3892</v>
      </c>
      <c r="M322" s="8">
        <f>IFERROR(VLOOKUP(B322,Petróleo!X:Y,2,FALSE),"")</f>
        <v>33850</v>
      </c>
      <c r="N322" s="8">
        <f>IFERROR(VLOOKUP(B322,Petróleo!Z:AA,2,FALSE),"")</f>
        <v>10600</v>
      </c>
      <c r="O322" s="8">
        <f>IFERROR(VLOOKUP(B322,Petróleo!AB:AC,2,FALSE),"")</f>
        <v>3110</v>
      </c>
      <c r="P322" s="8">
        <f>IFERROR(VLOOKUP(B322,Petróleo!AD:AE,2,FALSE),"")</f>
        <v>3630</v>
      </c>
      <c r="Q322" s="8">
        <f>IFERROR(VLOOKUP(B322,Petróleo!AF:AG,2,FALSE),"")</f>
        <v>4540</v>
      </c>
      <c r="R322" s="8">
        <f>IFERROR(VLOOKUP(B322,Petróleo!AH:AI,2,FALSE),"")</f>
        <v>340</v>
      </c>
      <c r="S322" s="8">
        <f>IFERROR(VLOOKUP(B322,Petróleo!AJ:AK,2,FALSE),"")</f>
        <v>1500</v>
      </c>
      <c r="T322" s="8">
        <f>IFERROR(VLOOKUP(B322,Petróleo!AL:AM,2,FALSE),"")</f>
        <v>2200</v>
      </c>
      <c r="U322" s="8">
        <f>IFERROR(VLOOKUP(B322,Petróleo!AN:AO,2,FALSE),"")</f>
        <v>2940</v>
      </c>
      <c r="V322" s="10" t="str">
        <f>IFERROR(VLOOKUP(A322,Petróleo!AR:AT,3,FALSE),"")</f>
        <v/>
      </c>
    </row>
    <row r="323" spans="1:22" x14ac:dyDescent="0.25">
      <c r="A323" s="9" t="str">
        <f t="shared" ref="A323:A386" si="5">MONTH(B323)&amp;YEAR(B323)</f>
        <v>102016</v>
      </c>
      <c r="B323" s="9">
        <v>42674</v>
      </c>
      <c r="C323" s="1">
        <f>IFERROR(VLOOKUP(B323,Petróleo!A:B,2,FALSE),"")</f>
        <v>8809</v>
      </c>
      <c r="D323" s="1">
        <f>IFERROR(VLOOKUP(B323,Estoque_US!D:E,2,FALSE),"")</f>
        <v>13470</v>
      </c>
      <c r="E323" s="1">
        <f>IFERROR(VLOOKUP(B323,Petróleo!F:G,2,FALSE),"")</f>
        <v>10764</v>
      </c>
      <c r="F323" s="1">
        <f>IFERROR(VLOOKUP(B323,Petróleo!H:I,2,FALSE),"")</f>
        <v>4312</v>
      </c>
      <c r="G323" s="1">
        <f>IFERROR(VLOOKUP(B323,Petróleo!J:K,2,FALSE),"")</f>
        <v>4565</v>
      </c>
      <c r="H323" s="1">
        <f>IFERROR(VLOOKUP(B323,Petróleo!L:M,2,FALSE),"")</f>
        <v>610</v>
      </c>
      <c r="I323" s="1">
        <f>IFERROR(VLOOKUP(B323,Petróleo!N:O,2,FALSE),"")</f>
        <v>1854</v>
      </c>
      <c r="J323" s="1">
        <f>IFERROR(VLOOKUP(B323,Petróleo!P:Q,2,FALSE),"")</f>
        <v>10826</v>
      </c>
      <c r="K323" s="1">
        <f>IFERROR(VLOOKUP(B323,Petróleo!R:S,2,FALSE),"")</f>
        <v>2164</v>
      </c>
      <c r="L323" s="1">
        <f>IFERROR(VLOOKUP(B323,Petróleo!T:U,2,FALSE),"")</f>
        <v>3784</v>
      </c>
      <c r="M323" s="8">
        <f>IFERROR(VLOOKUP(B323,Petróleo!X:Y,2,FALSE),"")</f>
        <v>33960</v>
      </c>
      <c r="N323" s="8">
        <f>IFERROR(VLOOKUP(B323,Petróleo!Z:AA,2,FALSE),"")</f>
        <v>10580</v>
      </c>
      <c r="O323" s="8">
        <f>IFERROR(VLOOKUP(B323,Petróleo!AB:AC,2,FALSE),"")</f>
        <v>3130</v>
      </c>
      <c r="P323" s="8">
        <f>IFERROR(VLOOKUP(B323,Petróleo!AD:AE,2,FALSE),"")</f>
        <v>3680</v>
      </c>
      <c r="Q323" s="8">
        <f>IFERROR(VLOOKUP(B323,Petróleo!AF:AG,2,FALSE),"")</f>
        <v>4590</v>
      </c>
      <c r="R323" s="8">
        <f>IFERROR(VLOOKUP(B323,Petróleo!AH:AI,2,FALSE),"")</f>
        <v>520</v>
      </c>
      <c r="S323" s="8">
        <f>IFERROR(VLOOKUP(B323,Petróleo!AJ:AK,2,FALSE),"")</f>
        <v>1600</v>
      </c>
      <c r="T323" s="8">
        <f>IFERROR(VLOOKUP(B323,Petróleo!AL:AM,2,FALSE),"")</f>
        <v>2140</v>
      </c>
      <c r="U323" s="8">
        <f>IFERROR(VLOOKUP(B323,Petróleo!AN:AO,2,FALSE),"")</f>
        <v>2960</v>
      </c>
      <c r="V323" s="10" t="str">
        <f>IFERROR(VLOOKUP(A323,Petróleo!AR:AT,3,FALSE),"")</f>
        <v/>
      </c>
    </row>
    <row r="324" spans="1:22" x14ac:dyDescent="0.25">
      <c r="A324" s="9" t="str">
        <f t="shared" si="5"/>
        <v>112016</v>
      </c>
      <c r="B324" s="9">
        <v>42704</v>
      </c>
      <c r="C324" s="1">
        <f>IFERROR(VLOOKUP(B324,Petróleo!A:B,2,FALSE),"")</f>
        <v>8908</v>
      </c>
      <c r="D324" s="1">
        <f>IFERROR(VLOOKUP(B324,Estoque_US!D:E,2,FALSE),"")</f>
        <v>5567</v>
      </c>
      <c r="E324" s="1">
        <f>IFERROR(VLOOKUP(B324,Petróleo!F:G,2,FALSE),"")</f>
        <v>10814</v>
      </c>
      <c r="F324" s="1">
        <f>IFERROR(VLOOKUP(B324,Petróleo!H:I,2,FALSE),"")</f>
        <v>4356</v>
      </c>
      <c r="G324" s="1">
        <f>IFERROR(VLOOKUP(B324,Petróleo!J:K,2,FALSE),"")</f>
        <v>4645</v>
      </c>
      <c r="H324" s="1">
        <f>IFERROR(VLOOKUP(B324,Petróleo!L:M,2,FALSE),"")</f>
        <v>640</v>
      </c>
      <c r="I324" s="1">
        <f>IFERROR(VLOOKUP(B324,Petróleo!N:O,2,FALSE),"")</f>
        <v>1984</v>
      </c>
      <c r="J324" s="1">
        <f>IFERROR(VLOOKUP(B324,Petróleo!P:Q,2,FALSE),"")</f>
        <v>10832</v>
      </c>
      <c r="K324" s="1">
        <f>IFERROR(VLOOKUP(B324,Petróleo!R:S,2,FALSE),"")</f>
        <v>2153</v>
      </c>
      <c r="L324" s="1">
        <f>IFERROR(VLOOKUP(B324,Petróleo!T:U,2,FALSE),"")</f>
        <v>3918</v>
      </c>
      <c r="M324" s="8">
        <f>IFERROR(VLOOKUP(B324,Petróleo!X:Y,2,FALSE),"")</f>
        <v>34140</v>
      </c>
      <c r="N324" s="8">
        <f>IFERROR(VLOOKUP(B324,Petróleo!Z:AA,2,FALSE),"")</f>
        <v>10530</v>
      </c>
      <c r="O324" s="8">
        <f>IFERROR(VLOOKUP(B324,Petróleo!AB:AC,2,FALSE),"")</f>
        <v>3060</v>
      </c>
      <c r="P324" s="8">
        <f>IFERROR(VLOOKUP(B324,Petróleo!AD:AE,2,FALSE),"")</f>
        <v>3750</v>
      </c>
      <c r="Q324" s="8">
        <f>IFERROR(VLOOKUP(B324,Petróleo!AF:AG,2,FALSE),"")</f>
        <v>4620</v>
      </c>
      <c r="R324" s="8">
        <f>IFERROR(VLOOKUP(B324,Petróleo!AH:AI,2,FALSE),"")</f>
        <v>580</v>
      </c>
      <c r="S324" s="8">
        <f>IFERROR(VLOOKUP(B324,Petróleo!AJ:AK,2,FALSE),"")</f>
        <v>1650</v>
      </c>
      <c r="T324" s="8">
        <f>IFERROR(VLOOKUP(B324,Petróleo!AL:AM,2,FALSE),"")</f>
        <v>2120</v>
      </c>
      <c r="U324" s="8">
        <f>IFERROR(VLOOKUP(B324,Petróleo!AN:AO,2,FALSE),"")</f>
        <v>2910</v>
      </c>
      <c r="V324" s="10" t="str">
        <f>IFERROR(VLOOKUP(A324,Petróleo!AR:AT,3,FALSE),"")</f>
        <v/>
      </c>
    </row>
    <row r="325" spans="1:22" x14ac:dyDescent="0.25">
      <c r="A325" s="9" t="str">
        <f t="shared" si="5"/>
        <v>122016</v>
      </c>
      <c r="B325" s="9">
        <v>42735</v>
      </c>
      <c r="C325" s="1">
        <f>IFERROR(VLOOKUP(B325,Petróleo!A:B,2,FALSE),"")</f>
        <v>8820</v>
      </c>
      <c r="D325" s="1">
        <f>IFERROR(VLOOKUP(B325,Estoque_US!D:E,2,FALSE),"")</f>
        <v>-9133</v>
      </c>
      <c r="E325" s="1">
        <f>IFERROR(VLOOKUP(B325,Petróleo!F:G,2,FALSE),"")</f>
        <v>10714</v>
      </c>
      <c r="F325" s="1">
        <f>IFERROR(VLOOKUP(B325,Petróleo!H:I,2,FALSE),"")</f>
        <v>4450</v>
      </c>
      <c r="G325" s="1">
        <f>IFERROR(VLOOKUP(B325,Petróleo!J:K,2,FALSE),"")</f>
        <v>4685</v>
      </c>
      <c r="H325" s="1">
        <f>IFERROR(VLOOKUP(B325,Petróleo!L:M,2,FALSE),"")</f>
        <v>680</v>
      </c>
      <c r="I325" s="1">
        <f>IFERROR(VLOOKUP(B325,Petróleo!N:O,2,FALSE),"")</f>
        <v>1684</v>
      </c>
      <c r="J325" s="1">
        <f>IFERROR(VLOOKUP(B325,Petróleo!P:Q,2,FALSE),"")</f>
        <v>10830</v>
      </c>
      <c r="K325" s="1">
        <f>IFERROR(VLOOKUP(B325,Petróleo!R:S,2,FALSE),"")</f>
        <v>2122</v>
      </c>
      <c r="L325" s="1">
        <f>IFERROR(VLOOKUP(B325,Petróleo!T:U,2,FALSE),"")</f>
        <v>3937</v>
      </c>
      <c r="M325" s="8">
        <f>IFERROR(VLOOKUP(B325,Petróleo!X:Y,2,FALSE),"")</f>
        <v>33140</v>
      </c>
      <c r="N325" s="8">
        <f>IFERROR(VLOOKUP(B325,Petróleo!Z:AA,2,FALSE),"")</f>
        <v>10480</v>
      </c>
      <c r="O325" s="8">
        <f>IFERROR(VLOOKUP(B325,Petróleo!AB:AC,2,FALSE),"")</f>
        <v>3070</v>
      </c>
      <c r="P325" s="8">
        <f>IFERROR(VLOOKUP(B325,Petróleo!AD:AE,2,FALSE),"")</f>
        <v>3730</v>
      </c>
      <c r="Q325" s="8">
        <f>IFERROR(VLOOKUP(B325,Petróleo!AF:AG,2,FALSE),"")</f>
        <v>4630</v>
      </c>
      <c r="R325" s="8">
        <f>IFERROR(VLOOKUP(B325,Petróleo!AH:AI,2,FALSE),"")</f>
        <v>630</v>
      </c>
      <c r="S325" s="8">
        <f>IFERROR(VLOOKUP(B325,Petróleo!AJ:AK,2,FALSE),"")</f>
        <v>1500</v>
      </c>
      <c r="T325" s="8">
        <f>IFERROR(VLOOKUP(B325,Petróleo!AL:AM,2,FALSE),"")</f>
        <v>2080</v>
      </c>
      <c r="U325" s="8">
        <f>IFERROR(VLOOKUP(B325,Petróleo!AN:AO,2,FALSE),"")</f>
        <v>2860</v>
      </c>
      <c r="V325" s="10" t="str">
        <f>IFERROR(VLOOKUP(A325,Petróleo!AR:AT,3,FALSE),"")</f>
        <v/>
      </c>
    </row>
    <row r="326" spans="1:22" x14ac:dyDescent="0.25">
      <c r="A326" s="9" t="str">
        <f t="shared" si="5"/>
        <v>12017</v>
      </c>
      <c r="B326" s="9">
        <v>42766</v>
      </c>
      <c r="C326" s="1">
        <f>IFERROR(VLOOKUP(B326,Petróleo!A:B,2,FALSE),"")</f>
        <v>8875</v>
      </c>
      <c r="D326" s="1">
        <f>IFERROR(VLOOKUP(B326,Estoque_US!D:E,2,FALSE),"")</f>
        <v>15750</v>
      </c>
      <c r="E326" s="1">
        <f>IFERROR(VLOOKUP(B326,Petróleo!F:G,2,FALSE),"")</f>
        <v>10196</v>
      </c>
      <c r="F326" s="1">
        <f>IFERROR(VLOOKUP(B326,Petróleo!H:I,2,FALSE),"")</f>
        <v>4435</v>
      </c>
      <c r="G326" s="1">
        <f>IFERROR(VLOOKUP(B326,Petróleo!J:K,2,FALSE),"")</f>
        <v>4565</v>
      </c>
      <c r="H326" s="1">
        <f>IFERROR(VLOOKUP(B326,Petróleo!L:M,2,FALSE),"")</f>
        <v>740</v>
      </c>
      <c r="I326" s="1">
        <f>IFERROR(VLOOKUP(B326,Petróleo!N:O,2,FALSE),"")</f>
        <v>1849</v>
      </c>
      <c r="J326" s="1">
        <f>IFERROR(VLOOKUP(B326,Petróleo!P:Q,2,FALSE),"")</f>
        <v>10829.995000000001</v>
      </c>
      <c r="K326" s="1">
        <f>IFERROR(VLOOKUP(B326,Petróleo!R:S,2,FALSE),"")</f>
        <v>2076</v>
      </c>
      <c r="L326" s="1">
        <f>IFERROR(VLOOKUP(B326,Petróleo!T:U,2,FALSE),"")</f>
        <v>3759.2150000000001</v>
      </c>
      <c r="M326" s="8">
        <f>IFERROR(VLOOKUP(B326,Petróleo!X:Y,2,FALSE),"")</f>
        <v>32230</v>
      </c>
      <c r="N326" s="8">
        <f>IFERROR(VLOOKUP(B326,Petróleo!Z:AA,2,FALSE),"")</f>
        <v>9870</v>
      </c>
      <c r="O326" s="8">
        <f>IFERROR(VLOOKUP(B326,Petróleo!AB:AC,2,FALSE),"")</f>
        <v>2950</v>
      </c>
      <c r="P326" s="8">
        <f>IFERROR(VLOOKUP(B326,Petróleo!AD:AE,2,FALSE),"")</f>
        <v>3800</v>
      </c>
      <c r="Q326" s="8">
        <f>IFERROR(VLOOKUP(B326,Petróleo!AF:AG,2,FALSE),"")</f>
        <v>4490</v>
      </c>
      <c r="R326" s="8">
        <f>IFERROR(VLOOKUP(B326,Petróleo!AH:AI,2,FALSE),"")</f>
        <v>690</v>
      </c>
      <c r="S326" s="8">
        <f>IFERROR(VLOOKUP(B326,Petróleo!AJ:AK,2,FALSE),"")</f>
        <v>1640</v>
      </c>
      <c r="T326" s="8">
        <f>IFERROR(VLOOKUP(B326,Petróleo!AL:AM,2,FALSE),"")</f>
        <v>2030</v>
      </c>
      <c r="U326" s="8">
        <f>IFERROR(VLOOKUP(B326,Petróleo!AN:AO,2,FALSE),"")</f>
        <v>2710</v>
      </c>
      <c r="V326" s="10" t="str">
        <f>IFERROR(VLOOKUP(A326,Petróleo!AR:AT,3,FALSE),"")</f>
        <v/>
      </c>
    </row>
    <row r="327" spans="1:22" x14ac:dyDescent="0.25">
      <c r="A327" s="9" t="str">
        <f t="shared" si="5"/>
        <v>22017</v>
      </c>
      <c r="B327" s="9">
        <v>42794</v>
      </c>
      <c r="C327" s="1">
        <f>IFERROR(VLOOKUP(B327,Petróleo!A:B,2,FALSE),"")</f>
        <v>9097</v>
      </c>
      <c r="D327" s="1">
        <f>IFERROR(VLOOKUP(B327,Estoque_US!D:E,2,FALSE),"")</f>
        <v>25422</v>
      </c>
      <c r="E327" s="1">
        <f>IFERROR(VLOOKUP(B327,Petróleo!F:G,2,FALSE),"")</f>
        <v>10216</v>
      </c>
      <c r="F327" s="1">
        <f>IFERROR(VLOOKUP(B327,Petróleo!H:I,2,FALSE),"")</f>
        <v>4435</v>
      </c>
      <c r="G327" s="1">
        <f>IFERROR(VLOOKUP(B327,Petróleo!J:K,2,FALSE),"")</f>
        <v>4445</v>
      </c>
      <c r="H327" s="1">
        <f>IFERROR(VLOOKUP(B327,Petróleo!L:M,2,FALSE),"")</f>
        <v>750</v>
      </c>
      <c r="I327" s="1">
        <f>IFERROR(VLOOKUP(B327,Petróleo!N:O,2,FALSE),"")</f>
        <v>1869</v>
      </c>
      <c r="J327" s="1">
        <f>IFERROR(VLOOKUP(B327,Petróleo!P:Q,2,FALSE),"")</f>
        <v>10551.472</v>
      </c>
      <c r="K327" s="1">
        <f>IFERROR(VLOOKUP(B327,Petróleo!R:S,2,FALSE),"")</f>
        <v>2065</v>
      </c>
      <c r="L327" s="1">
        <f>IFERROR(VLOOKUP(B327,Petróleo!T:U,2,FALSE),"")</f>
        <v>3798.4450000000002</v>
      </c>
      <c r="M327" s="8">
        <f>IFERROR(VLOOKUP(B327,Petróleo!X:Y,2,FALSE),"")</f>
        <v>32295</v>
      </c>
      <c r="N327" s="8">
        <f>IFERROR(VLOOKUP(B327,Petróleo!Z:AA,2,FALSE),"")</f>
        <v>9940</v>
      </c>
      <c r="O327" s="8">
        <f>IFERROR(VLOOKUP(B327,Petróleo!AB:AC,2,FALSE),"")</f>
        <v>2950</v>
      </c>
      <c r="P327" s="8">
        <f>IFERROR(VLOOKUP(B327,Petróleo!AD:AE,2,FALSE),"")</f>
        <v>3780</v>
      </c>
      <c r="Q327" s="8">
        <f>IFERROR(VLOOKUP(B327,Petróleo!AF:AG,2,FALSE),"")</f>
        <v>4440</v>
      </c>
      <c r="R327" s="8">
        <f>IFERROR(VLOOKUP(B327,Petróleo!AH:AI,2,FALSE),"")</f>
        <v>700</v>
      </c>
      <c r="S327" s="8">
        <f>IFERROR(VLOOKUP(B327,Petróleo!AJ:AK,2,FALSE),"")</f>
        <v>1680</v>
      </c>
      <c r="T327" s="8">
        <f>IFERROR(VLOOKUP(B327,Petróleo!AL:AM,2,FALSE),"")</f>
        <v>2030</v>
      </c>
      <c r="U327" s="8">
        <f>IFERROR(VLOOKUP(B327,Petróleo!AN:AO,2,FALSE),"")</f>
        <v>2710</v>
      </c>
      <c r="V327" s="10" t="str">
        <f>IFERROR(VLOOKUP(A327,Petróleo!AR:AT,3,FALSE),"")</f>
        <v/>
      </c>
    </row>
    <row r="328" spans="1:22" x14ac:dyDescent="0.25">
      <c r="A328" s="9" t="str">
        <f t="shared" si="5"/>
        <v>32017</v>
      </c>
      <c r="B328" s="9">
        <v>42825</v>
      </c>
      <c r="C328" s="1">
        <f>IFERROR(VLOOKUP(B328,Petróleo!A:B,2,FALSE),"")</f>
        <v>9168</v>
      </c>
      <c r="D328" s="1">
        <f>IFERROR(VLOOKUP(B328,Estoque_US!D:E,2,FALSE),"")</f>
        <v>15359</v>
      </c>
      <c r="E328" s="1">
        <f>IFERROR(VLOOKUP(B328,Petróleo!F:G,2,FALSE),"")</f>
        <v>10166</v>
      </c>
      <c r="F328" s="1">
        <f>IFERROR(VLOOKUP(B328,Petróleo!H:I,2,FALSE),"")</f>
        <v>4445</v>
      </c>
      <c r="G328" s="1">
        <f>IFERROR(VLOOKUP(B328,Petróleo!J:K,2,FALSE),"")</f>
        <v>4430</v>
      </c>
      <c r="H328" s="1">
        <f>IFERROR(VLOOKUP(B328,Petróleo!L:M,2,FALSE),"")</f>
        <v>650</v>
      </c>
      <c r="I328" s="1">
        <f>IFERROR(VLOOKUP(B328,Petróleo!N:O,2,FALSE),"")</f>
        <v>1730</v>
      </c>
      <c r="J328" s="1">
        <f>IFERROR(VLOOKUP(B328,Petróleo!P:Q,2,FALSE),"")</f>
        <v>10733.393</v>
      </c>
      <c r="K328" s="1">
        <f>IFERROR(VLOOKUP(B328,Petróleo!R:S,2,FALSE),"")</f>
        <v>2064</v>
      </c>
      <c r="L328" s="1">
        <f>IFERROR(VLOOKUP(B328,Petróleo!T:U,2,FALSE),"")</f>
        <v>3817.672</v>
      </c>
      <c r="M328" s="8">
        <f>IFERROR(VLOOKUP(B328,Petróleo!X:Y,2,FALSE),"")</f>
        <v>31935</v>
      </c>
      <c r="N328" s="8">
        <f>IFERROR(VLOOKUP(B328,Petróleo!Z:AA,2,FALSE),"")</f>
        <v>9940</v>
      </c>
      <c r="O328" s="8">
        <f>IFERROR(VLOOKUP(B328,Petróleo!AB:AC,2,FALSE),"")</f>
        <v>2915</v>
      </c>
      <c r="P328" s="8">
        <f>IFERROR(VLOOKUP(B328,Petróleo!AD:AE,2,FALSE),"")</f>
        <v>3785</v>
      </c>
      <c r="Q328" s="8">
        <f>IFERROR(VLOOKUP(B328,Petróleo!AF:AG,2,FALSE),"")</f>
        <v>4430</v>
      </c>
      <c r="R328" s="8">
        <f>IFERROR(VLOOKUP(B328,Petróleo!AH:AI,2,FALSE),"")</f>
        <v>620</v>
      </c>
      <c r="S328" s="8">
        <f>IFERROR(VLOOKUP(B328,Petróleo!AJ:AK,2,FALSE),"")</f>
        <v>1550</v>
      </c>
      <c r="T328" s="8">
        <f>IFERROR(VLOOKUP(B328,Petróleo!AL:AM,2,FALSE),"")</f>
        <v>2000</v>
      </c>
      <c r="U328" s="8">
        <f>IFERROR(VLOOKUP(B328,Petróleo!AN:AO,2,FALSE),"")</f>
        <v>2705</v>
      </c>
      <c r="V328" s="10" t="str">
        <f>IFERROR(VLOOKUP(A328,Petróleo!AR:AT,3,FALSE),"")</f>
        <v/>
      </c>
    </row>
    <row r="329" spans="1:22" x14ac:dyDescent="0.25">
      <c r="A329" s="9" t="str">
        <f t="shared" si="5"/>
        <v>42017</v>
      </c>
      <c r="B329" s="9">
        <v>42855</v>
      </c>
      <c r="C329" s="1">
        <f>IFERROR(VLOOKUP(B329,Petróleo!A:B,2,FALSE),"")</f>
        <v>9105</v>
      </c>
      <c r="D329" s="1">
        <f>IFERROR(VLOOKUP(B329,Estoque_US!D:E,2,FALSE),"")</f>
        <v>-7771</v>
      </c>
      <c r="E329" s="1">
        <f>IFERROR(VLOOKUP(B329,Petróleo!F:G,2,FALSE),"")</f>
        <v>10196</v>
      </c>
      <c r="F329" s="1">
        <f>IFERROR(VLOOKUP(B329,Petróleo!H:I,2,FALSE),"")</f>
        <v>4455</v>
      </c>
      <c r="G329" s="1">
        <f>IFERROR(VLOOKUP(B329,Petróleo!J:K,2,FALSE),"")</f>
        <v>4425</v>
      </c>
      <c r="H329" s="1">
        <f>IFERROR(VLOOKUP(B329,Petróleo!L:M,2,FALSE),"")</f>
        <v>595</v>
      </c>
      <c r="I329" s="1">
        <f>IFERROR(VLOOKUP(B329,Petróleo!N:O,2,FALSE),"")</f>
        <v>1780</v>
      </c>
      <c r="J329" s="1">
        <f>IFERROR(VLOOKUP(B329,Petróleo!P:Q,2,FALSE),"")</f>
        <v>10712.537</v>
      </c>
      <c r="K329" s="1">
        <f>IFERROR(VLOOKUP(B329,Petróleo!R:S,2,FALSE),"")</f>
        <v>2053</v>
      </c>
      <c r="L329" s="1">
        <f>IFERROR(VLOOKUP(B329,Petróleo!T:U,2,FALSE),"")</f>
        <v>3777.0830000000001</v>
      </c>
      <c r="M329" s="8">
        <f>IFERROR(VLOOKUP(B329,Petróleo!X:Y,2,FALSE),"")</f>
        <v>31895</v>
      </c>
      <c r="N329" s="8">
        <f>IFERROR(VLOOKUP(B329,Petróleo!Z:AA,2,FALSE),"")</f>
        <v>9950</v>
      </c>
      <c r="O329" s="8">
        <f>IFERROR(VLOOKUP(B329,Petróleo!AB:AC,2,FALSE),"")</f>
        <v>2900</v>
      </c>
      <c r="P329" s="8">
        <f>IFERROR(VLOOKUP(B329,Petróleo!AD:AE,2,FALSE),"")</f>
        <v>3760</v>
      </c>
      <c r="Q329" s="8">
        <f>IFERROR(VLOOKUP(B329,Petróleo!AF:AG,2,FALSE),"")</f>
        <v>4410</v>
      </c>
      <c r="R329" s="8">
        <f>IFERROR(VLOOKUP(B329,Petróleo!AH:AI,2,FALSE),"")</f>
        <v>550</v>
      </c>
      <c r="S329" s="8">
        <f>IFERROR(VLOOKUP(B329,Petróleo!AJ:AK,2,FALSE),"")</f>
        <v>1600</v>
      </c>
      <c r="T329" s="8">
        <f>IFERROR(VLOOKUP(B329,Petróleo!AL:AM,2,FALSE),"")</f>
        <v>1980</v>
      </c>
      <c r="U329" s="8">
        <f>IFERROR(VLOOKUP(B329,Petróleo!AN:AO,2,FALSE),"")</f>
        <v>2700</v>
      </c>
      <c r="V329" s="10" t="str">
        <f>IFERROR(VLOOKUP(A329,Petróleo!AR:AT,3,FALSE),"")</f>
        <v/>
      </c>
    </row>
    <row r="330" spans="1:22" x14ac:dyDescent="0.25">
      <c r="A330" s="9" t="str">
        <f t="shared" si="5"/>
        <v>52017</v>
      </c>
      <c r="B330" s="9">
        <v>42886</v>
      </c>
      <c r="C330" s="1">
        <f>IFERROR(VLOOKUP(B330,Petróleo!A:B,2,FALSE),"")</f>
        <v>9189</v>
      </c>
      <c r="D330" s="1">
        <f>IFERROR(VLOOKUP(B330,Estoque_US!D:E,2,FALSE),"")</f>
        <v>-17860</v>
      </c>
      <c r="E330" s="1">
        <f>IFERROR(VLOOKUP(B330,Petróleo!F:G,2,FALSE),"")</f>
        <v>10266</v>
      </c>
      <c r="F330" s="1">
        <f>IFERROR(VLOOKUP(B330,Petróleo!H:I,2,FALSE),"")</f>
        <v>4455</v>
      </c>
      <c r="G330" s="1">
        <f>IFERROR(VLOOKUP(B330,Petróleo!J:K,2,FALSE),"")</f>
        <v>4475</v>
      </c>
      <c r="H330" s="1">
        <f>IFERROR(VLOOKUP(B330,Petróleo!L:M,2,FALSE),"")</f>
        <v>840</v>
      </c>
      <c r="I330" s="1">
        <f>IFERROR(VLOOKUP(B330,Petróleo!N:O,2,FALSE),"")</f>
        <v>1900</v>
      </c>
      <c r="J330" s="1">
        <f>IFERROR(VLOOKUP(B330,Petróleo!P:Q,2,FALSE),"")</f>
        <v>10654.093999999999</v>
      </c>
      <c r="K330" s="1">
        <f>IFERROR(VLOOKUP(B330,Petróleo!R:S,2,FALSE),"")</f>
        <v>2052</v>
      </c>
      <c r="L330" s="1">
        <f>IFERROR(VLOOKUP(B330,Petróleo!T:U,2,FALSE),"")</f>
        <v>3899.096</v>
      </c>
      <c r="M330" s="8">
        <f>IFERROR(VLOOKUP(B330,Petróleo!X:Y,2,FALSE),"")</f>
        <v>32290</v>
      </c>
      <c r="N330" s="8">
        <f>IFERROR(VLOOKUP(B330,Petróleo!Z:AA,2,FALSE),"")</f>
        <v>9930</v>
      </c>
      <c r="O330" s="8">
        <f>IFERROR(VLOOKUP(B330,Petróleo!AB:AC,2,FALSE),"")</f>
        <v>2860</v>
      </c>
      <c r="P330" s="8">
        <f>IFERROR(VLOOKUP(B330,Petróleo!AD:AE,2,FALSE),"")</f>
        <v>3760</v>
      </c>
      <c r="Q330" s="8">
        <f>IFERROR(VLOOKUP(B330,Petróleo!AF:AG,2,FALSE),"")</f>
        <v>4420</v>
      </c>
      <c r="R330" s="8">
        <f>IFERROR(VLOOKUP(B330,Petróleo!AH:AI,2,FALSE),"")</f>
        <v>760</v>
      </c>
      <c r="S330" s="8">
        <f>IFERROR(VLOOKUP(B330,Petróleo!AJ:AK,2,FALSE),"")</f>
        <v>1700</v>
      </c>
      <c r="T330" s="8">
        <f>IFERROR(VLOOKUP(B330,Petróleo!AL:AM,2,FALSE),"")</f>
        <v>1980</v>
      </c>
      <c r="U330" s="8">
        <f>IFERROR(VLOOKUP(B330,Petróleo!AN:AO,2,FALSE),"")</f>
        <v>2710</v>
      </c>
      <c r="V330" s="10" t="str">
        <f>IFERROR(VLOOKUP(A330,Petróleo!AR:AT,3,FALSE),"")</f>
        <v/>
      </c>
    </row>
    <row r="331" spans="1:22" x14ac:dyDescent="0.25">
      <c r="A331" s="9" t="str">
        <f t="shared" si="5"/>
        <v>62017</v>
      </c>
      <c r="B331" s="9">
        <v>42916</v>
      </c>
      <c r="C331" s="1">
        <f>IFERROR(VLOOKUP(B331,Petróleo!A:B,2,FALSE),"")</f>
        <v>9113</v>
      </c>
      <c r="D331" s="1">
        <f>IFERROR(VLOOKUP(B331,Estoque_US!D:E,2,FALSE),"")</f>
        <v>-6998</v>
      </c>
      <c r="E331" s="1">
        <f>IFERROR(VLOOKUP(B331,Petróleo!F:G,2,FALSE),"")</f>
        <v>10466</v>
      </c>
      <c r="F331" s="1">
        <f>IFERROR(VLOOKUP(B331,Petróleo!H:I,2,FALSE),"")</f>
        <v>4465</v>
      </c>
      <c r="G331" s="1">
        <f>IFERROR(VLOOKUP(B331,Petróleo!J:K,2,FALSE),"")</f>
        <v>4490</v>
      </c>
      <c r="H331" s="1">
        <f>IFERROR(VLOOKUP(B331,Petróleo!L:M,2,FALSE),"")</f>
        <v>910</v>
      </c>
      <c r="I331" s="1">
        <f>IFERROR(VLOOKUP(B331,Petróleo!N:O,2,FALSE),"")</f>
        <v>1945</v>
      </c>
      <c r="J331" s="1">
        <f>IFERROR(VLOOKUP(B331,Petróleo!P:Q,2,FALSE),"")</f>
        <v>10602.77</v>
      </c>
      <c r="K331" s="1">
        <f>IFERROR(VLOOKUP(B331,Petróleo!R:S,2,FALSE),"")</f>
        <v>2031</v>
      </c>
      <c r="L331" s="1">
        <f>IFERROR(VLOOKUP(B331,Petróleo!T:U,2,FALSE),"")</f>
        <v>3780.386</v>
      </c>
      <c r="M331" s="8">
        <f>IFERROR(VLOOKUP(B331,Petróleo!X:Y,2,FALSE),"")</f>
        <v>32660</v>
      </c>
      <c r="N331" s="8">
        <f>IFERROR(VLOOKUP(B331,Petróleo!Z:AA,2,FALSE),"")</f>
        <v>10020</v>
      </c>
      <c r="O331" s="8">
        <f>IFERROR(VLOOKUP(B331,Petróleo!AB:AC,2,FALSE),"")</f>
        <v>2900</v>
      </c>
      <c r="P331" s="8">
        <f>IFERROR(VLOOKUP(B331,Petróleo!AD:AE,2,FALSE),"")</f>
        <v>3760</v>
      </c>
      <c r="Q331" s="8">
        <f>IFERROR(VLOOKUP(B331,Petróleo!AF:AG,2,FALSE),"")</f>
        <v>4480</v>
      </c>
      <c r="R331" s="8">
        <f>IFERROR(VLOOKUP(B331,Petróleo!AH:AI,2,FALSE),"")</f>
        <v>840</v>
      </c>
      <c r="S331" s="8">
        <f>IFERROR(VLOOKUP(B331,Petróleo!AJ:AK,2,FALSE),"")</f>
        <v>1750</v>
      </c>
      <c r="T331" s="8">
        <f>IFERROR(VLOOKUP(B331,Petróleo!AL:AM,2,FALSE),"")</f>
        <v>1970</v>
      </c>
      <c r="U331" s="8">
        <f>IFERROR(VLOOKUP(B331,Petróleo!AN:AO,2,FALSE),"")</f>
        <v>2710</v>
      </c>
      <c r="V331" s="10" t="str">
        <f>IFERROR(VLOOKUP(A331,Petróleo!AR:AT,3,FALSE),"")</f>
        <v/>
      </c>
    </row>
    <row r="332" spans="1:22" x14ac:dyDescent="0.25">
      <c r="A332" s="9" t="str">
        <f t="shared" si="5"/>
        <v>72017</v>
      </c>
      <c r="B332" s="9">
        <v>42947</v>
      </c>
      <c r="C332" s="1">
        <f>IFERROR(VLOOKUP(B332,Petróleo!A:B,2,FALSE),"")</f>
        <v>9260</v>
      </c>
      <c r="D332" s="1">
        <f>IFERROR(VLOOKUP(B332,Estoque_US!D:E,2,FALSE),"")</f>
        <v>-21026</v>
      </c>
      <c r="E332" s="1">
        <f>IFERROR(VLOOKUP(B332,Petróleo!F:G,2,FALSE),"")</f>
        <v>10416</v>
      </c>
      <c r="F332" s="1">
        <f>IFERROR(VLOOKUP(B332,Petróleo!H:I,2,FALSE),"")</f>
        <v>4465</v>
      </c>
      <c r="G332" s="1">
        <f>IFERROR(VLOOKUP(B332,Petróleo!J:K,2,FALSE),"")</f>
        <v>4500</v>
      </c>
      <c r="H332" s="1">
        <f>IFERROR(VLOOKUP(B332,Petróleo!L:M,2,FALSE),"")</f>
        <v>1065</v>
      </c>
      <c r="I332" s="1">
        <f>IFERROR(VLOOKUP(B332,Petróleo!N:O,2,FALSE),"")</f>
        <v>2022</v>
      </c>
      <c r="J332" s="1">
        <f>IFERROR(VLOOKUP(B332,Petróleo!P:Q,2,FALSE),"")</f>
        <v>10543.358</v>
      </c>
      <c r="K332" s="1">
        <f>IFERROR(VLOOKUP(B332,Petróleo!R:S,2,FALSE),"")</f>
        <v>2030</v>
      </c>
      <c r="L332" s="1">
        <f>IFERROR(VLOOKUP(B332,Petróleo!T:U,2,FALSE),"")</f>
        <v>3714.904</v>
      </c>
      <c r="M332" s="8">
        <f>IFERROR(VLOOKUP(B332,Petróleo!X:Y,2,FALSE),"")</f>
        <v>32850</v>
      </c>
      <c r="N332" s="8">
        <f>IFERROR(VLOOKUP(B332,Petróleo!Z:AA,2,FALSE),"")</f>
        <v>10030</v>
      </c>
      <c r="O332" s="8">
        <f>IFERROR(VLOOKUP(B332,Petróleo!AB:AC,2,FALSE),"")</f>
        <v>2910</v>
      </c>
      <c r="P332" s="8">
        <f>IFERROR(VLOOKUP(B332,Petróleo!AD:AE,2,FALSE),"")</f>
        <v>3790</v>
      </c>
      <c r="Q332" s="8">
        <f>IFERROR(VLOOKUP(B332,Petróleo!AF:AG,2,FALSE),"")</f>
        <v>4500</v>
      </c>
      <c r="R332" s="8">
        <f>IFERROR(VLOOKUP(B332,Petróleo!AH:AI,2,FALSE),"")</f>
        <v>1010</v>
      </c>
      <c r="S332" s="8">
        <f>IFERROR(VLOOKUP(B332,Petróleo!AJ:AK,2,FALSE),"")</f>
        <v>1710</v>
      </c>
      <c r="T332" s="8">
        <f>IFERROR(VLOOKUP(B332,Petróleo!AL:AM,2,FALSE),"")</f>
        <v>1970</v>
      </c>
      <c r="U332" s="8">
        <f>IFERROR(VLOOKUP(B332,Petróleo!AN:AO,2,FALSE),"")</f>
        <v>2700</v>
      </c>
      <c r="V332" s="10" t="str">
        <f>IFERROR(VLOOKUP(A332,Petróleo!AR:AT,3,FALSE),"")</f>
        <v/>
      </c>
    </row>
    <row r="333" spans="1:22" x14ac:dyDescent="0.25">
      <c r="A333" s="9" t="str">
        <f t="shared" si="5"/>
        <v>82017</v>
      </c>
      <c r="B333" s="9">
        <v>42978</v>
      </c>
      <c r="C333" s="1">
        <f>IFERROR(VLOOKUP(B333,Petróleo!A:B,2,FALSE),"")</f>
        <v>9262</v>
      </c>
      <c r="D333" s="1">
        <f>IFERROR(VLOOKUP(B333,Estoque_US!D:E,2,FALSE),"")</f>
        <v>-24115</v>
      </c>
      <c r="E333" s="1">
        <f>IFERROR(VLOOKUP(B333,Petróleo!F:G,2,FALSE),"")</f>
        <v>10356</v>
      </c>
      <c r="F333" s="1">
        <f>IFERROR(VLOOKUP(B333,Petróleo!H:I,2,FALSE),"")</f>
        <v>4465</v>
      </c>
      <c r="G333" s="1">
        <f>IFERROR(VLOOKUP(B333,Petróleo!J:K,2,FALSE),"")</f>
        <v>4525</v>
      </c>
      <c r="H333" s="1">
        <f>IFERROR(VLOOKUP(B333,Petróleo!L:M,2,FALSE),"")</f>
        <v>950</v>
      </c>
      <c r="I333" s="1">
        <f>IFERROR(VLOOKUP(B333,Petróleo!N:O,2,FALSE),"")</f>
        <v>2027.07</v>
      </c>
      <c r="J333" s="1">
        <f>IFERROR(VLOOKUP(B333,Petróleo!P:Q,2,FALSE),"")</f>
        <v>10542.628000000001</v>
      </c>
      <c r="K333" s="1">
        <f>IFERROR(VLOOKUP(B333,Petróleo!R:S,2,FALSE),"")</f>
        <v>2024</v>
      </c>
      <c r="L333" s="1">
        <f>IFERROR(VLOOKUP(B333,Petróleo!T:U,2,FALSE),"")</f>
        <v>3734.1309999999999</v>
      </c>
      <c r="M333" s="8">
        <f>IFERROR(VLOOKUP(B333,Petróleo!X:Y,2,FALSE),"")</f>
        <v>32710</v>
      </c>
      <c r="N333" s="8">
        <f>IFERROR(VLOOKUP(B333,Petróleo!Z:AA,2,FALSE),"")</f>
        <v>10000</v>
      </c>
      <c r="O333" s="8">
        <f>IFERROR(VLOOKUP(B333,Petróleo!AB:AC,2,FALSE),"")</f>
        <v>2920</v>
      </c>
      <c r="P333" s="8">
        <f>IFERROR(VLOOKUP(B333,Petróleo!AD:AE,2,FALSE),"")</f>
        <v>3790</v>
      </c>
      <c r="Q333" s="8">
        <f>IFERROR(VLOOKUP(B333,Petróleo!AF:AG,2,FALSE),"")</f>
        <v>4490</v>
      </c>
      <c r="R333" s="8">
        <f>IFERROR(VLOOKUP(B333,Petróleo!AH:AI,2,FALSE),"")</f>
        <v>890</v>
      </c>
      <c r="S333" s="8">
        <f>IFERROR(VLOOKUP(B333,Petróleo!AJ:AK,2,FALSE),"")</f>
        <v>1750</v>
      </c>
      <c r="T333" s="8">
        <f>IFERROR(VLOOKUP(B333,Petróleo!AL:AM,2,FALSE),"")</f>
        <v>1970</v>
      </c>
      <c r="U333" s="8">
        <f>IFERROR(VLOOKUP(B333,Petróleo!AN:AO,2,FALSE),"")</f>
        <v>2710</v>
      </c>
      <c r="V333" s="10" t="str">
        <f>IFERROR(VLOOKUP(A333,Petróleo!AR:AT,3,FALSE),"")</f>
        <v/>
      </c>
    </row>
    <row r="334" spans="1:22" x14ac:dyDescent="0.25">
      <c r="A334" s="9" t="str">
        <f t="shared" si="5"/>
        <v>92017</v>
      </c>
      <c r="B334" s="9">
        <v>43008</v>
      </c>
      <c r="C334" s="1">
        <f>IFERROR(VLOOKUP(B334,Petróleo!A:B,2,FALSE),"")</f>
        <v>9513</v>
      </c>
      <c r="D334" s="1">
        <f>IFERROR(VLOOKUP(B334,Estoque_US!D:E,2,FALSE),"")</f>
        <v>7190</v>
      </c>
      <c r="E334" s="1">
        <f>IFERROR(VLOOKUP(B334,Petróleo!F:G,2,FALSE),"")</f>
        <v>10406</v>
      </c>
      <c r="F334" s="1">
        <f>IFERROR(VLOOKUP(B334,Petróleo!H:I,2,FALSE),"")</f>
        <v>4475</v>
      </c>
      <c r="G334" s="1">
        <f>IFERROR(VLOOKUP(B334,Petróleo!J:K,2,FALSE),"")</f>
        <v>4565</v>
      </c>
      <c r="H334" s="1">
        <f>IFERROR(VLOOKUP(B334,Petróleo!L:M,2,FALSE),"")</f>
        <v>985</v>
      </c>
      <c r="I334" s="1">
        <f>IFERROR(VLOOKUP(B334,Petróleo!N:O,2,FALSE),"")</f>
        <v>2038.07</v>
      </c>
      <c r="J334" s="1">
        <f>IFERROR(VLOOKUP(B334,Petróleo!P:Q,2,FALSE),"")</f>
        <v>10546.076999999999</v>
      </c>
      <c r="K334" s="1">
        <f>IFERROR(VLOOKUP(B334,Petróleo!R:S,2,FALSE),"")</f>
        <v>2008</v>
      </c>
      <c r="L334" s="1">
        <f>IFERROR(VLOOKUP(B334,Petróleo!T:U,2,FALSE),"")</f>
        <v>3733.6019999999999</v>
      </c>
      <c r="M334" s="8">
        <f>IFERROR(VLOOKUP(B334,Petróleo!X:Y,2,FALSE),"")</f>
        <v>32770</v>
      </c>
      <c r="N334" s="8">
        <f>IFERROR(VLOOKUP(B334,Petróleo!Z:AA,2,FALSE),"")</f>
        <v>10000</v>
      </c>
      <c r="O334" s="8">
        <f>IFERROR(VLOOKUP(B334,Petróleo!AB:AC,2,FALSE),"")</f>
        <v>2930</v>
      </c>
      <c r="P334" s="8">
        <f>IFERROR(VLOOKUP(B334,Petróleo!AD:AE,2,FALSE),"")</f>
        <v>3830</v>
      </c>
      <c r="Q334" s="8">
        <f>IFERROR(VLOOKUP(B334,Petróleo!AF:AG,2,FALSE),"")</f>
        <v>4470</v>
      </c>
      <c r="R334" s="8">
        <f>IFERROR(VLOOKUP(B334,Petróleo!AH:AI,2,FALSE),"")</f>
        <v>920</v>
      </c>
      <c r="S334" s="8">
        <f>IFERROR(VLOOKUP(B334,Petróleo!AJ:AK,2,FALSE),"")</f>
        <v>1770</v>
      </c>
      <c r="T334" s="8">
        <f>IFERROR(VLOOKUP(B334,Petróleo!AL:AM,2,FALSE),"")</f>
        <v>1970</v>
      </c>
      <c r="U334" s="8">
        <f>IFERROR(VLOOKUP(B334,Petróleo!AN:AO,2,FALSE),"")</f>
        <v>2720</v>
      </c>
      <c r="V334" s="10" t="str">
        <f>IFERROR(VLOOKUP(A334,Petróleo!AR:AT,3,FALSE),"")</f>
        <v/>
      </c>
    </row>
    <row r="335" spans="1:22" x14ac:dyDescent="0.25">
      <c r="A335" s="9" t="str">
        <f t="shared" si="5"/>
        <v>102017</v>
      </c>
      <c r="B335" s="9">
        <v>43039</v>
      </c>
      <c r="C335" s="1">
        <f>IFERROR(VLOOKUP(B335,Petróleo!A:B,2,FALSE),"")</f>
        <v>9667</v>
      </c>
      <c r="D335" s="1">
        <f>IFERROR(VLOOKUP(B335,Estoque_US!D:E,2,FALSE),"")</f>
        <v>-10057</v>
      </c>
      <c r="E335" s="1">
        <f>IFERROR(VLOOKUP(B335,Petróleo!F:G,2,FALSE),"")</f>
        <v>10376</v>
      </c>
      <c r="F335" s="1">
        <f>IFERROR(VLOOKUP(B335,Petróleo!H:I,2,FALSE),"")</f>
        <v>4455</v>
      </c>
      <c r="G335" s="1">
        <f>IFERROR(VLOOKUP(B335,Petróleo!J:K,2,FALSE),"")</f>
        <v>4415</v>
      </c>
      <c r="H335" s="1">
        <f>IFERROR(VLOOKUP(B335,Petróleo!L:M,2,FALSE),"")</f>
        <v>1020</v>
      </c>
      <c r="I335" s="1">
        <f>IFERROR(VLOOKUP(B335,Petróleo!N:O,2,FALSE),"")</f>
        <v>2021.2</v>
      </c>
      <c r="J335" s="1">
        <f>IFERROR(VLOOKUP(B335,Petróleo!P:Q,2,FALSE),"")</f>
        <v>10506.921</v>
      </c>
      <c r="K335" s="1">
        <f>IFERROR(VLOOKUP(B335,Petróleo!R:S,2,FALSE),"")</f>
        <v>1957</v>
      </c>
      <c r="L335" s="1">
        <f>IFERROR(VLOOKUP(B335,Petróleo!T:U,2,FALSE),"")</f>
        <v>3775.069</v>
      </c>
      <c r="M335" s="8">
        <f>IFERROR(VLOOKUP(B335,Petróleo!X:Y,2,FALSE),"")</f>
        <v>32550</v>
      </c>
      <c r="N335" s="8">
        <f>IFERROR(VLOOKUP(B335,Petróleo!Z:AA,2,FALSE),"")</f>
        <v>10010</v>
      </c>
      <c r="O335" s="8">
        <f>IFERROR(VLOOKUP(B335,Petróleo!AB:AC,2,FALSE),"")</f>
        <v>2910</v>
      </c>
      <c r="P335" s="8">
        <f>IFERROR(VLOOKUP(B335,Petróleo!AD:AE,2,FALSE),"")</f>
        <v>3810</v>
      </c>
      <c r="Q335" s="8">
        <f>IFERROR(VLOOKUP(B335,Petróleo!AF:AG,2,FALSE),"")</f>
        <v>4350</v>
      </c>
      <c r="R335" s="8">
        <f>IFERROR(VLOOKUP(B335,Petróleo!AH:AI,2,FALSE),"")</f>
        <v>980</v>
      </c>
      <c r="S335" s="8">
        <f>IFERROR(VLOOKUP(B335,Petróleo!AJ:AK,2,FALSE),"")</f>
        <v>1750</v>
      </c>
      <c r="T335" s="8">
        <f>IFERROR(VLOOKUP(B335,Petróleo!AL:AM,2,FALSE),"")</f>
        <v>1860</v>
      </c>
      <c r="U335" s="8">
        <f>IFERROR(VLOOKUP(B335,Petróleo!AN:AO,2,FALSE),"")</f>
        <v>2750</v>
      </c>
      <c r="V335" s="10" t="str">
        <f>IFERROR(VLOOKUP(A335,Petróleo!AR:AT,3,FALSE),"")</f>
        <v/>
      </c>
    </row>
    <row r="336" spans="1:22" x14ac:dyDescent="0.25">
      <c r="A336" s="9" t="str">
        <f t="shared" si="5"/>
        <v>112017</v>
      </c>
      <c r="B336" s="9">
        <v>43069</v>
      </c>
      <c r="C336" s="1">
        <f>IFERROR(VLOOKUP(B336,Petróleo!A:B,2,FALSE),"")</f>
        <v>10086</v>
      </c>
      <c r="D336" s="1">
        <f>IFERROR(VLOOKUP(B336,Estoque_US!D:E,2,FALSE),"")</f>
        <v>-1193</v>
      </c>
      <c r="E336" s="1">
        <f>IFERROR(VLOOKUP(B336,Petróleo!F:G,2,FALSE),"")</f>
        <v>10326</v>
      </c>
      <c r="F336" s="1">
        <f>IFERROR(VLOOKUP(B336,Petróleo!H:I,2,FALSE),"")</f>
        <v>4445</v>
      </c>
      <c r="G336" s="1">
        <f>IFERROR(VLOOKUP(B336,Petróleo!J:K,2,FALSE),"")</f>
        <v>4345</v>
      </c>
      <c r="H336" s="1">
        <f>IFERROR(VLOOKUP(B336,Petróleo!L:M,2,FALSE),"")</f>
        <v>1050</v>
      </c>
      <c r="I336" s="1">
        <f>IFERROR(VLOOKUP(B336,Petróleo!N:O,2,FALSE),"")</f>
        <v>2064.9499999999998</v>
      </c>
      <c r="J336" s="1">
        <f>IFERROR(VLOOKUP(B336,Petróleo!P:Q,2,FALSE),"")</f>
        <v>10503.012000000001</v>
      </c>
      <c r="K336" s="1">
        <f>IFERROR(VLOOKUP(B336,Petróleo!R:S,2,FALSE),"")</f>
        <v>1916</v>
      </c>
      <c r="L336" s="1">
        <f>IFERROR(VLOOKUP(B336,Petróleo!T:U,2,FALSE),"")</f>
        <v>3719.36</v>
      </c>
      <c r="M336" s="8">
        <f>IFERROR(VLOOKUP(B336,Petróleo!X:Y,2,FALSE),"")</f>
        <v>32470</v>
      </c>
      <c r="N336" s="8">
        <f>IFERROR(VLOOKUP(B336,Petróleo!Z:AA,2,FALSE),"")</f>
        <v>9970</v>
      </c>
      <c r="O336" s="8">
        <f>IFERROR(VLOOKUP(B336,Petróleo!AB:AC,2,FALSE),"")</f>
        <v>2880</v>
      </c>
      <c r="P336" s="8">
        <f>IFERROR(VLOOKUP(B336,Petróleo!AD:AE,2,FALSE),"")</f>
        <v>3820</v>
      </c>
      <c r="Q336" s="8">
        <f>IFERROR(VLOOKUP(B336,Petróleo!AF:AG,2,FALSE),"")</f>
        <v>4390</v>
      </c>
      <c r="R336" s="8">
        <f>IFERROR(VLOOKUP(B336,Petróleo!AH:AI,2,FALSE),"")</f>
        <v>1000</v>
      </c>
      <c r="S336" s="8">
        <f>IFERROR(VLOOKUP(B336,Petróleo!AJ:AK,2,FALSE),"")</f>
        <v>1780</v>
      </c>
      <c r="T336" s="8">
        <f>IFERROR(VLOOKUP(B336,Petróleo!AL:AM,2,FALSE),"")</f>
        <v>1860</v>
      </c>
      <c r="U336" s="8">
        <f>IFERROR(VLOOKUP(B336,Petróleo!AN:AO,2,FALSE),"")</f>
        <v>2700</v>
      </c>
      <c r="V336" s="10" t="str">
        <f>IFERROR(VLOOKUP(A336,Petróleo!AR:AT,3,FALSE),"")</f>
        <v/>
      </c>
    </row>
    <row r="337" spans="1:22" x14ac:dyDescent="0.25">
      <c r="A337" s="9" t="str">
        <f t="shared" si="5"/>
        <v>122017</v>
      </c>
      <c r="B337" s="9">
        <v>43100</v>
      </c>
      <c r="C337" s="1">
        <f>IFERROR(VLOOKUP(B337,Petróleo!A:B,2,FALSE),"")</f>
        <v>9987</v>
      </c>
      <c r="D337" s="1">
        <f>IFERROR(VLOOKUP(B337,Estoque_US!D:E,2,FALSE),"")</f>
        <v>-29250</v>
      </c>
      <c r="E337" s="1">
        <f>IFERROR(VLOOKUP(B337,Petróleo!F:G,2,FALSE),"")</f>
        <v>10276</v>
      </c>
      <c r="F337" s="1">
        <f>IFERROR(VLOOKUP(B337,Petróleo!H:I,2,FALSE),"")</f>
        <v>4435</v>
      </c>
      <c r="G337" s="1">
        <f>IFERROR(VLOOKUP(B337,Petróleo!J:K,2,FALSE),"")</f>
        <v>4405</v>
      </c>
      <c r="H337" s="1">
        <f>IFERROR(VLOOKUP(B337,Petróleo!L:M,2,FALSE),"")</f>
        <v>980</v>
      </c>
      <c r="I337" s="1">
        <f>IFERROR(VLOOKUP(B337,Petróleo!N:O,2,FALSE),"")</f>
        <v>2098.5</v>
      </c>
      <c r="J337" s="1">
        <f>IFERROR(VLOOKUP(B337,Petróleo!P:Q,2,FALSE),"")</f>
        <v>10527.35</v>
      </c>
      <c r="K337" s="1">
        <f>IFERROR(VLOOKUP(B337,Petróleo!R:S,2,FALSE),"")</f>
        <v>1700</v>
      </c>
      <c r="L337" s="1">
        <f>IFERROR(VLOOKUP(B337,Petróleo!T:U,2,FALSE),"")</f>
        <v>3753.9960000000001</v>
      </c>
      <c r="M337" s="8">
        <f>IFERROR(VLOOKUP(B337,Petróleo!X:Y,2,FALSE),"")</f>
        <v>32380</v>
      </c>
      <c r="N337" s="8">
        <f>IFERROR(VLOOKUP(B337,Petróleo!Z:AA,2,FALSE),"")</f>
        <v>9950</v>
      </c>
      <c r="O337" s="8">
        <f>IFERROR(VLOOKUP(B337,Petróleo!AB:AC,2,FALSE),"")</f>
        <v>2890</v>
      </c>
      <c r="P337" s="8">
        <f>IFERROR(VLOOKUP(B337,Petróleo!AD:AE,2,FALSE),"")</f>
        <v>3800</v>
      </c>
      <c r="Q337" s="8">
        <f>IFERROR(VLOOKUP(B337,Petróleo!AF:AG,2,FALSE),"")</f>
        <v>4430</v>
      </c>
      <c r="R337" s="8">
        <f>IFERROR(VLOOKUP(B337,Petróleo!AH:AI,2,FALSE),"")</f>
        <v>970</v>
      </c>
      <c r="S337" s="8">
        <f>IFERROR(VLOOKUP(B337,Petróleo!AJ:AK,2,FALSE),"")</f>
        <v>1820</v>
      </c>
      <c r="T337" s="8">
        <f>IFERROR(VLOOKUP(B337,Petróleo!AL:AM,2,FALSE),"")</f>
        <v>1700</v>
      </c>
      <c r="U337" s="8">
        <f>IFERROR(VLOOKUP(B337,Petróleo!AN:AO,2,FALSE),"")</f>
        <v>2690</v>
      </c>
      <c r="V337" s="10" t="str">
        <f>IFERROR(VLOOKUP(A337,Petróleo!AR:AT,3,FALSE),"")</f>
        <v/>
      </c>
    </row>
    <row r="338" spans="1:22" x14ac:dyDescent="0.25">
      <c r="A338" s="9" t="str">
        <f t="shared" si="5"/>
        <v>12018</v>
      </c>
      <c r="B338" s="9">
        <v>43131</v>
      </c>
      <c r="C338" s="1">
        <f>IFERROR(VLOOKUP(B338,Petróleo!A:B,2,FALSE),"")</f>
        <v>10000</v>
      </c>
      <c r="D338" s="1">
        <f>IFERROR(VLOOKUP(B338,Estoque_US!D:E,2,FALSE),"")</f>
        <v>-6104</v>
      </c>
      <c r="E338" s="1">
        <f>IFERROR(VLOOKUP(B338,Petróleo!F:G,2,FALSE),"")</f>
        <v>10378</v>
      </c>
      <c r="F338" s="1">
        <f>IFERROR(VLOOKUP(B338,Petróleo!H:I,2,FALSE),"")</f>
        <v>4520</v>
      </c>
      <c r="G338" s="1">
        <f>IFERROR(VLOOKUP(B338,Petróleo!J:K,2,FALSE),"")</f>
        <v>4455</v>
      </c>
      <c r="H338" s="1">
        <f>IFERROR(VLOOKUP(B338,Petróleo!L:M,2,FALSE),"")</f>
        <v>1080</v>
      </c>
      <c r="I338" s="1">
        <f>IFERROR(VLOOKUP(B338,Petróleo!N:O,2,FALSE),"")</f>
        <v>2060.402</v>
      </c>
      <c r="J338" s="1">
        <f>IFERROR(VLOOKUP(B338,Petróleo!P:Q,2,FALSE),"")</f>
        <v>10549.529</v>
      </c>
      <c r="K338" s="1">
        <f>IFERROR(VLOOKUP(B338,Petróleo!R:S,2,FALSE),"")</f>
        <v>1695</v>
      </c>
      <c r="L338" s="1">
        <f>IFERROR(VLOOKUP(B338,Petróleo!T:U,2,FALSE),"")</f>
        <v>3707.45</v>
      </c>
      <c r="M338" s="8">
        <f>IFERROR(VLOOKUP(B338,Petróleo!X:Y,2,FALSE),"")</f>
        <v>32360</v>
      </c>
      <c r="N338" s="8">
        <f>IFERROR(VLOOKUP(B338,Petróleo!Z:AA,2,FALSE),"")</f>
        <v>9960</v>
      </c>
      <c r="O338" s="8">
        <f>IFERROR(VLOOKUP(B338,Petróleo!AB:AC,2,FALSE),"")</f>
        <v>2850</v>
      </c>
      <c r="P338" s="8">
        <f>IFERROR(VLOOKUP(B338,Petróleo!AD:AE,2,FALSE),"")</f>
        <v>3830</v>
      </c>
      <c r="Q338" s="8">
        <f>IFERROR(VLOOKUP(B338,Petróleo!AF:AG,2,FALSE),"")</f>
        <v>4430</v>
      </c>
      <c r="R338" s="8">
        <f>IFERROR(VLOOKUP(B338,Petróleo!AH:AI,2,FALSE),"")</f>
        <v>980</v>
      </c>
      <c r="S338" s="8">
        <f>IFERROR(VLOOKUP(B338,Petróleo!AJ:AK,2,FALSE),"")</f>
        <v>1800</v>
      </c>
      <c r="T338" s="8">
        <f>IFERROR(VLOOKUP(B338,Petróleo!AL:AM,2,FALSE),"")</f>
        <v>1710</v>
      </c>
      <c r="U338" s="8">
        <f>IFERROR(VLOOKUP(B338,Petróleo!AN:AO,2,FALSE),"")</f>
        <v>2710</v>
      </c>
      <c r="V338" s="10" t="str">
        <f>IFERROR(VLOOKUP(A338,Petróleo!AR:AT,3,FALSE),"")</f>
        <v/>
      </c>
    </row>
    <row r="339" spans="1:22" x14ac:dyDescent="0.25">
      <c r="A339" s="9" t="str">
        <f t="shared" si="5"/>
        <v>22018</v>
      </c>
      <c r="B339" s="9">
        <v>43159</v>
      </c>
      <c r="C339" s="1">
        <f>IFERROR(VLOOKUP(B339,Petróleo!A:B,2,FALSE),"")</f>
        <v>10263</v>
      </c>
      <c r="D339" s="1">
        <f>IFERROR(VLOOKUP(B339,Estoque_US!D:E,2,FALSE),"")</f>
        <v>5139</v>
      </c>
      <c r="E339" s="1">
        <f>IFERROR(VLOOKUP(B339,Petróleo!F:G,2,FALSE),"")</f>
        <v>10318</v>
      </c>
      <c r="F339" s="1">
        <f>IFERROR(VLOOKUP(B339,Petróleo!H:I,2,FALSE),"")</f>
        <v>4515</v>
      </c>
      <c r="G339" s="1">
        <f>IFERROR(VLOOKUP(B339,Petróleo!J:K,2,FALSE),"")</f>
        <v>4495</v>
      </c>
      <c r="H339" s="1">
        <f>IFERROR(VLOOKUP(B339,Petróleo!L:M,2,FALSE),"")</f>
        <v>1055</v>
      </c>
      <c r="I339" s="1">
        <f>IFERROR(VLOOKUP(B339,Petróleo!N:O,2,FALSE),"")</f>
        <v>2030.402</v>
      </c>
      <c r="J339" s="1">
        <f>IFERROR(VLOOKUP(B339,Petróleo!P:Q,2,FALSE),"")</f>
        <v>10551.844999999999</v>
      </c>
      <c r="K339" s="1">
        <f>IFERROR(VLOOKUP(B339,Petróleo!R:S,2,FALSE),"")</f>
        <v>1655</v>
      </c>
      <c r="L339" s="1">
        <f>IFERROR(VLOOKUP(B339,Petróleo!T:U,2,FALSE),"")</f>
        <v>3767.3620000000001</v>
      </c>
      <c r="M339" s="8">
        <f>IFERROR(VLOOKUP(B339,Petróleo!X:Y,2,FALSE),"")</f>
        <v>32210</v>
      </c>
      <c r="N339" s="8">
        <f>IFERROR(VLOOKUP(B339,Petróleo!Z:AA,2,FALSE),"")</f>
        <v>9880</v>
      </c>
      <c r="O339" s="8">
        <f>IFERROR(VLOOKUP(B339,Petróleo!AB:AC,2,FALSE),"")</f>
        <v>2800</v>
      </c>
      <c r="P339" s="8">
        <f>IFERROR(VLOOKUP(B339,Petróleo!AD:AE,2,FALSE),"")</f>
        <v>3830</v>
      </c>
      <c r="Q339" s="8">
        <f>IFERROR(VLOOKUP(B339,Petróleo!AF:AG,2,FALSE),"")</f>
        <v>4430</v>
      </c>
      <c r="R339" s="8">
        <f>IFERROR(VLOOKUP(B339,Petróleo!AH:AI,2,FALSE),"")</f>
        <v>1050</v>
      </c>
      <c r="S339" s="8">
        <f>IFERROR(VLOOKUP(B339,Petróleo!AJ:AK,2,FALSE),"")</f>
        <v>1800</v>
      </c>
      <c r="T339" s="8">
        <f>IFERROR(VLOOKUP(B339,Petróleo!AL:AM,2,FALSE),"")</f>
        <v>1610</v>
      </c>
      <c r="U339" s="8">
        <f>IFERROR(VLOOKUP(B339,Petróleo!AN:AO,2,FALSE),"")</f>
        <v>2700</v>
      </c>
      <c r="V339" s="10" t="str">
        <f>IFERROR(VLOOKUP(A339,Petróleo!AR:AT,3,FALSE),"")</f>
        <v/>
      </c>
    </row>
    <row r="340" spans="1:22" x14ac:dyDescent="0.25">
      <c r="A340" s="9" t="str">
        <f t="shared" si="5"/>
        <v>32018</v>
      </c>
      <c r="B340" s="9">
        <v>43190</v>
      </c>
      <c r="C340" s="1">
        <f>IFERROR(VLOOKUP(B340,Petróleo!A:B,2,FALSE),"")</f>
        <v>10467</v>
      </c>
      <c r="D340" s="1">
        <f>IFERROR(VLOOKUP(B340,Estoque_US!D:E,2,FALSE),"")</f>
        <v>1834</v>
      </c>
      <c r="E340" s="1">
        <f>IFERROR(VLOOKUP(B340,Petróleo!F:G,2,FALSE),"")</f>
        <v>10268</v>
      </c>
      <c r="F340" s="1">
        <f>IFERROR(VLOOKUP(B340,Petróleo!H:I,2,FALSE),"")</f>
        <v>4495</v>
      </c>
      <c r="G340" s="1">
        <f>IFERROR(VLOOKUP(B340,Petróleo!J:K,2,FALSE),"")</f>
        <v>4505</v>
      </c>
      <c r="H340" s="1">
        <f>IFERROR(VLOOKUP(B340,Petróleo!L:M,2,FALSE),"")</f>
        <v>1050</v>
      </c>
      <c r="I340" s="1">
        <f>IFERROR(VLOOKUP(B340,Petróleo!N:O,2,FALSE),"")</f>
        <v>2000.402</v>
      </c>
      <c r="J340" s="1">
        <f>IFERROR(VLOOKUP(B340,Petróleo!P:Q,2,FALSE),"")</f>
        <v>10565.726000000001</v>
      </c>
      <c r="K340" s="1">
        <f>IFERROR(VLOOKUP(B340,Petróleo!R:S,2,FALSE),"")</f>
        <v>1615</v>
      </c>
      <c r="L340" s="1">
        <f>IFERROR(VLOOKUP(B340,Petróleo!T:U,2,FALSE),"")</f>
        <v>3752.39</v>
      </c>
      <c r="M340" s="8">
        <f>IFERROR(VLOOKUP(B340,Petróleo!X:Y,2,FALSE),"")</f>
        <v>31970</v>
      </c>
      <c r="N340" s="8">
        <f>IFERROR(VLOOKUP(B340,Petróleo!Z:AA,2,FALSE),"")</f>
        <v>9870</v>
      </c>
      <c r="O340" s="8">
        <f>IFERROR(VLOOKUP(B340,Petróleo!AB:AC,2,FALSE),"")</f>
        <v>2860</v>
      </c>
      <c r="P340" s="8">
        <f>IFERROR(VLOOKUP(B340,Petróleo!AD:AE,2,FALSE),"")</f>
        <v>3810</v>
      </c>
      <c r="Q340" s="8">
        <f>IFERROR(VLOOKUP(B340,Petróleo!AF:AG,2,FALSE),"")</f>
        <v>4430</v>
      </c>
      <c r="R340" s="8">
        <f>IFERROR(VLOOKUP(B340,Petróleo!AH:AI,2,FALSE),"")</f>
        <v>990</v>
      </c>
      <c r="S340" s="8">
        <f>IFERROR(VLOOKUP(B340,Petróleo!AJ:AK,2,FALSE),"")</f>
        <v>1810</v>
      </c>
      <c r="T340" s="8">
        <f>IFERROR(VLOOKUP(B340,Petróleo!AL:AM,2,FALSE),"")</f>
        <v>1510</v>
      </c>
      <c r="U340" s="8">
        <f>IFERROR(VLOOKUP(B340,Petróleo!AN:AO,2,FALSE),"")</f>
        <v>2700</v>
      </c>
      <c r="V340" s="10" t="str">
        <f>IFERROR(VLOOKUP(A340,Petróleo!AR:AT,3,FALSE),"")</f>
        <v/>
      </c>
    </row>
    <row r="341" spans="1:22" x14ac:dyDescent="0.25">
      <c r="A341" s="9" t="str">
        <f t="shared" si="5"/>
        <v>42018</v>
      </c>
      <c r="B341" s="9">
        <v>43220</v>
      </c>
      <c r="C341" s="1">
        <f>IFERROR(VLOOKUP(B341,Petróleo!A:B,2,FALSE),"")</f>
        <v>10493</v>
      </c>
      <c r="D341" s="1">
        <f>IFERROR(VLOOKUP(B341,Estoque_US!D:E,2,FALSE),"")</f>
        <v>10623</v>
      </c>
      <c r="E341" s="1">
        <f>IFERROR(VLOOKUP(B341,Petróleo!F:G,2,FALSE),"")</f>
        <v>10278</v>
      </c>
      <c r="F341" s="1">
        <f>IFERROR(VLOOKUP(B341,Petróleo!H:I,2,FALSE),"")</f>
        <v>4525</v>
      </c>
      <c r="G341" s="1">
        <f>IFERROR(VLOOKUP(B341,Petróleo!J:K,2,FALSE),"")</f>
        <v>4465</v>
      </c>
      <c r="H341" s="1">
        <f>IFERROR(VLOOKUP(B341,Petróleo!L:M,2,FALSE),"")</f>
        <v>1070</v>
      </c>
      <c r="I341" s="1">
        <f>IFERROR(VLOOKUP(B341,Petróleo!N:O,2,FALSE),"")</f>
        <v>1980.402</v>
      </c>
      <c r="J341" s="1">
        <f>IFERROR(VLOOKUP(B341,Petróleo!P:Q,2,FALSE),"")</f>
        <v>10561.994000000001</v>
      </c>
      <c r="K341" s="1">
        <f>IFERROR(VLOOKUP(B341,Petróleo!R:S,2,FALSE),"")</f>
        <v>1585</v>
      </c>
      <c r="L341" s="1">
        <f>IFERROR(VLOOKUP(B341,Petróleo!T:U,2,FALSE),"")</f>
        <v>3736.6350000000002</v>
      </c>
      <c r="M341" s="8">
        <f>IFERROR(VLOOKUP(B341,Petróleo!X:Y,2,FALSE),"")</f>
        <v>31900</v>
      </c>
      <c r="N341" s="8">
        <f>IFERROR(VLOOKUP(B341,Petróleo!Z:AA,2,FALSE),"")</f>
        <v>9900</v>
      </c>
      <c r="O341" s="8">
        <f>IFERROR(VLOOKUP(B341,Petróleo!AB:AC,2,FALSE),"")</f>
        <v>2860</v>
      </c>
      <c r="P341" s="8">
        <f>IFERROR(VLOOKUP(B341,Petróleo!AD:AE,2,FALSE),"")</f>
        <v>3780</v>
      </c>
      <c r="Q341" s="8">
        <f>IFERROR(VLOOKUP(B341,Petróleo!AF:AG,2,FALSE),"")</f>
        <v>4430</v>
      </c>
      <c r="R341" s="8">
        <f>IFERROR(VLOOKUP(B341,Petróleo!AH:AI,2,FALSE),"")</f>
        <v>990</v>
      </c>
      <c r="S341" s="8">
        <f>IFERROR(VLOOKUP(B341,Petróleo!AJ:AK,2,FALSE),"")</f>
        <v>1810</v>
      </c>
      <c r="T341" s="8">
        <f>IFERROR(VLOOKUP(B341,Petróleo!AL:AM,2,FALSE),"")</f>
        <v>1490</v>
      </c>
      <c r="U341" s="8">
        <f>IFERROR(VLOOKUP(B341,Petróleo!AN:AO,2,FALSE),"")</f>
        <v>2700</v>
      </c>
      <c r="V341" s="10" t="str">
        <f>IFERROR(VLOOKUP(A341,Petróleo!AR:AT,3,FALSE),"")</f>
        <v/>
      </c>
    </row>
    <row r="342" spans="1:22" x14ac:dyDescent="0.25">
      <c r="A342" s="9" t="str">
        <f t="shared" si="5"/>
        <v>52018</v>
      </c>
      <c r="B342" s="9">
        <v>43251</v>
      </c>
      <c r="C342" s="1">
        <f>IFERROR(VLOOKUP(B342,Petróleo!A:B,2,FALSE),"")</f>
        <v>10432</v>
      </c>
      <c r="D342" s="1">
        <f>IFERROR(VLOOKUP(B342,Estoque_US!D:E,2,FALSE),"")</f>
        <v>-1443</v>
      </c>
      <c r="E342" s="1">
        <f>IFERROR(VLOOKUP(B342,Petróleo!F:G,2,FALSE),"")</f>
        <v>10338</v>
      </c>
      <c r="F342" s="1">
        <f>IFERROR(VLOOKUP(B342,Petróleo!H:I,2,FALSE),"")</f>
        <v>4505</v>
      </c>
      <c r="G342" s="1">
        <f>IFERROR(VLOOKUP(B342,Petróleo!J:K,2,FALSE),"")</f>
        <v>4515</v>
      </c>
      <c r="H342" s="1">
        <f>IFERROR(VLOOKUP(B342,Petróleo!L:M,2,FALSE),"")</f>
        <v>1055</v>
      </c>
      <c r="I342" s="1">
        <f>IFERROR(VLOOKUP(B342,Petróleo!N:O,2,FALSE),"")</f>
        <v>1800.402</v>
      </c>
      <c r="J342" s="1">
        <f>IFERROR(VLOOKUP(B342,Petróleo!P:Q,2,FALSE),"")</f>
        <v>10569.249</v>
      </c>
      <c r="K342" s="1">
        <f>IFERROR(VLOOKUP(B342,Petróleo!R:S,2,FALSE),"")</f>
        <v>1555</v>
      </c>
      <c r="L342" s="1">
        <f>IFERROR(VLOOKUP(B342,Petróleo!T:U,2,FALSE),"")</f>
        <v>3829.328</v>
      </c>
      <c r="M342" s="8">
        <f>IFERROR(VLOOKUP(B342,Petróleo!X:Y,2,FALSE),"")</f>
        <v>31800</v>
      </c>
      <c r="N342" s="8">
        <f>IFERROR(VLOOKUP(B342,Petróleo!Z:AA,2,FALSE),"")</f>
        <v>9970</v>
      </c>
      <c r="O342" s="8">
        <f>IFERROR(VLOOKUP(B342,Petróleo!AB:AC,2,FALSE),"")</f>
        <v>2870</v>
      </c>
      <c r="P342" s="8">
        <f>IFERROR(VLOOKUP(B342,Petróleo!AD:AE,2,FALSE),"")</f>
        <v>3810</v>
      </c>
      <c r="Q342" s="8">
        <f>IFERROR(VLOOKUP(B342,Petróleo!AF:AG,2,FALSE),"")</f>
        <v>4480</v>
      </c>
      <c r="R342" s="8">
        <f>IFERROR(VLOOKUP(B342,Petróleo!AH:AI,2,FALSE),"")</f>
        <v>990</v>
      </c>
      <c r="S342" s="8">
        <f>IFERROR(VLOOKUP(B342,Petróleo!AJ:AK,2,FALSE),"")</f>
        <v>1560</v>
      </c>
      <c r="T342" s="8">
        <f>IFERROR(VLOOKUP(B342,Petróleo!AL:AM,2,FALSE),"")</f>
        <v>1440</v>
      </c>
      <c r="U342" s="8">
        <f>IFERROR(VLOOKUP(B342,Petróleo!AN:AO,2,FALSE),"")</f>
        <v>2710</v>
      </c>
      <c r="V342" s="10" t="str">
        <f>IFERROR(VLOOKUP(A342,Petróleo!AR:AT,3,FALSE),"")</f>
        <v/>
      </c>
    </row>
    <row r="343" spans="1:22" x14ac:dyDescent="0.25">
      <c r="A343" s="9" t="str">
        <f t="shared" si="5"/>
        <v>62018</v>
      </c>
      <c r="B343" s="9">
        <v>43281</v>
      </c>
      <c r="C343" s="1">
        <f>IFERROR(VLOOKUP(B343,Petróleo!A:B,2,FALSE),"")</f>
        <v>10641</v>
      </c>
      <c r="D343" s="1">
        <f>IFERROR(VLOOKUP(B343,Estoque_US!D:E,2,FALSE),"")</f>
        <v>-16631</v>
      </c>
      <c r="E343" s="1">
        <f>IFERROR(VLOOKUP(B343,Petróleo!F:G,2,FALSE),"")</f>
        <v>10638</v>
      </c>
      <c r="F343" s="1">
        <f>IFERROR(VLOOKUP(B343,Petróleo!H:I,2,FALSE),"")</f>
        <v>4480</v>
      </c>
      <c r="G343" s="1">
        <f>IFERROR(VLOOKUP(B343,Petróleo!J:K,2,FALSE),"")</f>
        <v>4599</v>
      </c>
      <c r="H343" s="1">
        <f>IFERROR(VLOOKUP(B343,Petróleo!L:M,2,FALSE),"")</f>
        <v>815</v>
      </c>
      <c r="I343" s="1">
        <f>IFERROR(VLOOKUP(B343,Petróleo!N:O,2,FALSE),"")</f>
        <v>1730.402</v>
      </c>
      <c r="J343" s="1">
        <f>IFERROR(VLOOKUP(B343,Petróleo!P:Q,2,FALSE),"")</f>
        <v>10662.61</v>
      </c>
      <c r="K343" s="1">
        <f>IFERROR(VLOOKUP(B343,Petróleo!R:S,2,FALSE),"")</f>
        <v>1495</v>
      </c>
      <c r="L343" s="1">
        <f>IFERROR(VLOOKUP(B343,Petróleo!T:U,2,FALSE),"")</f>
        <v>3686.83</v>
      </c>
      <c r="M343" s="8">
        <f>IFERROR(VLOOKUP(B343,Petróleo!X:Y,2,FALSE),"")</f>
        <v>32300</v>
      </c>
      <c r="N343" s="8">
        <f>IFERROR(VLOOKUP(B343,Petróleo!Z:AA,2,FALSE),"")</f>
        <v>10420</v>
      </c>
      <c r="O343" s="8">
        <f>IFERROR(VLOOKUP(B343,Petróleo!AB:AC,2,FALSE),"")</f>
        <v>2890</v>
      </c>
      <c r="P343" s="8">
        <f>IFERROR(VLOOKUP(B343,Petróleo!AD:AE,2,FALSE),"")</f>
        <v>3780</v>
      </c>
      <c r="Q343" s="8">
        <f>IFERROR(VLOOKUP(B343,Petróleo!AF:AG,2,FALSE),"")</f>
        <v>4500</v>
      </c>
      <c r="R343" s="8">
        <f>IFERROR(VLOOKUP(B343,Petróleo!AH:AI,2,FALSE),"")</f>
        <v>690</v>
      </c>
      <c r="S343" s="8">
        <f>IFERROR(VLOOKUP(B343,Petróleo!AJ:AK,2,FALSE),"")</f>
        <v>1620</v>
      </c>
      <c r="T343" s="8">
        <f>IFERROR(VLOOKUP(B343,Petróleo!AL:AM,2,FALSE),"")</f>
        <v>1380</v>
      </c>
      <c r="U343" s="8">
        <f>IFERROR(VLOOKUP(B343,Petróleo!AN:AO,2,FALSE),"")</f>
        <v>2760</v>
      </c>
      <c r="V343" s="10" t="str">
        <f>IFERROR(VLOOKUP(A343,Petróleo!AR:AT,3,FALSE),"")</f>
        <v/>
      </c>
    </row>
    <row r="344" spans="1:22" x14ac:dyDescent="0.25">
      <c r="A344" s="9" t="str">
        <f t="shared" si="5"/>
        <v>72018</v>
      </c>
      <c r="B344" s="9">
        <v>43312</v>
      </c>
      <c r="C344" s="1">
        <f>IFERROR(VLOOKUP(B344,Petróleo!A:B,2,FALSE),"")</f>
        <v>10903</v>
      </c>
      <c r="D344" s="1">
        <f>IFERROR(VLOOKUP(B344,Estoque_US!D:E,2,FALSE),"")</f>
        <v>-9141</v>
      </c>
      <c r="E344" s="1">
        <f>IFERROR(VLOOKUP(B344,Petróleo!F:G,2,FALSE),"")</f>
        <v>10698</v>
      </c>
      <c r="F344" s="1">
        <f>IFERROR(VLOOKUP(B344,Petróleo!H:I,2,FALSE),"")</f>
        <v>4422</v>
      </c>
      <c r="G344" s="1">
        <f>IFERROR(VLOOKUP(B344,Petróleo!J:K,2,FALSE),"")</f>
        <v>4629</v>
      </c>
      <c r="H344" s="1">
        <f>IFERROR(VLOOKUP(B344,Petróleo!L:M,2,FALSE),"")</f>
        <v>720</v>
      </c>
      <c r="I344" s="1">
        <f>IFERROR(VLOOKUP(B344,Petróleo!N:O,2,FALSE),"")</f>
        <v>1780.402</v>
      </c>
      <c r="J344" s="1">
        <f>IFERROR(VLOOKUP(B344,Petróleo!P:Q,2,FALSE),"")</f>
        <v>10814.142</v>
      </c>
      <c r="K344" s="1">
        <f>IFERROR(VLOOKUP(B344,Petróleo!R:S,2,FALSE),"")</f>
        <v>1460</v>
      </c>
      <c r="L344" s="1">
        <f>IFERROR(VLOOKUP(B344,Petróleo!T:U,2,FALSE),"")</f>
        <v>3719.681</v>
      </c>
      <c r="M344" s="8">
        <f>IFERROR(VLOOKUP(B344,Petróleo!X:Y,2,FALSE),"")</f>
        <v>32320</v>
      </c>
      <c r="N344" s="8">
        <f>IFERROR(VLOOKUP(B344,Petróleo!Z:AA,2,FALSE),"")</f>
        <v>10370</v>
      </c>
      <c r="O344" s="8">
        <f>IFERROR(VLOOKUP(B344,Petróleo!AB:AC,2,FALSE),"")</f>
        <v>2960</v>
      </c>
      <c r="P344" s="8">
        <f>IFERROR(VLOOKUP(B344,Petróleo!AD:AE,2,FALSE),"")</f>
        <v>3740</v>
      </c>
      <c r="Q344" s="8">
        <f>IFERROR(VLOOKUP(B344,Petróleo!AF:AG,2,FALSE),"")</f>
        <v>4560</v>
      </c>
      <c r="R344" s="8">
        <f>IFERROR(VLOOKUP(B344,Petróleo!AH:AI,2,FALSE),"")</f>
        <v>660</v>
      </c>
      <c r="S344" s="8">
        <f>IFERROR(VLOOKUP(B344,Petróleo!AJ:AK,2,FALSE),"")</f>
        <v>1720</v>
      </c>
      <c r="T344" s="8">
        <f>IFERROR(VLOOKUP(B344,Petróleo!AL:AM,2,FALSE),"")</f>
        <v>1310</v>
      </c>
      <c r="U344" s="8">
        <f>IFERROR(VLOOKUP(B344,Petróleo!AN:AO,2,FALSE),"")</f>
        <v>2770</v>
      </c>
      <c r="V344" s="10" t="str">
        <f>IFERROR(VLOOKUP(A344,Petróleo!AR:AT,3,FALSE),"")</f>
        <v/>
      </c>
    </row>
    <row r="345" spans="1:22" x14ac:dyDescent="0.25">
      <c r="A345" s="9" t="str">
        <f t="shared" si="5"/>
        <v>82018</v>
      </c>
      <c r="B345" s="9">
        <v>43343</v>
      </c>
      <c r="C345" s="1">
        <f>IFERROR(VLOOKUP(B345,Petróleo!A:B,2,FALSE),"")</f>
        <v>11396</v>
      </c>
      <c r="D345" s="1">
        <f>IFERROR(VLOOKUP(B345,Estoque_US!D:E,2,FALSE),"")</f>
        <v>-7250</v>
      </c>
      <c r="E345" s="1">
        <f>IFERROR(VLOOKUP(B345,Petróleo!F:G,2,FALSE),"")</f>
        <v>10638</v>
      </c>
      <c r="F345" s="1">
        <f>IFERROR(VLOOKUP(B345,Petróleo!H:I,2,FALSE),"")</f>
        <v>4220</v>
      </c>
      <c r="G345" s="1">
        <f>IFERROR(VLOOKUP(B345,Petróleo!J:K,2,FALSE),"")</f>
        <v>4700</v>
      </c>
      <c r="H345" s="1">
        <f>IFERROR(VLOOKUP(B345,Petróleo!L:M,2,FALSE),"")</f>
        <v>1055</v>
      </c>
      <c r="I345" s="1">
        <f>IFERROR(VLOOKUP(B345,Petróleo!N:O,2,FALSE),"")</f>
        <v>1850.402</v>
      </c>
      <c r="J345" s="1">
        <f>IFERROR(VLOOKUP(B345,Petróleo!P:Q,2,FALSE),"")</f>
        <v>10810.855</v>
      </c>
      <c r="K345" s="1">
        <f>IFERROR(VLOOKUP(B345,Petróleo!R:S,2,FALSE),"")</f>
        <v>1415</v>
      </c>
      <c r="L345" s="1">
        <f>IFERROR(VLOOKUP(B345,Petróleo!T:U,2,FALSE),"")</f>
        <v>3648.7620000000002</v>
      </c>
      <c r="M345" s="8">
        <f>IFERROR(VLOOKUP(B345,Petróleo!X:Y,2,FALSE),"")</f>
        <v>32800</v>
      </c>
      <c r="N345" s="8">
        <f>IFERROR(VLOOKUP(B345,Petróleo!Z:AA,2,FALSE),"")</f>
        <v>10450</v>
      </c>
      <c r="O345" s="8">
        <f>IFERROR(VLOOKUP(B345,Petróleo!AB:AC,2,FALSE),"")</f>
        <v>3040</v>
      </c>
      <c r="P345" s="8">
        <f>IFERROR(VLOOKUP(B345,Petróleo!AD:AE,2,FALSE),"")</f>
        <v>3500</v>
      </c>
      <c r="Q345" s="8">
        <f>IFERROR(VLOOKUP(B345,Petróleo!AF:AG,2,FALSE),"")</f>
        <v>4640</v>
      </c>
      <c r="R345" s="8">
        <f>IFERROR(VLOOKUP(B345,Petróleo!AH:AI,2,FALSE),"")</f>
        <v>970</v>
      </c>
      <c r="S345" s="8">
        <f>IFERROR(VLOOKUP(B345,Petróleo!AJ:AK,2,FALSE),"")</f>
        <v>1760</v>
      </c>
      <c r="T345" s="8">
        <f>IFERROR(VLOOKUP(B345,Petróleo!AL:AM,2,FALSE),"")</f>
        <v>1330</v>
      </c>
      <c r="U345" s="8">
        <f>IFERROR(VLOOKUP(B345,Petróleo!AN:AO,2,FALSE),"")</f>
        <v>2830</v>
      </c>
      <c r="V345" s="10" t="str">
        <f>IFERROR(VLOOKUP(A345,Petróleo!AR:AT,3,FALSE),"")</f>
        <v/>
      </c>
    </row>
    <row r="346" spans="1:22" x14ac:dyDescent="0.25">
      <c r="A346" s="9" t="str">
        <f t="shared" si="5"/>
        <v>92018</v>
      </c>
      <c r="B346" s="9">
        <v>43373</v>
      </c>
      <c r="C346" s="1">
        <f>IFERROR(VLOOKUP(B346,Petróleo!A:B,2,FALSE),"")</f>
        <v>11444</v>
      </c>
      <c r="D346" s="1">
        <f>IFERROR(VLOOKUP(B346,Estoque_US!D:E,2,FALSE),"")</f>
        <v>2474</v>
      </c>
      <c r="E346" s="1">
        <f>IFERROR(VLOOKUP(B346,Petróleo!F:G,2,FALSE),"")</f>
        <v>10738</v>
      </c>
      <c r="F346" s="1">
        <f>IFERROR(VLOOKUP(B346,Petróleo!H:I,2,FALSE),"")</f>
        <v>4100</v>
      </c>
      <c r="G346" s="1">
        <f>IFERROR(VLOOKUP(B346,Petróleo!J:K,2,FALSE),"")</f>
        <v>4725</v>
      </c>
      <c r="H346" s="1">
        <f>IFERROR(VLOOKUP(B346,Petróleo!L:M,2,FALSE),"")</f>
        <v>1145</v>
      </c>
      <c r="I346" s="1">
        <f>IFERROR(VLOOKUP(B346,Petróleo!N:O,2,FALSE),"")</f>
        <v>1950.402</v>
      </c>
      <c r="J346" s="1">
        <f>IFERROR(VLOOKUP(B346,Petróleo!P:Q,2,FALSE),"")</f>
        <v>10964.361999999999</v>
      </c>
      <c r="K346" s="1">
        <f>IFERROR(VLOOKUP(B346,Petróleo!R:S,2,FALSE),"")</f>
        <v>1381</v>
      </c>
      <c r="L346" s="1">
        <f>IFERROR(VLOOKUP(B346,Petróleo!T:U,2,FALSE),"")</f>
        <v>3742.5650000000001</v>
      </c>
      <c r="M346" s="8">
        <f>IFERROR(VLOOKUP(B346,Petróleo!X:Y,2,FALSE),"")</f>
        <v>32900</v>
      </c>
      <c r="N346" s="8">
        <f>IFERROR(VLOOKUP(B346,Petróleo!Z:AA,2,FALSE),"")</f>
        <v>10530</v>
      </c>
      <c r="O346" s="8">
        <f>IFERROR(VLOOKUP(B346,Petróleo!AB:AC,2,FALSE),"")</f>
        <v>3040</v>
      </c>
      <c r="P346" s="8">
        <f>IFERROR(VLOOKUP(B346,Petróleo!AD:AE,2,FALSE),"")</f>
        <v>3430</v>
      </c>
      <c r="Q346" s="8">
        <f>IFERROR(VLOOKUP(B346,Petróleo!AF:AG,2,FALSE),"")</f>
        <v>4660</v>
      </c>
      <c r="R346" s="8">
        <f>IFERROR(VLOOKUP(B346,Petróleo!AH:AI,2,FALSE),"")</f>
        <v>1050</v>
      </c>
      <c r="S346" s="8">
        <f>IFERROR(VLOOKUP(B346,Petróleo!AJ:AK,2,FALSE),"")</f>
        <v>1800</v>
      </c>
      <c r="T346" s="8">
        <f>IFERROR(VLOOKUP(B346,Petróleo!AL:AM,2,FALSE),"")</f>
        <v>1260</v>
      </c>
      <c r="U346" s="8">
        <f>IFERROR(VLOOKUP(B346,Petróleo!AN:AO,2,FALSE),"")</f>
        <v>2800</v>
      </c>
      <c r="V346" s="10" t="str">
        <f>IFERROR(VLOOKUP(A346,Petróleo!AR:AT,3,FALSE),"")</f>
        <v/>
      </c>
    </row>
    <row r="347" spans="1:22" x14ac:dyDescent="0.25">
      <c r="A347" s="9" t="str">
        <f t="shared" si="5"/>
        <v>102018</v>
      </c>
      <c r="B347" s="9">
        <v>43404</v>
      </c>
      <c r="C347" s="1">
        <f>IFERROR(VLOOKUP(B347,Petróleo!A:B,2,FALSE),"")</f>
        <v>11508</v>
      </c>
      <c r="D347" s="1">
        <f>IFERROR(VLOOKUP(B347,Estoque_US!D:E,2,FALSE),"")</f>
        <v>22040</v>
      </c>
      <c r="E347" s="1">
        <f>IFERROR(VLOOKUP(B347,Petróleo!F:G,2,FALSE),"")</f>
        <v>10938</v>
      </c>
      <c r="F347" s="1">
        <f>IFERROR(VLOOKUP(B347,Petróleo!H:I,2,FALSE),"")</f>
        <v>4095</v>
      </c>
      <c r="G347" s="1">
        <f>IFERROR(VLOOKUP(B347,Petróleo!J:K,2,FALSE),"")</f>
        <v>4755</v>
      </c>
      <c r="H347" s="1">
        <f>IFERROR(VLOOKUP(B347,Petróleo!L:M,2,FALSE),"")</f>
        <v>1145</v>
      </c>
      <c r="I347" s="1">
        <f>IFERROR(VLOOKUP(B347,Petróleo!N:O,2,FALSE),"")</f>
        <v>1910.402</v>
      </c>
      <c r="J347" s="1">
        <f>IFERROR(VLOOKUP(B347,Petróleo!P:Q,2,FALSE),"")</f>
        <v>11013.707</v>
      </c>
      <c r="K347" s="1">
        <f>IFERROR(VLOOKUP(B347,Petróleo!R:S,2,FALSE),"")</f>
        <v>1351</v>
      </c>
      <c r="L347" s="1">
        <f>IFERROR(VLOOKUP(B347,Petróleo!T:U,2,FALSE),"")</f>
        <v>3732.7829999999999</v>
      </c>
      <c r="M347" s="8">
        <f>IFERROR(VLOOKUP(B347,Petróleo!X:Y,2,FALSE),"")</f>
        <v>33140</v>
      </c>
      <c r="N347" s="8">
        <f>IFERROR(VLOOKUP(B347,Petróleo!Z:AA,2,FALSE),"")</f>
        <v>10680</v>
      </c>
      <c r="O347" s="8">
        <f>IFERROR(VLOOKUP(B347,Petróleo!AB:AC,2,FALSE),"")</f>
        <v>3120</v>
      </c>
      <c r="P347" s="8">
        <f>IFERROR(VLOOKUP(B347,Petróleo!AD:AE,2,FALSE),"")</f>
        <v>3320</v>
      </c>
      <c r="Q347" s="8">
        <f>IFERROR(VLOOKUP(B347,Petróleo!AF:AG,2,FALSE),"")</f>
        <v>4660</v>
      </c>
      <c r="R347" s="8">
        <f>IFERROR(VLOOKUP(B347,Petróleo!AH:AI,2,FALSE),"")</f>
        <v>1200</v>
      </c>
      <c r="S347" s="8">
        <f>IFERROR(VLOOKUP(B347,Petróleo!AJ:AK,2,FALSE),"")</f>
        <v>1800</v>
      </c>
      <c r="T347" s="8">
        <f>IFERROR(VLOOKUP(B347,Petróleo!AL:AM,2,FALSE),"")</f>
        <v>1220</v>
      </c>
      <c r="U347" s="8">
        <f>IFERROR(VLOOKUP(B347,Petróleo!AN:AO,2,FALSE),"")</f>
        <v>2790</v>
      </c>
      <c r="V347" s="10" t="str">
        <f>IFERROR(VLOOKUP(A347,Petróleo!AR:AT,3,FALSE),"")</f>
        <v/>
      </c>
    </row>
    <row r="348" spans="1:22" x14ac:dyDescent="0.25">
      <c r="A348" s="9" t="str">
        <f t="shared" si="5"/>
        <v>112018</v>
      </c>
      <c r="B348" s="9">
        <v>43434</v>
      </c>
      <c r="C348" s="1">
        <f>IFERROR(VLOOKUP(B348,Petróleo!A:B,2,FALSE),"")</f>
        <v>11892</v>
      </c>
      <c r="D348" s="1">
        <f>IFERROR(VLOOKUP(B348,Estoque_US!D:E,2,FALSE),"")</f>
        <v>17158</v>
      </c>
      <c r="E348" s="1">
        <f>IFERROR(VLOOKUP(B348,Petróleo!F:G,2,FALSE),"")</f>
        <v>11218</v>
      </c>
      <c r="F348" s="1">
        <f>IFERROR(VLOOKUP(B348,Petróleo!H:I,2,FALSE),"")</f>
        <v>3395</v>
      </c>
      <c r="G348" s="1">
        <f>IFERROR(VLOOKUP(B348,Petróleo!J:K,2,FALSE),"")</f>
        <v>4795</v>
      </c>
      <c r="H348" s="1">
        <f>IFERROR(VLOOKUP(B348,Petróleo!L:M,2,FALSE),"")</f>
        <v>1195</v>
      </c>
      <c r="I348" s="1">
        <f>IFERROR(VLOOKUP(B348,Petróleo!N:O,2,FALSE),"")</f>
        <v>1900.402</v>
      </c>
      <c r="J348" s="1">
        <f>IFERROR(VLOOKUP(B348,Petróleo!P:Q,2,FALSE),"")</f>
        <v>10971.888000000001</v>
      </c>
      <c r="K348" s="1">
        <f>IFERROR(VLOOKUP(B348,Petróleo!R:S,2,FALSE),"")</f>
        <v>1331</v>
      </c>
      <c r="L348" s="1">
        <f>IFERROR(VLOOKUP(B348,Petróleo!T:U,2,FALSE),"")</f>
        <v>3797.2779999999998</v>
      </c>
      <c r="M348" s="8">
        <f>IFERROR(VLOOKUP(B348,Petróleo!X:Y,2,FALSE),"")</f>
        <v>33150</v>
      </c>
      <c r="N348" s="8">
        <f>IFERROR(VLOOKUP(B348,Petróleo!Z:AA,2,FALSE),"")</f>
        <v>11070</v>
      </c>
      <c r="O348" s="8">
        <f>IFERROR(VLOOKUP(B348,Petróleo!AB:AC,2,FALSE),"")</f>
        <v>3270</v>
      </c>
      <c r="P348" s="8">
        <f>IFERROR(VLOOKUP(B348,Petróleo!AD:AE,2,FALSE),"")</f>
        <v>3040</v>
      </c>
      <c r="Q348" s="8">
        <f>IFERROR(VLOOKUP(B348,Petróleo!AF:AG,2,FALSE),"")</f>
        <v>4570</v>
      </c>
      <c r="R348" s="8">
        <f>IFERROR(VLOOKUP(B348,Petróleo!AH:AI,2,FALSE),"")</f>
        <v>1110</v>
      </c>
      <c r="S348" s="8">
        <f>IFERROR(VLOOKUP(B348,Petróleo!AJ:AK,2,FALSE),"")</f>
        <v>1760</v>
      </c>
      <c r="T348" s="8">
        <f>IFERROR(VLOOKUP(B348,Petróleo!AL:AM,2,FALSE),"")</f>
        <v>1230</v>
      </c>
      <c r="U348" s="8">
        <f>IFERROR(VLOOKUP(B348,Petróleo!AN:AO,2,FALSE),"")</f>
        <v>2800</v>
      </c>
      <c r="V348" s="10" t="str">
        <f>IFERROR(VLOOKUP(A348,Petróleo!AR:AT,3,FALSE),"")</f>
        <v/>
      </c>
    </row>
    <row r="349" spans="1:22" x14ac:dyDescent="0.25">
      <c r="A349" s="9" t="str">
        <f t="shared" si="5"/>
        <v>122018</v>
      </c>
      <c r="B349" s="9">
        <v>43465</v>
      </c>
      <c r="C349" s="1">
        <f>IFERROR(VLOOKUP(B349,Petróleo!A:B,2,FALSE),"")</f>
        <v>11951</v>
      </c>
      <c r="D349" s="1">
        <f>IFERROR(VLOOKUP(B349,Estoque_US!D:E,2,FALSE),"")</f>
        <v>-1744</v>
      </c>
      <c r="E349" s="1">
        <f>IFERROR(VLOOKUP(B349,Petróleo!F:G,2,FALSE),"")</f>
        <v>10718</v>
      </c>
      <c r="F349" s="1">
        <f>IFERROR(VLOOKUP(B349,Petróleo!H:I,2,FALSE),"")</f>
        <v>3295</v>
      </c>
      <c r="G349" s="1">
        <f>IFERROR(VLOOKUP(B349,Petróleo!J:K,2,FALSE),"")</f>
        <v>4825</v>
      </c>
      <c r="H349" s="1">
        <f>IFERROR(VLOOKUP(B349,Petróleo!L:M,2,FALSE),"")</f>
        <v>945</v>
      </c>
      <c r="I349" s="1">
        <f>IFERROR(VLOOKUP(B349,Petróleo!N:O,2,FALSE),"")</f>
        <v>1930.402</v>
      </c>
      <c r="J349" s="1">
        <f>IFERROR(VLOOKUP(B349,Petróleo!P:Q,2,FALSE),"")</f>
        <v>11050.83</v>
      </c>
      <c r="K349" s="1">
        <f>IFERROR(VLOOKUP(B349,Petróleo!R:S,2,FALSE),"")</f>
        <v>1301</v>
      </c>
      <c r="L349" s="1">
        <f>IFERROR(VLOOKUP(B349,Petróleo!T:U,2,FALSE),"")</f>
        <v>3764.777</v>
      </c>
      <c r="M349" s="8">
        <f>IFERROR(VLOOKUP(B349,Petróleo!X:Y,2,FALSE),"")</f>
        <v>32550</v>
      </c>
      <c r="N349" s="8">
        <f>IFERROR(VLOOKUP(B349,Petróleo!Z:AA,2,FALSE),"")</f>
        <v>10650</v>
      </c>
      <c r="O349" s="8">
        <f>IFERROR(VLOOKUP(B349,Petróleo!AB:AC,2,FALSE),"")</f>
        <v>3260</v>
      </c>
      <c r="P349" s="8">
        <f>IFERROR(VLOOKUP(B349,Petróleo!AD:AE,2,FALSE),"")</f>
        <v>2890</v>
      </c>
      <c r="Q349" s="8">
        <f>IFERROR(VLOOKUP(B349,Petróleo!AF:AG,2,FALSE),"")</f>
        <v>4700</v>
      </c>
      <c r="R349" s="8">
        <f>IFERROR(VLOOKUP(B349,Petróleo!AH:AI,2,FALSE),"")</f>
        <v>1000</v>
      </c>
      <c r="S349" s="8">
        <f>IFERROR(VLOOKUP(B349,Petróleo!AJ:AK,2,FALSE),"")</f>
        <v>1770</v>
      </c>
      <c r="T349" s="8">
        <f>IFERROR(VLOOKUP(B349,Petróleo!AL:AM,2,FALSE),"")</f>
        <v>1220</v>
      </c>
      <c r="U349" s="8">
        <f>IFERROR(VLOOKUP(B349,Petróleo!AN:AO,2,FALSE),"")</f>
        <v>2810</v>
      </c>
      <c r="V349" s="10" t="str">
        <f>IFERROR(VLOOKUP(A349,Petróleo!AR:AT,3,FALSE),"")</f>
        <v/>
      </c>
    </row>
    <row r="350" spans="1:22" x14ac:dyDescent="0.25">
      <c r="A350" s="9" t="str">
        <f t="shared" si="5"/>
        <v>12019</v>
      </c>
      <c r="B350" s="9">
        <v>43496</v>
      </c>
      <c r="C350" s="1">
        <f>IFERROR(VLOOKUP(B350,Petróleo!A:B,2,FALSE),"")</f>
        <v>11873</v>
      </c>
      <c r="D350" s="1">
        <f>IFERROR(VLOOKUP(B350,Estoque_US!D:E,2,FALSE),"")</f>
        <v>4526</v>
      </c>
      <c r="E350" s="1">
        <f>IFERROR(VLOOKUP(B350,Petróleo!F:G,2,FALSE),"")</f>
        <v>10252</v>
      </c>
      <c r="F350" s="1">
        <f>IFERROR(VLOOKUP(B350,Petróleo!H:I,2,FALSE),"")</f>
        <v>3285</v>
      </c>
      <c r="G350" s="1">
        <f>IFERROR(VLOOKUP(B350,Petróleo!J:K,2,FALSE),"")</f>
        <v>4825</v>
      </c>
      <c r="H350" s="1">
        <f>IFERROR(VLOOKUP(B350,Petróleo!L:M,2,FALSE),"")</f>
        <v>905</v>
      </c>
      <c r="I350" s="1">
        <f>IFERROR(VLOOKUP(B350,Petróleo!N:O,2,FALSE),"")</f>
        <v>1843.78</v>
      </c>
      <c r="J350" s="1">
        <f>IFERROR(VLOOKUP(B350,Petróleo!P:Q,2,FALSE),"")</f>
        <v>10972.775</v>
      </c>
      <c r="K350" s="1">
        <f>IFERROR(VLOOKUP(B350,Petróleo!R:S,2,FALSE),"")</f>
        <v>1271</v>
      </c>
      <c r="L350" s="1">
        <f>IFERROR(VLOOKUP(B350,Petróleo!T:U,2,FALSE),"")</f>
        <v>3732.8539999999998</v>
      </c>
      <c r="M350" s="8">
        <f>IFERROR(VLOOKUP(B350,Petróleo!X:Y,2,FALSE),"")</f>
        <v>31060</v>
      </c>
      <c r="N350" s="8">
        <f>IFERROR(VLOOKUP(B350,Petróleo!Z:AA,2,FALSE),"")</f>
        <v>10200</v>
      </c>
      <c r="O350" s="8">
        <f>IFERROR(VLOOKUP(B350,Petróleo!AB:AC,2,FALSE),"")</f>
        <v>3090</v>
      </c>
      <c r="P350" s="8">
        <f>IFERROR(VLOOKUP(B350,Petróleo!AD:AE,2,FALSE),"")</f>
        <v>2740</v>
      </c>
      <c r="Q350" s="8">
        <f>IFERROR(VLOOKUP(B350,Petróleo!AF:AG,2,FALSE),"")</f>
        <v>4690</v>
      </c>
      <c r="R350" s="8">
        <f>IFERROR(VLOOKUP(B350,Petróleo!AH:AI,2,FALSE),"")</f>
        <v>900</v>
      </c>
      <c r="S350" s="8">
        <f>IFERROR(VLOOKUP(B350,Petróleo!AJ:AK,2,FALSE),"")</f>
        <v>1790</v>
      </c>
      <c r="T350" s="8">
        <f>IFERROR(VLOOKUP(B350,Petróleo!AL:AM,2,FALSE),"")</f>
        <v>1230</v>
      </c>
      <c r="U350" s="8">
        <f>IFERROR(VLOOKUP(B350,Petróleo!AN:AO,2,FALSE),"")</f>
        <v>2750</v>
      </c>
      <c r="V350" s="10" t="str">
        <f>IFERROR(VLOOKUP(A350,Petróleo!AR:AT,3,FALSE),"")</f>
        <v/>
      </c>
    </row>
    <row r="351" spans="1:22" x14ac:dyDescent="0.25">
      <c r="A351" s="9" t="str">
        <f t="shared" si="5"/>
        <v>22019</v>
      </c>
      <c r="B351" s="9">
        <v>43524</v>
      </c>
      <c r="C351" s="1">
        <f>IFERROR(VLOOKUP(B351,Petróleo!A:B,2,FALSE),"")</f>
        <v>11653</v>
      </c>
      <c r="D351" s="1">
        <f>IFERROR(VLOOKUP(B351,Estoque_US!D:E,2,FALSE),"")</f>
        <v>-79</v>
      </c>
      <c r="E351" s="1">
        <f>IFERROR(VLOOKUP(B351,Petróleo!F:G,2,FALSE),"")</f>
        <v>10302</v>
      </c>
      <c r="F351" s="1">
        <f>IFERROR(VLOOKUP(B351,Petróleo!H:I,2,FALSE),"")</f>
        <v>3285</v>
      </c>
      <c r="G351" s="1">
        <f>IFERROR(VLOOKUP(B351,Petróleo!J:K,2,FALSE),"")</f>
        <v>4805</v>
      </c>
      <c r="H351" s="1">
        <f>IFERROR(VLOOKUP(B351,Petróleo!L:M,2,FALSE),"")</f>
        <v>935</v>
      </c>
      <c r="I351" s="1">
        <f>IFERROR(VLOOKUP(B351,Petróleo!N:O,2,FALSE),"")</f>
        <v>1873.78</v>
      </c>
      <c r="J351" s="1">
        <f>IFERROR(VLOOKUP(B351,Petróleo!P:Q,2,FALSE),"")</f>
        <v>10930.571</v>
      </c>
      <c r="K351" s="1">
        <f>IFERROR(VLOOKUP(B351,Petróleo!R:S,2,FALSE),"")</f>
        <v>1141</v>
      </c>
      <c r="L351" s="1">
        <f>IFERROR(VLOOKUP(B351,Petróleo!T:U,2,FALSE),"")</f>
        <v>3847.8429999999998</v>
      </c>
      <c r="M351" s="8">
        <f>IFERROR(VLOOKUP(B351,Petróleo!X:Y,2,FALSE),"")</f>
        <v>30680</v>
      </c>
      <c r="N351" s="8">
        <f>IFERROR(VLOOKUP(B351,Petróleo!Z:AA,2,FALSE),"")</f>
        <v>10100</v>
      </c>
      <c r="O351" s="8">
        <f>IFERROR(VLOOKUP(B351,Petróleo!AB:AC,2,FALSE),"")</f>
        <v>3070</v>
      </c>
      <c r="P351" s="8">
        <f>IFERROR(VLOOKUP(B351,Petróleo!AD:AE,2,FALSE),"")</f>
        <v>2740</v>
      </c>
      <c r="Q351" s="8">
        <f>IFERROR(VLOOKUP(B351,Petróleo!AF:AG,2,FALSE),"")</f>
        <v>4620</v>
      </c>
      <c r="R351" s="8">
        <f>IFERROR(VLOOKUP(B351,Petróleo!AH:AI,2,FALSE),"")</f>
        <v>900</v>
      </c>
      <c r="S351" s="8">
        <f>IFERROR(VLOOKUP(B351,Petróleo!AJ:AK,2,FALSE),"")</f>
        <v>1830</v>
      </c>
      <c r="T351" s="8">
        <f>IFERROR(VLOOKUP(B351,Petróleo!AL:AM,2,FALSE),"")</f>
        <v>1070</v>
      </c>
      <c r="U351" s="8">
        <f>IFERROR(VLOOKUP(B351,Petróleo!AN:AO,2,FALSE),"")</f>
        <v>2710</v>
      </c>
      <c r="V351" s="10" t="str">
        <f>IFERROR(VLOOKUP(A351,Petróleo!AR:AT,3,FALSE),"")</f>
        <v/>
      </c>
    </row>
    <row r="352" spans="1:22" x14ac:dyDescent="0.25">
      <c r="A352" s="9" t="str">
        <f t="shared" si="5"/>
        <v>32019</v>
      </c>
      <c r="B352" s="9">
        <v>43555</v>
      </c>
      <c r="C352" s="1">
        <f>IFERROR(VLOOKUP(B352,Petróleo!A:B,2,FALSE),"")</f>
        <v>11912</v>
      </c>
      <c r="D352" s="1">
        <f>IFERROR(VLOOKUP(B352,Estoque_US!D:E,2,FALSE),"")</f>
        <v>3656</v>
      </c>
      <c r="E352" s="1">
        <f>IFERROR(VLOOKUP(B352,Petróleo!F:G,2,FALSE),"")</f>
        <v>10052</v>
      </c>
      <c r="F352" s="1">
        <f>IFERROR(VLOOKUP(B352,Petróleo!H:I,2,FALSE),"")</f>
        <v>3260</v>
      </c>
      <c r="G352" s="1">
        <f>IFERROR(VLOOKUP(B352,Petróleo!J:K,2,FALSE),"")</f>
        <v>4645</v>
      </c>
      <c r="H352" s="1">
        <f>IFERROR(VLOOKUP(B352,Petróleo!L:M,2,FALSE),"")</f>
        <v>1165</v>
      </c>
      <c r="I352" s="1">
        <f>IFERROR(VLOOKUP(B352,Petróleo!N:O,2,FALSE),"")</f>
        <v>1903.78</v>
      </c>
      <c r="J352" s="1">
        <f>IFERROR(VLOOKUP(B352,Petróleo!P:Q,2,FALSE),"")</f>
        <v>10899.123</v>
      </c>
      <c r="K352" s="1">
        <f>IFERROR(VLOOKUP(B352,Petróleo!R:S,2,FALSE),"")</f>
        <v>905</v>
      </c>
      <c r="L352" s="1">
        <f>IFERROR(VLOOKUP(B352,Petróleo!T:U,2,FALSE),"")</f>
        <v>3775.7959999999998</v>
      </c>
      <c r="M352" s="8">
        <f>IFERROR(VLOOKUP(B352,Petróleo!X:Y,2,FALSE),"")</f>
        <v>30275</v>
      </c>
      <c r="N352" s="8">
        <f>IFERROR(VLOOKUP(B352,Petróleo!Z:AA,2,FALSE),"")</f>
        <v>9820</v>
      </c>
      <c r="O352" s="8">
        <f>IFERROR(VLOOKUP(B352,Petróleo!AB:AC,2,FALSE),"")</f>
        <v>3050</v>
      </c>
      <c r="P352" s="8">
        <f>IFERROR(VLOOKUP(B352,Petróleo!AD:AE,2,FALSE),"")</f>
        <v>2710</v>
      </c>
      <c r="Q352" s="8">
        <f>IFERROR(VLOOKUP(B352,Petróleo!AF:AG,2,FALSE),"")</f>
        <v>4550</v>
      </c>
      <c r="R352" s="8">
        <f>IFERROR(VLOOKUP(B352,Petróleo!AH:AI,2,FALSE),"")</f>
        <v>1100</v>
      </c>
      <c r="S352" s="8">
        <f>IFERROR(VLOOKUP(B352,Petróleo!AJ:AK,2,FALSE),"")</f>
        <v>1870</v>
      </c>
      <c r="T352" s="8">
        <f>IFERROR(VLOOKUP(B352,Petróleo!AL:AM,2,FALSE),"")</f>
        <v>830</v>
      </c>
      <c r="U352" s="8">
        <f>IFERROR(VLOOKUP(B352,Petróleo!AN:AO,2,FALSE),"")</f>
        <v>2700</v>
      </c>
      <c r="V352" s="10" t="str">
        <f>IFERROR(VLOOKUP(A352,Petróleo!AR:AT,3,FALSE),"")</f>
        <v/>
      </c>
    </row>
    <row r="353" spans="1:22" x14ac:dyDescent="0.25">
      <c r="A353" s="9" t="str">
        <f t="shared" si="5"/>
        <v>42019</v>
      </c>
      <c r="B353" s="9">
        <v>43585</v>
      </c>
      <c r="C353" s="1">
        <f>IFERROR(VLOOKUP(B353,Petróleo!A:B,2,FALSE),"")</f>
        <v>12144</v>
      </c>
      <c r="D353" s="1">
        <f>IFERROR(VLOOKUP(B353,Estoque_US!D:E,2,FALSE),"")</f>
        <v>21046</v>
      </c>
      <c r="E353" s="1">
        <f>IFERROR(VLOOKUP(B353,Petróleo!F:G,2,FALSE),"")</f>
        <v>10052</v>
      </c>
      <c r="F353" s="1">
        <f>IFERROR(VLOOKUP(B353,Petróleo!H:I,2,FALSE),"")</f>
        <v>3160</v>
      </c>
      <c r="G353" s="1">
        <f>IFERROR(VLOOKUP(B353,Petróleo!J:K,2,FALSE),"")</f>
        <v>4725</v>
      </c>
      <c r="H353" s="1">
        <f>IFERROR(VLOOKUP(B353,Petróleo!L:M,2,FALSE),"")</f>
        <v>1245</v>
      </c>
      <c r="I353" s="1">
        <f>IFERROR(VLOOKUP(B353,Petróleo!N:O,2,FALSE),"")</f>
        <v>1973.78</v>
      </c>
      <c r="J353" s="1">
        <f>IFERROR(VLOOKUP(B353,Petróleo!P:Q,2,FALSE),"")</f>
        <v>10835.476000000001</v>
      </c>
      <c r="K353" s="1">
        <f>IFERROR(VLOOKUP(B353,Petróleo!R:S,2,FALSE),"")</f>
        <v>885</v>
      </c>
      <c r="L353" s="1">
        <f>IFERROR(VLOOKUP(B353,Petróleo!T:U,2,FALSE),"")</f>
        <v>3774.83</v>
      </c>
      <c r="M353" s="8">
        <f>IFERROR(VLOOKUP(B353,Petróleo!X:Y,2,FALSE),"")</f>
        <v>30260</v>
      </c>
      <c r="N353" s="8">
        <f>IFERROR(VLOOKUP(B353,Petróleo!Z:AA,2,FALSE),"")</f>
        <v>9790</v>
      </c>
      <c r="O353" s="8">
        <f>IFERROR(VLOOKUP(B353,Petróleo!AB:AC,2,FALSE),"")</f>
        <v>3070</v>
      </c>
      <c r="P353" s="8">
        <f>IFERROR(VLOOKUP(B353,Petróleo!AD:AE,2,FALSE),"")</f>
        <v>2550</v>
      </c>
      <c r="Q353" s="8">
        <f>IFERROR(VLOOKUP(B353,Petróleo!AF:AG,2,FALSE),"")</f>
        <v>4630</v>
      </c>
      <c r="R353" s="8">
        <f>IFERROR(VLOOKUP(B353,Petróleo!AH:AI,2,FALSE),"")</f>
        <v>1190</v>
      </c>
      <c r="S353" s="8">
        <f>IFERROR(VLOOKUP(B353,Petróleo!AJ:AK,2,FALSE),"")</f>
        <v>1900</v>
      </c>
      <c r="T353" s="8">
        <f>IFERROR(VLOOKUP(B353,Petróleo!AL:AM,2,FALSE),"")</f>
        <v>840</v>
      </c>
      <c r="U353" s="8">
        <f>IFERROR(VLOOKUP(B353,Petróleo!AN:AO,2,FALSE),"")</f>
        <v>2720</v>
      </c>
      <c r="V353" s="10" t="str">
        <f>IFERROR(VLOOKUP(A353,Petróleo!AR:AT,3,FALSE),"")</f>
        <v/>
      </c>
    </row>
    <row r="354" spans="1:22" x14ac:dyDescent="0.25">
      <c r="A354" s="9" t="str">
        <f t="shared" si="5"/>
        <v>52019</v>
      </c>
      <c r="B354" s="9">
        <v>43616</v>
      </c>
      <c r="C354" s="1">
        <f>IFERROR(VLOOKUP(B354,Petróleo!A:B,2,FALSE),"")</f>
        <v>12151</v>
      </c>
      <c r="D354" s="1">
        <f>IFERROR(VLOOKUP(B354,Estoque_US!D:E,2,FALSE),"")</f>
        <v>12697</v>
      </c>
      <c r="E354" s="1">
        <f>IFERROR(VLOOKUP(B354,Petróleo!F:G,2,FALSE),"")</f>
        <v>10102</v>
      </c>
      <c r="F354" s="1">
        <f>IFERROR(VLOOKUP(B354,Petróleo!H:I,2,FALSE),"")</f>
        <v>2960</v>
      </c>
      <c r="G354" s="1">
        <f>IFERROR(VLOOKUP(B354,Petróleo!J:K,2,FALSE),"")</f>
        <v>4725</v>
      </c>
      <c r="H354" s="1">
        <f>IFERROR(VLOOKUP(B354,Petróleo!L:M,2,FALSE),"")</f>
        <v>1235</v>
      </c>
      <c r="I354" s="1">
        <f>IFERROR(VLOOKUP(B354,Petróleo!N:O,2,FALSE),"")</f>
        <v>1873.78</v>
      </c>
      <c r="J354" s="1">
        <f>IFERROR(VLOOKUP(B354,Petróleo!P:Q,2,FALSE),"")</f>
        <v>10708.992</v>
      </c>
      <c r="K354" s="1">
        <f>IFERROR(VLOOKUP(B354,Petróleo!R:S,2,FALSE),"")</f>
        <v>805</v>
      </c>
      <c r="L354" s="1">
        <f>IFERROR(VLOOKUP(B354,Petróleo!T:U,2,FALSE),"")</f>
        <v>3870.864</v>
      </c>
      <c r="M354" s="8">
        <f>IFERROR(VLOOKUP(B354,Petróleo!X:Y,2,FALSE),"")</f>
        <v>30130</v>
      </c>
      <c r="N354" s="8">
        <f>IFERROR(VLOOKUP(B354,Petróleo!Z:AA,2,FALSE),"")</f>
        <v>9830</v>
      </c>
      <c r="O354" s="8">
        <f>IFERROR(VLOOKUP(B354,Petróleo!AB:AC,2,FALSE),"")</f>
        <v>3070</v>
      </c>
      <c r="P354" s="8">
        <f>IFERROR(VLOOKUP(B354,Petróleo!AD:AE,2,FALSE),"")</f>
        <v>2380</v>
      </c>
      <c r="Q354" s="8">
        <f>IFERROR(VLOOKUP(B354,Petróleo!AF:AG,2,FALSE),"")</f>
        <v>4730</v>
      </c>
      <c r="R354" s="8">
        <f>IFERROR(VLOOKUP(B354,Petróleo!AH:AI,2,FALSE),"")</f>
        <v>1150</v>
      </c>
      <c r="S354" s="8">
        <f>IFERROR(VLOOKUP(B354,Petróleo!AJ:AK,2,FALSE),"")</f>
        <v>1860</v>
      </c>
      <c r="T354" s="8">
        <f>IFERROR(VLOOKUP(B354,Petróleo!AL:AM,2,FALSE),"")</f>
        <v>780</v>
      </c>
      <c r="U354" s="8">
        <f>IFERROR(VLOOKUP(B354,Petróleo!AN:AO,2,FALSE),"")</f>
        <v>2700</v>
      </c>
      <c r="V354" s="10" t="str">
        <f>IFERROR(VLOOKUP(A354,Petróleo!AR:AT,3,FALSE),"")</f>
        <v/>
      </c>
    </row>
    <row r="355" spans="1:22" x14ac:dyDescent="0.25">
      <c r="A355" s="9" t="str">
        <f t="shared" si="5"/>
        <v>62019</v>
      </c>
      <c r="B355" s="9">
        <v>43646</v>
      </c>
      <c r="C355" s="1">
        <f>IFERROR(VLOOKUP(B355,Petróleo!A:B,2,FALSE),"")</f>
        <v>12222</v>
      </c>
      <c r="D355" s="1">
        <f>IFERROR(VLOOKUP(B355,Estoque_US!D:E,2,FALSE),"")</f>
        <v>-14773</v>
      </c>
      <c r="E355" s="1">
        <f>IFERROR(VLOOKUP(B355,Petróleo!F:G,2,FALSE),"")</f>
        <v>10202</v>
      </c>
      <c r="F355" s="1">
        <f>IFERROR(VLOOKUP(B355,Petróleo!H:I,2,FALSE),"")</f>
        <v>2870</v>
      </c>
      <c r="G355" s="1">
        <f>IFERROR(VLOOKUP(B355,Petróleo!J:K,2,FALSE),"")</f>
        <v>4725</v>
      </c>
      <c r="H355" s="1">
        <f>IFERROR(VLOOKUP(B355,Petróleo!L:M,2,FALSE),"")</f>
        <v>1175</v>
      </c>
      <c r="I355" s="1">
        <f>IFERROR(VLOOKUP(B355,Petróleo!N:O,2,FALSE),"")</f>
        <v>1993.78</v>
      </c>
      <c r="J355" s="1">
        <f>IFERROR(VLOOKUP(B355,Petróleo!P:Q,2,FALSE),"")</f>
        <v>10755.848</v>
      </c>
      <c r="K355" s="1">
        <f>IFERROR(VLOOKUP(B355,Petróleo!R:S,2,FALSE),"")</f>
        <v>855</v>
      </c>
      <c r="L355" s="1">
        <f>IFERROR(VLOOKUP(B355,Petróleo!T:U,2,FALSE),"")</f>
        <v>3787.8809999999999</v>
      </c>
      <c r="M355" s="8">
        <f>IFERROR(VLOOKUP(B355,Petróleo!X:Y,2,FALSE),"")</f>
        <v>30000</v>
      </c>
      <c r="N355" s="8">
        <f>IFERROR(VLOOKUP(B355,Petróleo!Z:AA,2,FALSE),"")</f>
        <v>9820</v>
      </c>
      <c r="O355" s="8">
        <f>IFERROR(VLOOKUP(B355,Petróleo!AB:AC,2,FALSE),"")</f>
        <v>3060</v>
      </c>
      <c r="P355" s="8">
        <f>IFERROR(VLOOKUP(B355,Petróleo!AD:AE,2,FALSE),"")</f>
        <v>2280</v>
      </c>
      <c r="Q355" s="8">
        <f>IFERROR(VLOOKUP(B355,Petróleo!AF:AG,2,FALSE),"")</f>
        <v>4750</v>
      </c>
      <c r="R355" s="8">
        <f>IFERROR(VLOOKUP(B355,Petróleo!AH:AI,2,FALSE),"")</f>
        <v>1150</v>
      </c>
      <c r="S355" s="8">
        <f>IFERROR(VLOOKUP(B355,Petróleo!AJ:AK,2,FALSE),"")</f>
        <v>1890</v>
      </c>
      <c r="T355" s="8">
        <f>IFERROR(VLOOKUP(B355,Petróleo!AL:AM,2,FALSE),"")</f>
        <v>770</v>
      </c>
      <c r="U355" s="8">
        <f>IFERROR(VLOOKUP(B355,Petróleo!AN:AO,2,FALSE),"")</f>
        <v>2690</v>
      </c>
      <c r="V355" s="10" t="str">
        <f>IFERROR(VLOOKUP(A355,Petróleo!AR:AT,3,FALSE),"")</f>
        <v/>
      </c>
    </row>
    <row r="356" spans="1:22" x14ac:dyDescent="0.25">
      <c r="A356" s="9" t="str">
        <f t="shared" si="5"/>
        <v>72019</v>
      </c>
      <c r="B356" s="9">
        <v>43677</v>
      </c>
      <c r="C356" s="1">
        <f>IFERROR(VLOOKUP(B356,Petróleo!A:B,2,FALSE),"")</f>
        <v>11907</v>
      </c>
      <c r="D356" s="1">
        <f>IFERROR(VLOOKUP(B356,Estoque_US!D:E,2,FALSE),"")</f>
        <v>-31946</v>
      </c>
      <c r="E356" s="1">
        <f>IFERROR(VLOOKUP(B356,Petróleo!F:G,2,FALSE),"")</f>
        <v>9952</v>
      </c>
      <c r="F356" s="1">
        <f>IFERROR(VLOOKUP(B356,Petróleo!H:I,2,FALSE),"")</f>
        <v>2770</v>
      </c>
      <c r="G356" s="1">
        <f>IFERROR(VLOOKUP(B356,Petróleo!J:K,2,FALSE),"")</f>
        <v>4725</v>
      </c>
      <c r="H356" s="1">
        <f>IFERROR(VLOOKUP(B356,Petróleo!L:M,2,FALSE),"")</f>
        <v>1200</v>
      </c>
      <c r="I356" s="1">
        <f>IFERROR(VLOOKUP(B356,Petróleo!N:O,2,FALSE),"")</f>
        <v>1963.78</v>
      </c>
      <c r="J356" s="1">
        <f>IFERROR(VLOOKUP(B356,Petróleo!P:Q,2,FALSE),"")</f>
        <v>10750.56</v>
      </c>
      <c r="K356" s="1">
        <f>IFERROR(VLOOKUP(B356,Petróleo!R:S,2,FALSE),"")</f>
        <v>855</v>
      </c>
      <c r="L356" s="1">
        <f>IFERROR(VLOOKUP(B356,Petróleo!T:U,2,FALSE),"")</f>
        <v>3764.0770000000002</v>
      </c>
      <c r="M356" s="8">
        <f>IFERROR(VLOOKUP(B356,Petróleo!X:Y,2,FALSE),"")</f>
        <v>29790</v>
      </c>
      <c r="N356" s="8">
        <f>IFERROR(VLOOKUP(B356,Petróleo!Z:AA,2,FALSE),"")</f>
        <v>9780</v>
      </c>
      <c r="O356" s="8">
        <f>IFERROR(VLOOKUP(B356,Petróleo!AB:AC,2,FALSE),"")</f>
        <v>3060</v>
      </c>
      <c r="P356" s="8">
        <f>IFERROR(VLOOKUP(B356,Petróleo!AD:AE,2,FALSE),"")</f>
        <v>2210</v>
      </c>
      <c r="Q356" s="8">
        <f>IFERROR(VLOOKUP(B356,Petróleo!AF:AG,2,FALSE),"")</f>
        <v>4750</v>
      </c>
      <c r="R356" s="8">
        <f>IFERROR(VLOOKUP(B356,Petróleo!AH:AI,2,FALSE),"")</f>
        <v>1100</v>
      </c>
      <c r="S356" s="8">
        <f>IFERROR(VLOOKUP(B356,Petróleo!AJ:AK,2,FALSE),"")</f>
        <v>1890</v>
      </c>
      <c r="T356" s="8">
        <f>IFERROR(VLOOKUP(B356,Petróleo!AL:AM,2,FALSE),"")</f>
        <v>780</v>
      </c>
      <c r="U356" s="8">
        <f>IFERROR(VLOOKUP(B356,Petróleo!AN:AO,2,FALSE),"")</f>
        <v>2680</v>
      </c>
      <c r="V356" s="10" t="str">
        <f>IFERROR(VLOOKUP(A356,Petróleo!AR:AT,3,FALSE),"")</f>
        <v/>
      </c>
    </row>
    <row r="357" spans="1:22" x14ac:dyDescent="0.25">
      <c r="A357" s="9" t="str">
        <f t="shared" si="5"/>
        <v>82019</v>
      </c>
      <c r="B357" s="9">
        <v>43708</v>
      </c>
      <c r="C357" s="1">
        <f>IFERROR(VLOOKUP(B357,Petróleo!A:B,2,FALSE),"")</f>
        <v>12488</v>
      </c>
      <c r="D357" s="1">
        <f>IFERROR(VLOOKUP(B357,Estoque_US!D:E,2,FALSE),"")</f>
        <v>-13565</v>
      </c>
      <c r="E357" s="1">
        <f>IFERROR(VLOOKUP(B357,Petróleo!F:G,2,FALSE),"")</f>
        <v>10052</v>
      </c>
      <c r="F357" s="1">
        <f>IFERROR(VLOOKUP(B357,Petróleo!H:I,2,FALSE),"")</f>
        <v>2770</v>
      </c>
      <c r="G357" s="1">
        <f>IFERROR(VLOOKUP(B357,Petróleo!J:K,2,FALSE),"")</f>
        <v>4775</v>
      </c>
      <c r="H357" s="1">
        <f>IFERROR(VLOOKUP(B357,Petróleo!L:M,2,FALSE),"")</f>
        <v>1160</v>
      </c>
      <c r="I357" s="1">
        <f>IFERROR(VLOOKUP(B357,Petróleo!N:O,2,FALSE),"")</f>
        <v>2043.78</v>
      </c>
      <c r="J357" s="1">
        <f>IFERROR(VLOOKUP(B357,Petróleo!P:Q,2,FALSE),"")</f>
        <v>10900.069</v>
      </c>
      <c r="K357" s="1">
        <f>IFERROR(VLOOKUP(B357,Petróleo!R:S,2,FALSE),"")</f>
        <v>805</v>
      </c>
      <c r="L357" s="1">
        <f>IFERROR(VLOOKUP(B357,Petróleo!T:U,2,FALSE),"")</f>
        <v>3759.0970000000002</v>
      </c>
      <c r="M357" s="8">
        <f>IFERROR(VLOOKUP(B357,Petróleo!X:Y,2,FALSE),"")</f>
        <v>29910</v>
      </c>
      <c r="N357" s="8">
        <f>IFERROR(VLOOKUP(B357,Petróleo!Z:AA,2,FALSE),"")</f>
        <v>9830</v>
      </c>
      <c r="O357" s="8">
        <f>IFERROR(VLOOKUP(B357,Petróleo!AB:AC,2,FALSE),"")</f>
        <v>3070</v>
      </c>
      <c r="P357" s="8">
        <f>IFERROR(VLOOKUP(B357,Petróleo!AD:AE,2,FALSE),"")</f>
        <v>2210</v>
      </c>
      <c r="Q357" s="8">
        <f>IFERROR(VLOOKUP(B357,Petróleo!AF:AG,2,FALSE),"")</f>
        <v>4780</v>
      </c>
      <c r="R357" s="8">
        <f>IFERROR(VLOOKUP(B357,Petróleo!AH:AI,2,FALSE),"")</f>
        <v>1070</v>
      </c>
      <c r="S357" s="8">
        <f>IFERROR(VLOOKUP(B357,Petróleo!AJ:AK,2,FALSE),"")</f>
        <v>1950</v>
      </c>
      <c r="T357" s="8">
        <f>IFERROR(VLOOKUP(B357,Petróleo!AL:AM,2,FALSE),"")</f>
        <v>760</v>
      </c>
      <c r="U357" s="8">
        <f>IFERROR(VLOOKUP(B357,Petróleo!AN:AO,2,FALSE),"")</f>
        <v>2640</v>
      </c>
      <c r="V357" s="10" t="str">
        <f>IFERROR(VLOOKUP(A357,Petróleo!AR:AT,3,FALSE),"")</f>
        <v/>
      </c>
    </row>
    <row r="358" spans="1:22" x14ac:dyDescent="0.25">
      <c r="A358" s="9" t="str">
        <f t="shared" si="5"/>
        <v>92019</v>
      </c>
      <c r="B358" s="9">
        <v>43738</v>
      </c>
      <c r="C358" s="1">
        <f>IFERROR(VLOOKUP(B358,Petróleo!A:B,2,FALSE),"")</f>
        <v>12596</v>
      </c>
      <c r="D358" s="1">
        <f>IFERROR(VLOOKUP(B358,Estoque_US!D:E,2,FALSE),"")</f>
        <v>-338</v>
      </c>
      <c r="E358" s="1">
        <f>IFERROR(VLOOKUP(B358,Petróleo!F:G,2,FALSE),"")</f>
        <v>8702</v>
      </c>
      <c r="F358" s="1">
        <f>IFERROR(VLOOKUP(B358,Petróleo!H:I,2,FALSE),"")</f>
        <v>2770</v>
      </c>
      <c r="G358" s="1">
        <f>IFERROR(VLOOKUP(B358,Petróleo!J:K,2,FALSE),"")</f>
        <v>4675</v>
      </c>
      <c r="H358" s="1">
        <f>IFERROR(VLOOKUP(B358,Petróleo!L:M,2,FALSE),"")</f>
        <v>1255</v>
      </c>
      <c r="I358" s="1">
        <f>IFERROR(VLOOKUP(B358,Petróleo!N:O,2,FALSE),"")</f>
        <v>1993.78</v>
      </c>
      <c r="J358" s="1">
        <f>IFERROR(VLOOKUP(B358,Petróleo!P:Q,2,FALSE),"")</f>
        <v>10860.031999999999</v>
      </c>
      <c r="K358" s="1">
        <f>IFERROR(VLOOKUP(B358,Petróleo!R:S,2,FALSE),"")</f>
        <v>705</v>
      </c>
      <c r="L358" s="1">
        <f>IFERROR(VLOOKUP(B358,Petróleo!T:U,2,FALSE),"")</f>
        <v>3747.1280000000002</v>
      </c>
      <c r="M358" s="8">
        <f>IFERROR(VLOOKUP(B358,Petróleo!X:Y,2,FALSE),"")</f>
        <v>28590</v>
      </c>
      <c r="N358" s="8">
        <f>IFERROR(VLOOKUP(B358,Petróleo!Z:AA,2,FALSE),"")</f>
        <v>8650</v>
      </c>
      <c r="O358" s="8">
        <f>IFERROR(VLOOKUP(B358,Petróleo!AB:AC,2,FALSE),"")</f>
        <v>3070</v>
      </c>
      <c r="P358" s="8">
        <f>IFERROR(VLOOKUP(B358,Petróleo!AD:AE,2,FALSE),"")</f>
        <v>2130</v>
      </c>
      <c r="Q358" s="8">
        <f>IFERROR(VLOOKUP(B358,Petróleo!AF:AG,2,FALSE),"")</f>
        <v>4780</v>
      </c>
      <c r="R358" s="8">
        <f>IFERROR(VLOOKUP(B358,Petróleo!AH:AI,2,FALSE),"")</f>
        <v>1120</v>
      </c>
      <c r="S358" s="8">
        <f>IFERROR(VLOOKUP(B358,Petróleo!AJ:AK,2,FALSE),"")</f>
        <v>1930</v>
      </c>
      <c r="T358" s="8">
        <f>IFERROR(VLOOKUP(B358,Petróleo!AL:AM,2,FALSE),"")</f>
        <v>660</v>
      </c>
      <c r="U358" s="8">
        <f>IFERROR(VLOOKUP(B358,Petróleo!AN:AO,2,FALSE),"")</f>
        <v>2690</v>
      </c>
      <c r="V358" s="10" t="str">
        <f>IFERROR(VLOOKUP(A358,Petróleo!AR:AT,3,FALSE),"")</f>
        <v/>
      </c>
    </row>
    <row r="359" spans="1:22" x14ac:dyDescent="0.25">
      <c r="A359" s="9" t="str">
        <f t="shared" si="5"/>
        <v>102019</v>
      </c>
      <c r="B359" s="9">
        <v>43769</v>
      </c>
      <c r="C359" s="1">
        <f>IFERROR(VLOOKUP(B359,Petróleo!A:B,2,FALSE),"")</f>
        <v>12809</v>
      </c>
      <c r="D359" s="1">
        <f>IFERROR(VLOOKUP(B359,Estoque_US!D:E,2,FALSE),"")</f>
        <v>16211</v>
      </c>
      <c r="E359" s="1">
        <f>IFERROR(VLOOKUP(B359,Petróleo!F:G,2,FALSE),"")</f>
        <v>10052</v>
      </c>
      <c r="F359" s="1">
        <f>IFERROR(VLOOKUP(B359,Petróleo!H:I,2,FALSE),"")</f>
        <v>2765</v>
      </c>
      <c r="G359" s="1">
        <f>IFERROR(VLOOKUP(B359,Petróleo!J:K,2,FALSE),"")</f>
        <v>4775</v>
      </c>
      <c r="H359" s="1">
        <f>IFERROR(VLOOKUP(B359,Petróleo!L:M,2,FALSE),"")</f>
        <v>1245</v>
      </c>
      <c r="I359" s="1">
        <f>IFERROR(VLOOKUP(B359,Petróleo!N:O,2,FALSE),"")</f>
        <v>1973.78</v>
      </c>
      <c r="J359" s="1">
        <f>IFERROR(VLOOKUP(B359,Petróleo!P:Q,2,FALSE),"")</f>
        <v>10835.825000000001</v>
      </c>
      <c r="K359" s="1">
        <f>IFERROR(VLOOKUP(B359,Petróleo!R:S,2,FALSE),"")</f>
        <v>690</v>
      </c>
      <c r="L359" s="1">
        <f>IFERROR(VLOOKUP(B359,Petróleo!T:U,2,FALSE),"")</f>
        <v>3773.0030000000002</v>
      </c>
      <c r="M359" s="8">
        <f>IFERROR(VLOOKUP(B359,Petróleo!X:Y,2,FALSE),"")</f>
        <v>29810</v>
      </c>
      <c r="N359" s="8">
        <f>IFERROR(VLOOKUP(B359,Petróleo!Z:AA,2,FALSE),"")</f>
        <v>10020</v>
      </c>
      <c r="O359" s="8">
        <f>IFERROR(VLOOKUP(B359,Petróleo!AB:AC,2,FALSE),"")</f>
        <v>3070</v>
      </c>
      <c r="P359" s="8">
        <f>IFERROR(VLOOKUP(B359,Petróleo!AD:AE,2,FALSE),"")</f>
        <v>2110</v>
      </c>
      <c r="Q359" s="8">
        <f>IFERROR(VLOOKUP(B359,Petróleo!AF:AG,2,FALSE),"")</f>
        <v>4680</v>
      </c>
      <c r="R359" s="8">
        <f>IFERROR(VLOOKUP(B359,Petróleo!AH:AI,2,FALSE),"")</f>
        <v>1180</v>
      </c>
      <c r="S359" s="8">
        <f>IFERROR(VLOOKUP(B359,Petróleo!AJ:AK,2,FALSE),"")</f>
        <v>1910</v>
      </c>
      <c r="T359" s="8">
        <f>IFERROR(VLOOKUP(B359,Petróleo!AL:AM,2,FALSE),"")</f>
        <v>690</v>
      </c>
      <c r="U359" s="8">
        <f>IFERROR(VLOOKUP(B359,Petróleo!AN:AO,2,FALSE),"")</f>
        <v>2670</v>
      </c>
      <c r="V359" s="10" t="str">
        <f>IFERROR(VLOOKUP(A359,Petróleo!AR:AT,3,FALSE),"")</f>
        <v/>
      </c>
    </row>
    <row r="360" spans="1:22" x14ac:dyDescent="0.25">
      <c r="A360" s="9" t="str">
        <f t="shared" si="5"/>
        <v>112019</v>
      </c>
      <c r="B360" s="9">
        <v>43799</v>
      </c>
      <c r="C360" s="1">
        <f>IFERROR(VLOOKUP(B360,Petróleo!A:B,2,FALSE),"")</f>
        <v>12998</v>
      </c>
      <c r="D360" s="1">
        <f>IFERROR(VLOOKUP(B360,Estoque_US!D:E,2,FALSE),"")</f>
        <v>8243</v>
      </c>
      <c r="E360" s="1">
        <f>IFERROR(VLOOKUP(B360,Petróleo!F:G,2,FALSE),"")</f>
        <v>10102</v>
      </c>
      <c r="F360" s="1">
        <f>IFERROR(VLOOKUP(B360,Petróleo!H:I,2,FALSE),"")</f>
        <v>2665</v>
      </c>
      <c r="G360" s="1">
        <f>IFERROR(VLOOKUP(B360,Petróleo!J:K,2,FALSE),"")</f>
        <v>4675</v>
      </c>
      <c r="H360" s="1">
        <f>IFERROR(VLOOKUP(B360,Petróleo!L:M,2,FALSE),"")</f>
        <v>1265</v>
      </c>
      <c r="I360" s="1">
        <f>IFERROR(VLOOKUP(B360,Petróleo!N:O,2,FALSE),"")</f>
        <v>1963.78</v>
      </c>
      <c r="J360" s="1">
        <f>IFERROR(VLOOKUP(B360,Petróleo!P:Q,2,FALSE),"")</f>
        <v>10853.361999999999</v>
      </c>
      <c r="K360" s="1">
        <f>IFERROR(VLOOKUP(B360,Petróleo!R:S,2,FALSE),"")</f>
        <v>740</v>
      </c>
      <c r="L360" s="1">
        <f>IFERROR(VLOOKUP(B360,Petróleo!T:U,2,FALSE),"")</f>
        <v>3734.96</v>
      </c>
      <c r="M360" s="8">
        <f>IFERROR(VLOOKUP(B360,Petróleo!X:Y,2,FALSE),"")</f>
        <v>29640</v>
      </c>
      <c r="N360" s="8">
        <f>IFERROR(VLOOKUP(B360,Petróleo!Z:AA,2,FALSE),"")</f>
        <v>9870</v>
      </c>
      <c r="O360" s="8">
        <f>IFERROR(VLOOKUP(B360,Petróleo!AB:AC,2,FALSE),"")</f>
        <v>3100</v>
      </c>
      <c r="P360" s="8">
        <f>IFERROR(VLOOKUP(B360,Petróleo!AD:AE,2,FALSE),"")</f>
        <v>2070</v>
      </c>
      <c r="Q360" s="8">
        <f>IFERROR(VLOOKUP(B360,Petróleo!AF:AG,2,FALSE),"")</f>
        <v>4710</v>
      </c>
      <c r="R360" s="8">
        <f>IFERROR(VLOOKUP(B360,Petróleo!AH:AI,2,FALSE),"")</f>
        <v>1170</v>
      </c>
      <c r="S360" s="8">
        <f>IFERROR(VLOOKUP(B360,Petróleo!AJ:AK,2,FALSE),"")</f>
        <v>1890</v>
      </c>
      <c r="T360" s="8">
        <f>IFERROR(VLOOKUP(B360,Petróleo!AL:AM,2,FALSE),"")</f>
        <v>700</v>
      </c>
      <c r="U360" s="8">
        <f>IFERROR(VLOOKUP(B360,Petróleo!AN:AO,2,FALSE),"")</f>
        <v>2700</v>
      </c>
      <c r="V360" s="10" t="str">
        <f>IFERROR(VLOOKUP(A360,Petróleo!AR:AT,3,FALSE),"")</f>
        <v/>
      </c>
    </row>
    <row r="361" spans="1:22" x14ac:dyDescent="0.25">
      <c r="A361" s="9" t="str">
        <f t="shared" si="5"/>
        <v>122019</v>
      </c>
      <c r="B361" s="9">
        <v>43830</v>
      </c>
      <c r="C361" s="1">
        <f>IFERROR(VLOOKUP(B361,Petróleo!A:B,2,FALSE),"")</f>
        <v>12983</v>
      </c>
      <c r="D361" s="1">
        <f>IFERROR(VLOOKUP(B361,Estoque_US!D:E,2,FALSE),"")</f>
        <v>-17200</v>
      </c>
      <c r="E361" s="1">
        <f>IFERROR(VLOOKUP(B361,Petróleo!F:G,2,FALSE),"")</f>
        <v>9952</v>
      </c>
      <c r="F361" s="1">
        <f>IFERROR(VLOOKUP(B361,Petróleo!H:I,2,FALSE),"")</f>
        <v>2665</v>
      </c>
      <c r="G361" s="1">
        <f>IFERROR(VLOOKUP(B361,Petróleo!J:K,2,FALSE),"")</f>
        <v>4575</v>
      </c>
      <c r="H361" s="1">
        <f>IFERROR(VLOOKUP(B361,Petróleo!L:M,2,FALSE),"")</f>
        <v>1225</v>
      </c>
      <c r="I361" s="1">
        <f>IFERROR(VLOOKUP(B361,Petróleo!N:O,2,FALSE),"")</f>
        <v>1943.78</v>
      </c>
      <c r="J361" s="1">
        <f>IFERROR(VLOOKUP(B361,Petróleo!P:Q,2,FALSE),"")</f>
        <v>10871.174000000001</v>
      </c>
      <c r="K361" s="1">
        <f>IFERROR(VLOOKUP(B361,Petróleo!R:S,2,FALSE),"")</f>
        <v>890</v>
      </c>
      <c r="L361" s="1">
        <f>IFERROR(VLOOKUP(B361,Petróleo!T:U,2,FALSE),"")</f>
        <v>3879.93</v>
      </c>
      <c r="M361" s="8">
        <f>IFERROR(VLOOKUP(B361,Petróleo!X:Y,2,FALSE),"")</f>
        <v>28870</v>
      </c>
      <c r="N361" s="8">
        <f>IFERROR(VLOOKUP(B361,Petróleo!Z:AA,2,FALSE),"")</f>
        <v>9730</v>
      </c>
      <c r="O361" s="8">
        <f>IFERROR(VLOOKUP(B361,Petróleo!AB:AC,2,FALSE),"")</f>
        <v>3040</v>
      </c>
      <c r="P361" s="8">
        <f>IFERROR(VLOOKUP(B361,Petróleo!AD:AE,2,FALSE),"")</f>
        <v>2080</v>
      </c>
      <c r="Q361" s="8">
        <f>IFERROR(VLOOKUP(B361,Petróleo!AF:AG,2,FALSE),"")</f>
        <v>4610</v>
      </c>
      <c r="R361" s="8">
        <f>IFERROR(VLOOKUP(B361,Petróleo!AH:AI,2,FALSE),"")</f>
        <v>1110</v>
      </c>
      <c r="S361" s="8">
        <f>IFERROR(VLOOKUP(B361,Petróleo!AJ:AK,2,FALSE),"")</f>
        <v>1820</v>
      </c>
      <c r="T361" s="8">
        <f>IFERROR(VLOOKUP(B361,Petróleo!AL:AM,2,FALSE),"")</f>
        <v>730</v>
      </c>
      <c r="U361" s="8">
        <f>IFERROR(VLOOKUP(B361,Petróleo!AN:AO,2,FALSE),"")</f>
        <v>2710</v>
      </c>
      <c r="V361" s="10" t="str">
        <f>IFERROR(VLOOKUP(A361,Petróleo!AR:AT,3,FALSE),"")</f>
        <v/>
      </c>
    </row>
    <row r="362" spans="1:22" x14ac:dyDescent="0.25">
      <c r="A362" s="9" t="str">
        <f t="shared" si="5"/>
        <v>12020</v>
      </c>
      <c r="B362" s="9">
        <v>43861</v>
      </c>
      <c r="C362" s="1">
        <f>IFERROR(VLOOKUP(B362,Petróleo!A:B,2,FALSE),"")</f>
        <v>12865</v>
      </c>
      <c r="D362" s="1">
        <f>IFERROR(VLOOKUP(B362,Estoque_US!D:E,2,FALSE),"")</f>
        <v>5113</v>
      </c>
      <c r="E362" s="1">
        <f>IFERROR(VLOOKUP(B362,Petróleo!F:G,2,FALSE),"")</f>
        <v>10044</v>
      </c>
      <c r="F362" s="1">
        <f>IFERROR(VLOOKUP(B362,Petróleo!H:I,2,FALSE),"")</f>
        <v>2555</v>
      </c>
      <c r="G362" s="1">
        <f>IFERROR(VLOOKUP(B362,Petróleo!J:K,2,FALSE),"")</f>
        <v>4575</v>
      </c>
      <c r="H362" s="1">
        <f>IFERROR(VLOOKUP(B362,Petróleo!L:M,2,FALSE),"")</f>
        <v>830</v>
      </c>
      <c r="I362" s="1">
        <f>IFERROR(VLOOKUP(B362,Petróleo!N:O,2,FALSE),"")</f>
        <v>1989.338</v>
      </c>
      <c r="J362" s="1">
        <f>IFERROR(VLOOKUP(B362,Petróleo!P:Q,2,FALSE),"")</f>
        <v>10916.242</v>
      </c>
      <c r="K362" s="1">
        <f>IFERROR(VLOOKUP(B362,Petróleo!R:S,2,FALSE),"")</f>
        <v>890</v>
      </c>
      <c r="L362" s="1">
        <f>IFERROR(VLOOKUP(B362,Petróleo!T:U,2,FALSE),"")</f>
        <v>3818.3670000000002</v>
      </c>
      <c r="M362" s="8">
        <f>IFERROR(VLOOKUP(B362,Petróleo!X:Y,2,FALSE),"")</f>
        <v>28370</v>
      </c>
      <c r="N362" s="8">
        <f>IFERROR(VLOOKUP(B362,Petróleo!Z:AA,2,FALSE),"")</f>
        <v>9700</v>
      </c>
      <c r="O362" s="8">
        <f>IFERROR(VLOOKUP(B362,Petróleo!AB:AC,2,FALSE),"")</f>
        <v>3010</v>
      </c>
      <c r="P362" s="8">
        <f>IFERROR(VLOOKUP(B362,Petróleo!AD:AE,2,FALSE),"")</f>
        <v>1990</v>
      </c>
      <c r="Q362" s="8">
        <f>IFERROR(VLOOKUP(B362,Petróleo!AF:AG,2,FALSE),"")</f>
        <v>4580</v>
      </c>
      <c r="R362" s="8">
        <f>IFERROR(VLOOKUP(B362,Petróleo!AH:AI,2,FALSE),"")</f>
        <v>790</v>
      </c>
      <c r="S362" s="8">
        <f>IFERROR(VLOOKUP(B362,Petróleo!AJ:AK,2,FALSE),"")</f>
        <v>1830</v>
      </c>
      <c r="T362" s="8">
        <f>IFERROR(VLOOKUP(B362,Petróleo!AL:AM,2,FALSE),"")</f>
        <v>840</v>
      </c>
      <c r="U362" s="8">
        <f>IFERROR(VLOOKUP(B362,Petróleo!AN:AO,2,FALSE),"")</f>
        <v>2670</v>
      </c>
      <c r="V362" s="10" t="str">
        <f>IFERROR(VLOOKUP(A362,Petróleo!AR:AT,3,FALSE),"")</f>
        <v/>
      </c>
    </row>
    <row r="363" spans="1:22" x14ac:dyDescent="0.25">
      <c r="A363" s="9" t="str">
        <f t="shared" si="5"/>
        <v>22020</v>
      </c>
      <c r="B363" s="9">
        <v>43890</v>
      </c>
      <c r="C363" s="1">
        <f>IFERROR(VLOOKUP(B363,Petróleo!A:B,2,FALSE),"")</f>
        <v>12864</v>
      </c>
      <c r="D363" s="1">
        <f>IFERROR(VLOOKUP(B363,Estoque_US!D:E,2,FALSE),"")</f>
        <v>9110</v>
      </c>
      <c r="E363" s="1">
        <f>IFERROR(VLOOKUP(B363,Petróleo!F:G,2,FALSE),"")</f>
        <v>9944</v>
      </c>
      <c r="F363" s="1">
        <f>IFERROR(VLOOKUP(B363,Petróleo!H:I,2,FALSE),"")</f>
        <v>2605</v>
      </c>
      <c r="G363" s="1">
        <f>IFERROR(VLOOKUP(B363,Petróleo!J:K,2,FALSE),"")</f>
        <v>4675</v>
      </c>
      <c r="H363" s="1">
        <f>IFERROR(VLOOKUP(B363,Petróleo!L:M,2,FALSE),"")</f>
        <v>190</v>
      </c>
      <c r="I363" s="1">
        <f>IFERROR(VLOOKUP(B363,Petróleo!N:O,2,FALSE),"")</f>
        <v>1959.338</v>
      </c>
      <c r="J363" s="1">
        <f>IFERROR(VLOOKUP(B363,Petróleo!P:Q,2,FALSE),"")</f>
        <v>10897.308000000001</v>
      </c>
      <c r="K363" s="1">
        <f>IFERROR(VLOOKUP(B363,Petróleo!R:S,2,FALSE),"")</f>
        <v>840</v>
      </c>
      <c r="L363" s="1">
        <f>IFERROR(VLOOKUP(B363,Petróleo!T:U,2,FALSE),"")</f>
        <v>3857.71</v>
      </c>
      <c r="M363" s="8">
        <f>IFERROR(VLOOKUP(B363,Petróleo!X:Y,2,FALSE),"")</f>
        <v>27910</v>
      </c>
      <c r="N363" s="8">
        <f>IFERROR(VLOOKUP(B363,Petróleo!Z:AA,2,FALSE),"")</f>
        <v>9740</v>
      </c>
      <c r="O363" s="8">
        <f>IFERROR(VLOOKUP(B363,Petróleo!AB:AC,2,FALSE),"")</f>
        <v>3000</v>
      </c>
      <c r="P363" s="8">
        <f>IFERROR(VLOOKUP(B363,Petróleo!AD:AE,2,FALSE),"")</f>
        <v>2050</v>
      </c>
      <c r="Q363" s="8">
        <f>IFERROR(VLOOKUP(B363,Petróleo!AF:AG,2,FALSE),"")</f>
        <v>4610</v>
      </c>
      <c r="R363" s="8">
        <f>IFERROR(VLOOKUP(B363,Petróleo!AH:AI,2,FALSE),"")</f>
        <v>150</v>
      </c>
      <c r="S363" s="8">
        <f>IFERROR(VLOOKUP(B363,Petróleo!AJ:AK,2,FALSE),"")</f>
        <v>1930</v>
      </c>
      <c r="T363" s="8">
        <f>IFERROR(VLOOKUP(B363,Petróleo!AL:AM,2,FALSE),"")</f>
        <v>750</v>
      </c>
      <c r="U363" s="8">
        <f>IFERROR(VLOOKUP(B363,Petróleo!AN:AO,2,FALSE),"")</f>
        <v>2680</v>
      </c>
      <c r="V363" s="10" t="str">
        <f>IFERROR(VLOOKUP(A363,Petróleo!AR:AT,3,FALSE),"")</f>
        <v/>
      </c>
    </row>
    <row r="364" spans="1:22" x14ac:dyDescent="0.25">
      <c r="A364" s="9" t="str">
        <f t="shared" si="5"/>
        <v>32020</v>
      </c>
      <c r="B364" s="9">
        <v>43921</v>
      </c>
      <c r="C364" s="1">
        <f>IFERROR(VLOOKUP(B364,Petróleo!A:B,2,FALSE),"")</f>
        <v>12805</v>
      </c>
      <c r="D364" s="1">
        <f>IFERROR(VLOOKUP(B364,Estoque_US!D:E,2,FALSE),"")</f>
        <v>25074</v>
      </c>
      <c r="E364" s="1">
        <f>IFERROR(VLOOKUP(B364,Petróleo!F:G,2,FALSE),"")</f>
        <v>9994</v>
      </c>
      <c r="F364" s="1">
        <f>IFERROR(VLOOKUP(B364,Petróleo!H:I,2,FALSE),"")</f>
        <v>2555</v>
      </c>
      <c r="G364" s="1">
        <f>IFERROR(VLOOKUP(B364,Petróleo!J:K,2,FALSE),"")</f>
        <v>4525</v>
      </c>
      <c r="H364" s="1">
        <f>IFERROR(VLOOKUP(B364,Petróleo!L:M,2,FALSE),"")</f>
        <v>140</v>
      </c>
      <c r="I364" s="1">
        <f>IFERROR(VLOOKUP(B364,Petróleo!N:O,2,FALSE),"")</f>
        <v>1939.338</v>
      </c>
      <c r="J364" s="1">
        <f>IFERROR(VLOOKUP(B364,Petróleo!P:Q,2,FALSE),"")</f>
        <v>10893.825999999999</v>
      </c>
      <c r="K364" s="1">
        <f>IFERROR(VLOOKUP(B364,Petróleo!R:S,2,FALSE),"")</f>
        <v>670</v>
      </c>
      <c r="L364" s="1">
        <f>IFERROR(VLOOKUP(B364,Petróleo!T:U,2,FALSE),"")</f>
        <v>3820.08</v>
      </c>
      <c r="M364" s="8">
        <f>IFERROR(VLOOKUP(B364,Petróleo!X:Y,2,FALSE),"")</f>
        <v>28630</v>
      </c>
      <c r="N364" s="8">
        <f>IFERROR(VLOOKUP(B364,Petróleo!Z:AA,2,FALSE),"")</f>
        <v>9990</v>
      </c>
      <c r="O364" s="8">
        <f>IFERROR(VLOOKUP(B364,Petróleo!AB:AC,2,FALSE),"")</f>
        <v>3430</v>
      </c>
      <c r="P364" s="8">
        <f>IFERROR(VLOOKUP(B364,Petróleo!AD:AE,2,FALSE),"")</f>
        <v>2030</v>
      </c>
      <c r="Q364" s="8">
        <f>IFERROR(VLOOKUP(B364,Petróleo!AF:AG,2,FALSE),"")</f>
        <v>4620</v>
      </c>
      <c r="R364" s="8">
        <f>IFERROR(VLOOKUP(B364,Petróleo!AH:AI,2,FALSE),"")</f>
        <v>100</v>
      </c>
      <c r="S364" s="8">
        <f>IFERROR(VLOOKUP(B364,Petróleo!AJ:AK,2,FALSE),"")</f>
        <v>1930</v>
      </c>
      <c r="T364" s="8">
        <f>IFERROR(VLOOKUP(B364,Petróleo!AL:AM,2,FALSE),"")</f>
        <v>750</v>
      </c>
      <c r="U364" s="8">
        <f>IFERROR(VLOOKUP(B364,Petróleo!AN:AO,2,FALSE),"")</f>
        <v>2750</v>
      </c>
      <c r="V364" s="10" t="str">
        <f>IFERROR(VLOOKUP(A364,Petróleo!AR:AT,3,FALSE),"")</f>
        <v/>
      </c>
    </row>
    <row r="365" spans="1:22" x14ac:dyDescent="0.25">
      <c r="A365" s="9" t="str">
        <f t="shared" si="5"/>
        <v>42020</v>
      </c>
      <c r="B365" s="9">
        <v>43951</v>
      </c>
      <c r="C365" s="1">
        <f>IFERROR(VLOOKUP(B365,Petróleo!A:B,2,FALSE),"")</f>
        <v>11918</v>
      </c>
      <c r="D365" s="1">
        <f>IFERROR(VLOOKUP(B365,Estoque_US!D:E,2,FALSE),"")</f>
        <v>58438</v>
      </c>
      <c r="E365" s="1">
        <f>IFERROR(VLOOKUP(B365,Petróleo!F:G,2,FALSE),"")</f>
        <v>11794</v>
      </c>
      <c r="F365" s="1">
        <f>IFERROR(VLOOKUP(B365,Petróleo!H:I,2,FALSE),"")</f>
        <v>2530</v>
      </c>
      <c r="G365" s="1">
        <f>IFERROR(VLOOKUP(B365,Petróleo!J:K,2,FALSE),"")</f>
        <v>4525</v>
      </c>
      <c r="H365" s="1">
        <f>IFERROR(VLOOKUP(B365,Petróleo!L:M,2,FALSE),"")</f>
        <v>125</v>
      </c>
      <c r="I365" s="1">
        <f>IFERROR(VLOOKUP(B365,Petróleo!N:O,2,FALSE),"")</f>
        <v>1889.338</v>
      </c>
      <c r="J365" s="1">
        <f>IFERROR(VLOOKUP(B365,Petróleo!P:Q,2,FALSE),"")</f>
        <v>10934.822</v>
      </c>
      <c r="K365" s="1">
        <f>IFERROR(VLOOKUP(B365,Petróleo!R:S,2,FALSE),"")</f>
        <v>620</v>
      </c>
      <c r="L365" s="1">
        <f>IFERROR(VLOOKUP(B365,Petróleo!T:U,2,FALSE),"")</f>
        <v>3834.482</v>
      </c>
      <c r="M365" s="8">
        <f>IFERROR(VLOOKUP(B365,Petróleo!X:Y,2,FALSE),"")</f>
        <v>30440</v>
      </c>
      <c r="N365" s="8">
        <f>IFERROR(VLOOKUP(B365,Petróleo!Z:AA,2,FALSE),"")</f>
        <v>11590</v>
      </c>
      <c r="O365" s="8">
        <f>IFERROR(VLOOKUP(B365,Petróleo!AB:AC,2,FALSE),"")</f>
        <v>3680</v>
      </c>
      <c r="P365" s="8">
        <f>IFERROR(VLOOKUP(B365,Petróleo!AD:AE,2,FALSE),"")</f>
        <v>1960</v>
      </c>
      <c r="Q365" s="8">
        <f>IFERROR(VLOOKUP(B365,Petróleo!AF:AG,2,FALSE),"")</f>
        <v>4600</v>
      </c>
      <c r="R365" s="8">
        <f>IFERROR(VLOOKUP(B365,Petróleo!AH:AI,2,FALSE),"")</f>
        <v>90</v>
      </c>
      <c r="S365" s="8">
        <f>IFERROR(VLOOKUP(B365,Petróleo!AJ:AK,2,FALSE),"")</f>
        <v>1910</v>
      </c>
      <c r="T365" s="8">
        <f>IFERROR(VLOOKUP(B365,Petróleo!AL:AM,2,FALSE),"")</f>
        <v>660</v>
      </c>
      <c r="U365" s="8">
        <f>IFERROR(VLOOKUP(B365,Petróleo!AN:AO,2,FALSE),"")</f>
        <v>2900</v>
      </c>
      <c r="V365" s="10" t="str">
        <f>IFERROR(VLOOKUP(A365,Petróleo!AR:AT,3,FALSE),"")</f>
        <v/>
      </c>
    </row>
    <row r="366" spans="1:22" x14ac:dyDescent="0.25">
      <c r="A366" s="9" t="str">
        <f t="shared" si="5"/>
        <v>52020</v>
      </c>
      <c r="B366" s="9">
        <v>43982</v>
      </c>
      <c r="C366" s="1">
        <f>IFERROR(VLOOKUP(B366,Petróleo!A:B,2,FALSE),"")</f>
        <v>9723</v>
      </c>
      <c r="D366" s="1">
        <f>IFERROR(VLOOKUP(B366,Estoque_US!D:E,2,FALSE),"")</f>
        <v>4714</v>
      </c>
      <c r="E366" s="1">
        <f>IFERROR(VLOOKUP(B366,Petróleo!F:G,2,FALSE),"")</f>
        <v>8744</v>
      </c>
      <c r="F366" s="1">
        <f>IFERROR(VLOOKUP(B366,Petróleo!H:I,2,FALSE),"")</f>
        <v>2530</v>
      </c>
      <c r="G366" s="1">
        <f>IFERROR(VLOOKUP(B366,Petróleo!J:K,2,FALSE),"")</f>
        <v>4242</v>
      </c>
      <c r="H366" s="1">
        <f>IFERROR(VLOOKUP(B366,Petróleo!L:M,2,FALSE),"")</f>
        <v>120</v>
      </c>
      <c r="I366" s="1">
        <f>IFERROR(VLOOKUP(B366,Petróleo!N:O,2,FALSE),"")</f>
        <v>1809.338</v>
      </c>
      <c r="J366" s="1">
        <f>IFERROR(VLOOKUP(B366,Petróleo!P:Q,2,FALSE),"")</f>
        <v>8992.7080000000005</v>
      </c>
      <c r="K366" s="1">
        <f>IFERROR(VLOOKUP(B366,Petróleo!R:S,2,FALSE),"")</f>
        <v>545</v>
      </c>
      <c r="L366" s="1">
        <f>IFERROR(VLOOKUP(B366,Petróleo!T:U,2,FALSE),"")</f>
        <v>3910.9119999999998</v>
      </c>
      <c r="M366" s="8">
        <f>IFERROR(VLOOKUP(B366,Petróleo!X:Y,2,FALSE),"")</f>
        <v>24550</v>
      </c>
      <c r="N366" s="8">
        <f>IFERROR(VLOOKUP(B366,Petróleo!Z:AA,2,FALSE),"")</f>
        <v>8660</v>
      </c>
      <c r="O366" s="8">
        <f>IFERROR(VLOOKUP(B366,Petróleo!AB:AC,2,FALSE),"")</f>
        <v>2500</v>
      </c>
      <c r="P366" s="8">
        <f>IFERROR(VLOOKUP(B366,Petróleo!AD:AE,2,FALSE),"")</f>
        <v>1950</v>
      </c>
      <c r="Q366" s="8">
        <f>IFERROR(VLOOKUP(B366,Petróleo!AF:AG,2,FALSE),"")</f>
        <v>4210</v>
      </c>
      <c r="R366" s="8">
        <f>IFERROR(VLOOKUP(B366,Petróleo!AH:AI,2,FALSE),"")</f>
        <v>90</v>
      </c>
      <c r="S366" s="8">
        <f>IFERROR(VLOOKUP(B366,Petróleo!AJ:AK,2,FALSE),"")</f>
        <v>1630</v>
      </c>
      <c r="T366" s="8">
        <f>IFERROR(VLOOKUP(B366,Petróleo!AL:AM,2,FALSE),"")</f>
        <v>550</v>
      </c>
      <c r="U366" s="8">
        <f>IFERROR(VLOOKUP(B366,Petróleo!AN:AO,2,FALSE),"")</f>
        <v>2290</v>
      </c>
      <c r="V366" s="10" t="str">
        <f>IFERROR(VLOOKUP(A366,Petróleo!AR:AT,3,FALSE),"")</f>
        <v/>
      </c>
    </row>
    <row r="367" spans="1:22" x14ac:dyDescent="0.25">
      <c r="A367" s="9" t="str">
        <f t="shared" si="5"/>
        <v>62020</v>
      </c>
      <c r="B367" s="9">
        <v>44012</v>
      </c>
      <c r="C367" s="1">
        <f>IFERROR(VLOOKUP(B367,Petróleo!A:B,2,FALSE),"")</f>
        <v>10450</v>
      </c>
      <c r="D367" s="1">
        <f>IFERROR(VLOOKUP(B367,Estoque_US!D:E,2,FALSE),"")</f>
        <v>1182</v>
      </c>
      <c r="E367" s="1">
        <f>IFERROR(VLOOKUP(B367,Petróleo!F:G,2,FALSE),"")</f>
        <v>7894</v>
      </c>
      <c r="F367" s="1">
        <f>IFERROR(VLOOKUP(B367,Petróleo!H:I,2,FALSE),"")</f>
        <v>2505</v>
      </c>
      <c r="G367" s="1">
        <f>IFERROR(VLOOKUP(B367,Petróleo!J:K,2,FALSE),"")</f>
        <v>3772</v>
      </c>
      <c r="H367" s="1">
        <f>IFERROR(VLOOKUP(B367,Petróleo!L:M,2,FALSE),"")</f>
        <v>120</v>
      </c>
      <c r="I367" s="1">
        <f>IFERROR(VLOOKUP(B367,Petróleo!N:O,2,FALSE),"")</f>
        <v>1659.338</v>
      </c>
      <c r="J367" s="1">
        <f>IFERROR(VLOOKUP(B367,Petróleo!P:Q,2,FALSE),"")</f>
        <v>8925.4490000000005</v>
      </c>
      <c r="K367" s="1">
        <f>IFERROR(VLOOKUP(B367,Petróleo!R:S,2,FALSE),"")</f>
        <v>400</v>
      </c>
      <c r="L367" s="1">
        <f>IFERROR(VLOOKUP(B367,Petróleo!T:U,2,FALSE),"")</f>
        <v>3835.3710000000001</v>
      </c>
      <c r="M367" s="8">
        <f>IFERROR(VLOOKUP(B367,Petróleo!X:Y,2,FALSE),"")</f>
        <v>22530</v>
      </c>
      <c r="N367" s="8">
        <f>IFERROR(VLOOKUP(B367,Petróleo!Z:AA,2,FALSE),"")</f>
        <v>7530</v>
      </c>
      <c r="O367" s="8">
        <f>IFERROR(VLOOKUP(B367,Petróleo!AB:AC,2,FALSE),"")</f>
        <v>2430</v>
      </c>
      <c r="P367" s="8">
        <f>IFERROR(VLOOKUP(B367,Petróleo!AD:AE,2,FALSE),"")</f>
        <v>1940</v>
      </c>
      <c r="Q367" s="8">
        <f>IFERROR(VLOOKUP(B367,Petróleo!AF:AG,2,FALSE),"")</f>
        <v>3790</v>
      </c>
      <c r="R367" s="8">
        <f>IFERROR(VLOOKUP(B367,Petróleo!AH:AI,2,FALSE),"")</f>
        <v>110</v>
      </c>
      <c r="S367" s="8">
        <f>IFERROR(VLOOKUP(B367,Petróleo!AJ:AK,2,FALSE),"")</f>
        <v>1510</v>
      </c>
      <c r="T367" s="8">
        <f>IFERROR(VLOOKUP(B367,Petróleo!AL:AM,2,FALSE),"")</f>
        <v>370</v>
      </c>
      <c r="U367" s="8">
        <f>IFERROR(VLOOKUP(B367,Petróleo!AN:AO,2,FALSE),"")</f>
        <v>2150</v>
      </c>
      <c r="V367" s="10" t="str">
        <f>IFERROR(VLOOKUP(A367,Petróleo!AR:AT,3,FALSE),"")</f>
        <v/>
      </c>
    </row>
    <row r="368" spans="1:22" x14ac:dyDescent="0.25">
      <c r="A368" s="9" t="str">
        <f t="shared" si="5"/>
        <v>72020</v>
      </c>
      <c r="B368" s="9">
        <v>44043</v>
      </c>
      <c r="C368" s="1">
        <f>IFERROR(VLOOKUP(B368,Petróleo!A:B,2,FALSE),"")</f>
        <v>11014</v>
      </c>
      <c r="D368" s="1">
        <f>IFERROR(VLOOKUP(B368,Estoque_US!D:E,2,FALSE),"")</f>
        <v>-14931</v>
      </c>
      <c r="E368" s="1">
        <f>IFERROR(VLOOKUP(B368,Petróleo!F:G,2,FALSE),"")</f>
        <v>8594</v>
      </c>
      <c r="F368" s="1">
        <f>IFERROR(VLOOKUP(B368,Petróleo!H:I,2,FALSE),"")</f>
        <v>2455</v>
      </c>
      <c r="G368" s="1">
        <f>IFERROR(VLOOKUP(B368,Petróleo!J:K,2,FALSE),"")</f>
        <v>3722</v>
      </c>
      <c r="H368" s="1">
        <f>IFERROR(VLOOKUP(B368,Petróleo!L:M,2,FALSE),"")</f>
        <v>145</v>
      </c>
      <c r="I368" s="1">
        <f>IFERROR(VLOOKUP(B368,Petróleo!N:O,2,FALSE),"")</f>
        <v>1646.1790000000001</v>
      </c>
      <c r="J368" s="1">
        <f>IFERROR(VLOOKUP(B368,Petróleo!P:Q,2,FALSE),"")</f>
        <v>8977.9060000000009</v>
      </c>
      <c r="K368" s="1">
        <f>IFERROR(VLOOKUP(B368,Petróleo!R:S,2,FALSE),"")</f>
        <v>380</v>
      </c>
      <c r="L368" s="1">
        <f>IFERROR(VLOOKUP(B368,Petróleo!T:U,2,FALSE),"")</f>
        <v>3880.8649999999998</v>
      </c>
      <c r="M368" s="8">
        <f>IFERROR(VLOOKUP(B368,Petróleo!X:Y,2,FALSE),"")</f>
        <v>23870</v>
      </c>
      <c r="N368" s="8">
        <f>IFERROR(VLOOKUP(B368,Petróleo!Z:AA,2,FALSE),"")</f>
        <v>8450</v>
      </c>
      <c r="O368" s="8">
        <f>IFERROR(VLOOKUP(B368,Petróleo!AB:AC,2,FALSE),"")</f>
        <v>2930</v>
      </c>
      <c r="P368" s="8">
        <f>IFERROR(VLOOKUP(B368,Petróleo!AD:AE,2,FALSE),"")</f>
        <v>1960</v>
      </c>
      <c r="Q368" s="8">
        <f>IFERROR(VLOOKUP(B368,Petróleo!AF:AG,2,FALSE),"")</f>
        <v>3790</v>
      </c>
      <c r="R368" s="8">
        <f>IFERROR(VLOOKUP(B368,Petróleo!AH:AI,2,FALSE),"")</f>
        <v>100</v>
      </c>
      <c r="S368" s="8">
        <f>IFERROR(VLOOKUP(B368,Petróleo!AJ:AK,2,FALSE),"")</f>
        <v>1510</v>
      </c>
      <c r="T368" s="8">
        <f>IFERROR(VLOOKUP(B368,Petróleo!AL:AM,2,FALSE),"")</f>
        <v>360</v>
      </c>
      <c r="U368" s="8">
        <f>IFERROR(VLOOKUP(B368,Petróleo!AN:AO,2,FALSE),"")</f>
        <v>2220</v>
      </c>
      <c r="V368" s="10" t="str">
        <f>IFERROR(VLOOKUP(A368,Petróleo!AR:AT,3,FALSE),"")</f>
        <v/>
      </c>
    </row>
    <row r="369" spans="1:22" x14ac:dyDescent="0.25">
      <c r="A369" s="9" t="str">
        <f t="shared" si="5"/>
        <v>82020</v>
      </c>
      <c r="B369" s="9">
        <v>44074</v>
      </c>
      <c r="C369" s="1">
        <f>IFERROR(VLOOKUP(B369,Petróleo!A:B,2,FALSE),"")</f>
        <v>10600</v>
      </c>
      <c r="D369" s="1">
        <f>IFERROR(VLOOKUP(B369,Estoque_US!D:E,2,FALSE),"")</f>
        <v>-20195</v>
      </c>
      <c r="E369" s="1">
        <f>IFERROR(VLOOKUP(B369,Petróleo!F:G,2,FALSE),"")</f>
        <v>9094</v>
      </c>
      <c r="F369" s="1">
        <f>IFERROR(VLOOKUP(B369,Petróleo!H:I,2,FALSE),"")</f>
        <v>2455</v>
      </c>
      <c r="G369" s="1">
        <f>IFERROR(VLOOKUP(B369,Petróleo!J:K,2,FALSE),"")</f>
        <v>3713</v>
      </c>
      <c r="H369" s="1">
        <f>IFERROR(VLOOKUP(B369,Petróleo!L:M,2,FALSE),"")</f>
        <v>130</v>
      </c>
      <c r="I369" s="1">
        <f>IFERROR(VLOOKUP(B369,Petróleo!N:O,2,FALSE),"")</f>
        <v>1695.7149999999999</v>
      </c>
      <c r="J369" s="1">
        <f>IFERROR(VLOOKUP(B369,Petróleo!P:Q,2,FALSE),"")</f>
        <v>9467.5740000000005</v>
      </c>
      <c r="K369" s="1">
        <f>IFERROR(VLOOKUP(B369,Petróleo!R:S,2,FALSE),"")</f>
        <v>380</v>
      </c>
      <c r="L369" s="1">
        <f>IFERROR(VLOOKUP(B369,Petróleo!T:U,2,FALSE),"")</f>
        <v>3878.3809999999999</v>
      </c>
      <c r="M369" s="8">
        <f>IFERROR(VLOOKUP(B369,Petróleo!X:Y,2,FALSE),"")</f>
        <v>24390</v>
      </c>
      <c r="N369" s="8">
        <f>IFERROR(VLOOKUP(B369,Petróleo!Z:AA,2,FALSE),"")</f>
        <v>8920</v>
      </c>
      <c r="O369" s="8">
        <f>IFERROR(VLOOKUP(B369,Petróleo!AB:AC,2,FALSE),"")</f>
        <v>2990</v>
      </c>
      <c r="P369" s="8">
        <f>IFERROR(VLOOKUP(B369,Petróleo!AD:AE,2,FALSE),"")</f>
        <v>1920</v>
      </c>
      <c r="Q369" s="8">
        <f>IFERROR(VLOOKUP(B369,Petróleo!AF:AG,2,FALSE),"")</f>
        <v>3690</v>
      </c>
      <c r="R369" s="8">
        <f>IFERROR(VLOOKUP(B369,Petróleo!AH:AI,2,FALSE),"")</f>
        <v>80</v>
      </c>
      <c r="S369" s="8">
        <f>IFERROR(VLOOKUP(B369,Petróleo!AJ:AK,2,FALSE),"")</f>
        <v>1520</v>
      </c>
      <c r="T369" s="8">
        <f>IFERROR(VLOOKUP(B369,Petróleo!AL:AM,2,FALSE),"")</f>
        <v>310</v>
      </c>
      <c r="U369" s="8">
        <f>IFERROR(VLOOKUP(B369,Petróleo!AN:AO,2,FALSE),"")</f>
        <v>2270</v>
      </c>
      <c r="V369" s="10" t="str">
        <f>IFERROR(VLOOKUP(A369,Petróleo!AR:AT,3,FALSE),"")</f>
        <v/>
      </c>
    </row>
    <row r="370" spans="1:22" x14ac:dyDescent="0.25">
      <c r="A370" s="9" t="str">
        <f t="shared" si="5"/>
        <v>92020</v>
      </c>
      <c r="B370" s="9">
        <v>44104</v>
      </c>
      <c r="C370" s="1">
        <f>IFERROR(VLOOKUP(B370,Petróleo!A:B,2,FALSE),"")</f>
        <v>10963</v>
      </c>
      <c r="D370" s="1">
        <f>IFERROR(VLOOKUP(B370,Estoque_US!D:E,2,FALSE),"")</f>
        <v>-5975</v>
      </c>
      <c r="E370" s="1">
        <f>IFERROR(VLOOKUP(B370,Petróleo!F:G,2,FALSE),"")</f>
        <v>9204</v>
      </c>
      <c r="F370" s="1">
        <f>IFERROR(VLOOKUP(B370,Petróleo!H:I,2,FALSE),"")</f>
        <v>2455</v>
      </c>
      <c r="G370" s="1">
        <f>IFERROR(VLOOKUP(B370,Petróleo!J:K,2,FALSE),"")</f>
        <v>3733</v>
      </c>
      <c r="H370" s="1">
        <f>IFERROR(VLOOKUP(B370,Petróleo!L:M,2,FALSE),"")</f>
        <v>170</v>
      </c>
      <c r="I370" s="1">
        <f>IFERROR(VLOOKUP(B370,Petróleo!N:O,2,FALSE),"")</f>
        <v>1701.51</v>
      </c>
      <c r="J370" s="1">
        <f>IFERROR(VLOOKUP(B370,Petróleo!P:Q,2,FALSE),"")</f>
        <v>9562.1090000000004</v>
      </c>
      <c r="K370" s="1">
        <f>IFERROR(VLOOKUP(B370,Petróleo!R:S,2,FALSE),"")</f>
        <v>360</v>
      </c>
      <c r="L370" s="1">
        <f>IFERROR(VLOOKUP(B370,Petróleo!T:U,2,FALSE),"")</f>
        <v>3824.9349999999999</v>
      </c>
      <c r="M370" s="8">
        <f>IFERROR(VLOOKUP(B370,Petróleo!X:Y,2,FALSE),"")</f>
        <v>24270</v>
      </c>
      <c r="N370" s="8">
        <f>IFERROR(VLOOKUP(B370,Petróleo!Z:AA,2,FALSE),"")</f>
        <v>8940</v>
      </c>
      <c r="O370" s="8">
        <f>IFERROR(VLOOKUP(B370,Petróleo!AB:AC,2,FALSE),"")</f>
        <v>2680</v>
      </c>
      <c r="P370" s="8">
        <f>IFERROR(VLOOKUP(B370,Petróleo!AD:AE,2,FALSE),"")</f>
        <v>1950</v>
      </c>
      <c r="Q370" s="8">
        <f>IFERROR(VLOOKUP(B370,Petróleo!AF:AG,2,FALSE),"")</f>
        <v>3710</v>
      </c>
      <c r="R370" s="8">
        <f>IFERROR(VLOOKUP(B370,Petróleo!AH:AI,2,FALSE),"")</f>
        <v>150</v>
      </c>
      <c r="S370" s="8">
        <f>IFERROR(VLOOKUP(B370,Petróleo!AJ:AK,2,FALSE),"")</f>
        <v>1490</v>
      </c>
      <c r="T370" s="8">
        <f>IFERROR(VLOOKUP(B370,Petróleo!AL:AM,2,FALSE),"")</f>
        <v>310</v>
      </c>
      <c r="U370" s="8">
        <f>IFERROR(VLOOKUP(B370,Petróleo!AN:AO,2,FALSE),"")</f>
        <v>2310</v>
      </c>
      <c r="V370" s="10" t="str">
        <f>IFERROR(VLOOKUP(A370,Petróleo!AR:AT,3,FALSE),"")</f>
        <v/>
      </c>
    </row>
    <row r="371" spans="1:22" x14ac:dyDescent="0.25">
      <c r="A371" s="9" t="str">
        <f t="shared" si="5"/>
        <v>102020</v>
      </c>
      <c r="B371" s="9">
        <v>44135</v>
      </c>
      <c r="C371" s="1">
        <f>IFERROR(VLOOKUP(B371,Petróleo!A:B,2,FALSE),"")</f>
        <v>10492</v>
      </c>
      <c r="D371" s="1">
        <f>IFERROR(VLOOKUP(B371,Estoque_US!D:E,2,FALSE),"")</f>
        <v>-7997</v>
      </c>
      <c r="E371" s="1">
        <f>IFERROR(VLOOKUP(B371,Petróleo!F:G,2,FALSE),"")</f>
        <v>9204</v>
      </c>
      <c r="F371" s="1">
        <f>IFERROR(VLOOKUP(B371,Petróleo!H:I,2,FALSE),"")</f>
        <v>2455</v>
      </c>
      <c r="G371" s="1">
        <f>IFERROR(VLOOKUP(B371,Petróleo!J:K,2,FALSE),"")</f>
        <v>3873</v>
      </c>
      <c r="H371" s="1">
        <f>IFERROR(VLOOKUP(B371,Petróleo!L:M,2,FALSE),"")</f>
        <v>490</v>
      </c>
      <c r="I371" s="1">
        <f>IFERROR(VLOOKUP(B371,Petróleo!N:O,2,FALSE),"")</f>
        <v>1744.229</v>
      </c>
      <c r="J371" s="1">
        <f>IFERROR(VLOOKUP(B371,Petróleo!P:Q,2,FALSE),"")</f>
        <v>9593.5319999999992</v>
      </c>
      <c r="K371" s="1">
        <f>IFERROR(VLOOKUP(B371,Petróleo!R:S,2,FALSE),"")</f>
        <v>400</v>
      </c>
      <c r="L371" s="1">
        <f>IFERROR(VLOOKUP(B371,Petróleo!T:U,2,FALSE),"")</f>
        <v>3845.5279999999998</v>
      </c>
      <c r="M371" s="8">
        <f>IFERROR(VLOOKUP(B371,Petróleo!X:Y,2,FALSE),"")</f>
        <v>24650</v>
      </c>
      <c r="N371" s="8">
        <f>IFERROR(VLOOKUP(B371,Petróleo!Z:AA,2,FALSE),"")</f>
        <v>8990</v>
      </c>
      <c r="O371" s="8">
        <f>IFERROR(VLOOKUP(B371,Petróleo!AB:AC,2,FALSE),"")</f>
        <v>2490</v>
      </c>
      <c r="P371" s="8">
        <f>IFERROR(VLOOKUP(B371,Petróleo!AD:AE,2,FALSE),"")</f>
        <v>1930</v>
      </c>
      <c r="Q371" s="8">
        <f>IFERROR(VLOOKUP(B371,Petróleo!AF:AG,2,FALSE),"")</f>
        <v>3870</v>
      </c>
      <c r="R371" s="8">
        <f>IFERROR(VLOOKUP(B371,Petróleo!AH:AI,2,FALSE),"")</f>
        <v>450</v>
      </c>
      <c r="S371" s="8">
        <f>IFERROR(VLOOKUP(B371,Petróleo!AJ:AK,2,FALSE),"")</f>
        <v>1610</v>
      </c>
      <c r="T371" s="8">
        <f>IFERROR(VLOOKUP(B371,Petróleo!AL:AM,2,FALSE),"")</f>
        <v>340</v>
      </c>
      <c r="U371" s="8">
        <f>IFERROR(VLOOKUP(B371,Petróleo!AN:AO,2,FALSE),"")</f>
        <v>2300</v>
      </c>
      <c r="V371" s="10" t="str">
        <f>IFERROR(VLOOKUP(A371,Petróleo!AR:AT,3,FALSE),"")</f>
        <v/>
      </c>
    </row>
    <row r="372" spans="1:22" x14ac:dyDescent="0.25">
      <c r="A372" s="9" t="str">
        <f t="shared" si="5"/>
        <v>112020</v>
      </c>
      <c r="B372" s="9">
        <v>44165</v>
      </c>
      <c r="C372" s="1">
        <f>IFERROR(VLOOKUP(B372,Petróleo!A:B,2,FALSE),"")</f>
        <v>11225</v>
      </c>
      <c r="D372" s="1">
        <f>IFERROR(VLOOKUP(B372,Estoque_US!D:E,2,FALSE),"")</f>
        <v>3613</v>
      </c>
      <c r="E372" s="1">
        <f>IFERROR(VLOOKUP(B372,Petróleo!F:G,2,FALSE),"")</f>
        <v>9204</v>
      </c>
      <c r="F372" s="1">
        <f>IFERROR(VLOOKUP(B372,Petróleo!H:I,2,FALSE),"")</f>
        <v>2505</v>
      </c>
      <c r="G372" s="1">
        <f>IFERROR(VLOOKUP(B372,Petróleo!J:K,2,FALSE),"")</f>
        <v>3843</v>
      </c>
      <c r="H372" s="1">
        <f>IFERROR(VLOOKUP(B372,Petróleo!L:M,2,FALSE),"")</f>
        <v>1130</v>
      </c>
      <c r="I372" s="1">
        <f>IFERROR(VLOOKUP(B372,Petróleo!N:O,2,FALSE),"")</f>
        <v>1677.8</v>
      </c>
      <c r="J372" s="1">
        <f>IFERROR(VLOOKUP(B372,Petróleo!P:Q,2,FALSE),"")</f>
        <v>9621.9699999999993</v>
      </c>
      <c r="K372" s="1">
        <f>IFERROR(VLOOKUP(B372,Petróleo!R:S,2,FALSE),"")</f>
        <v>420</v>
      </c>
      <c r="L372" s="1">
        <f>IFERROR(VLOOKUP(B372,Petróleo!T:U,2,FALSE),"")</f>
        <v>3793.1759999999999</v>
      </c>
      <c r="M372" s="8">
        <f>IFERROR(VLOOKUP(B372,Petróleo!X:Y,2,FALSE),"")</f>
        <v>25260</v>
      </c>
      <c r="N372" s="8">
        <f>IFERROR(VLOOKUP(B372,Petróleo!Z:AA,2,FALSE),"")</f>
        <v>8990</v>
      </c>
      <c r="O372" s="8">
        <f>IFERROR(VLOOKUP(B372,Petróleo!AB:AC,2,FALSE),"")</f>
        <v>2560</v>
      </c>
      <c r="P372" s="8">
        <f>IFERROR(VLOOKUP(B372,Petróleo!AD:AE,2,FALSE),"")</f>
        <v>1970</v>
      </c>
      <c r="Q372" s="8">
        <f>IFERROR(VLOOKUP(B372,Petróleo!AF:AG,2,FALSE),"")</f>
        <v>3810</v>
      </c>
      <c r="R372" s="8">
        <f>IFERROR(VLOOKUP(B372,Petróleo!AH:AI,2,FALSE),"")</f>
        <v>1090</v>
      </c>
      <c r="S372" s="8">
        <f>IFERROR(VLOOKUP(B372,Petróleo!AJ:AK,2,FALSE),"")</f>
        <v>1540</v>
      </c>
      <c r="T372" s="8">
        <f>IFERROR(VLOOKUP(B372,Petróleo!AL:AM,2,FALSE),"")</f>
        <v>430</v>
      </c>
      <c r="U372" s="8">
        <f>IFERROR(VLOOKUP(B372,Petróleo!AN:AO,2,FALSE),"")</f>
        <v>2240</v>
      </c>
      <c r="V372" s="10" t="str">
        <f>IFERROR(VLOOKUP(A372,Petróleo!AR:AT,3,FALSE),"")</f>
        <v/>
      </c>
    </row>
    <row r="373" spans="1:22" x14ac:dyDescent="0.25">
      <c r="A373" s="9" t="str">
        <f t="shared" si="5"/>
        <v>122020</v>
      </c>
      <c r="B373" s="9">
        <v>44196</v>
      </c>
      <c r="C373" s="1">
        <f>IFERROR(VLOOKUP(B373,Petróleo!A:B,2,FALSE),"")</f>
        <v>11188</v>
      </c>
      <c r="D373" s="1">
        <f>IFERROR(VLOOKUP(B373,Estoque_US!D:E,2,FALSE),"")</f>
        <v>5427</v>
      </c>
      <c r="E373" s="1">
        <f>IFERROR(VLOOKUP(B373,Petróleo!F:G,2,FALSE),"")</f>
        <v>9204</v>
      </c>
      <c r="F373" s="1">
        <f>IFERROR(VLOOKUP(B373,Petróleo!H:I,2,FALSE),"")</f>
        <v>2555</v>
      </c>
      <c r="G373" s="1">
        <f>IFERROR(VLOOKUP(B373,Petróleo!J:K,2,FALSE),"")</f>
        <v>3883</v>
      </c>
      <c r="H373" s="1">
        <f>IFERROR(VLOOKUP(B373,Petróleo!L:M,2,FALSE),"")</f>
        <v>1290</v>
      </c>
      <c r="I373" s="1">
        <f>IFERROR(VLOOKUP(B373,Petróleo!N:O,2,FALSE),"")</f>
        <v>1590.5119999999999</v>
      </c>
      <c r="J373" s="1">
        <f>IFERROR(VLOOKUP(B373,Petróleo!P:Q,2,FALSE),"")</f>
        <v>9654.7250000000004</v>
      </c>
      <c r="K373" s="1">
        <f>IFERROR(VLOOKUP(B373,Petróleo!R:S,2,FALSE),"")</f>
        <v>430</v>
      </c>
      <c r="L373" s="1">
        <f>IFERROR(VLOOKUP(B373,Petróleo!T:U,2,FALSE),"")</f>
        <v>3951.9659999999999</v>
      </c>
      <c r="M373" s="8">
        <f>IFERROR(VLOOKUP(B373,Petróleo!X:Y,2,FALSE),"")</f>
        <v>25480</v>
      </c>
      <c r="N373" s="8">
        <f>IFERROR(VLOOKUP(B373,Petróleo!Z:AA,2,FALSE),"")</f>
        <v>9000</v>
      </c>
      <c r="O373" s="8">
        <f>IFERROR(VLOOKUP(B373,Petróleo!AB:AC,2,FALSE),"")</f>
        <v>2540</v>
      </c>
      <c r="P373" s="8">
        <f>IFERROR(VLOOKUP(B373,Petróleo!AD:AE,2,FALSE),"")</f>
        <v>2020</v>
      </c>
      <c r="Q373" s="8">
        <f>IFERROR(VLOOKUP(B373,Petróleo!AF:AG,2,FALSE),"")</f>
        <v>3880</v>
      </c>
      <c r="R373" s="8">
        <f>IFERROR(VLOOKUP(B373,Petróleo!AH:AI,2,FALSE),"")</f>
        <v>1210</v>
      </c>
      <c r="S373" s="8">
        <f>IFERROR(VLOOKUP(B373,Petróleo!AJ:AK,2,FALSE),"")</f>
        <v>1520</v>
      </c>
      <c r="T373" s="8">
        <f>IFERROR(VLOOKUP(B373,Petróleo!AL:AM,2,FALSE),"")</f>
        <v>410</v>
      </c>
      <c r="U373" s="8">
        <f>IFERROR(VLOOKUP(B373,Petróleo!AN:AO,2,FALSE),"")</f>
        <v>2270</v>
      </c>
      <c r="V373" s="10" t="str">
        <f>IFERROR(VLOOKUP(A373,Petróleo!AR:AT,3,FALSE),"")</f>
        <v/>
      </c>
    </row>
    <row r="374" spans="1:22" x14ac:dyDescent="0.25">
      <c r="A374" s="9" t="str">
        <f t="shared" si="5"/>
        <v>12021</v>
      </c>
      <c r="B374" s="9">
        <v>44227</v>
      </c>
      <c r="C374" s="1">
        <f>IFERROR(VLOOKUP(B374,Petróleo!A:B,2,FALSE),"")</f>
        <v>11156</v>
      </c>
      <c r="D374" s="1">
        <f>IFERROR(VLOOKUP(B374,Estoque_US!D:E,2,FALSE),"")</f>
        <v>-17810</v>
      </c>
      <c r="E374" s="1">
        <f>IFERROR(VLOOKUP(B374,Petróleo!F:G,2,FALSE),"")</f>
        <v>9294</v>
      </c>
      <c r="F374" s="1">
        <f>IFERROR(VLOOKUP(B374,Petróleo!H:I,2,FALSE),"")</f>
        <v>2610</v>
      </c>
      <c r="G374" s="1">
        <f>IFERROR(VLOOKUP(B374,Petróleo!J:K,2,FALSE),"")</f>
        <v>3885</v>
      </c>
      <c r="H374" s="1">
        <f>IFERROR(VLOOKUP(B374,Petróleo!L:M,2,FALSE),"")</f>
        <v>1228</v>
      </c>
      <c r="I374" s="1">
        <f>IFERROR(VLOOKUP(B374,Petróleo!N:O,2,FALSE),"")</f>
        <v>1462.643</v>
      </c>
      <c r="J374" s="1">
        <f>IFERROR(VLOOKUP(B374,Petróleo!P:Q,2,FALSE),"")</f>
        <v>9765.8809999999994</v>
      </c>
      <c r="K374" s="1">
        <f>IFERROR(VLOOKUP(B374,Petróleo!R:S,2,FALSE),"")</f>
        <v>530</v>
      </c>
      <c r="L374" s="1">
        <f>IFERROR(VLOOKUP(B374,Petróleo!T:U,2,FALSE),"")</f>
        <v>3896.8620000000001</v>
      </c>
      <c r="M374" s="8">
        <f>IFERROR(VLOOKUP(B374,Petróleo!X:Y,2,FALSE),"")</f>
        <v>25790</v>
      </c>
      <c r="N374" s="8">
        <f>IFERROR(VLOOKUP(B374,Petróleo!Z:AA,2,FALSE),"")</f>
        <v>9120</v>
      </c>
      <c r="O374" s="8">
        <f>IFERROR(VLOOKUP(B374,Petróleo!AB:AC,2,FALSE),"")</f>
        <v>2610</v>
      </c>
      <c r="P374" s="8">
        <f>IFERROR(VLOOKUP(B374,Petróleo!AD:AE,2,FALSE),"")</f>
        <v>2140</v>
      </c>
      <c r="Q374" s="8">
        <f>IFERROR(VLOOKUP(B374,Petróleo!AF:AG,2,FALSE),"")</f>
        <v>3870</v>
      </c>
      <c r="R374" s="8">
        <f>IFERROR(VLOOKUP(B374,Petróleo!AH:AI,2,FALSE),"")</f>
        <v>1160</v>
      </c>
      <c r="S374" s="8">
        <f>IFERROR(VLOOKUP(B374,Petróleo!AJ:AK,2,FALSE),"")</f>
        <v>1470</v>
      </c>
      <c r="T374" s="8">
        <f>IFERROR(VLOOKUP(B374,Petróleo!AL:AM,2,FALSE),"")</f>
        <v>460</v>
      </c>
      <c r="U374" s="8">
        <f>IFERROR(VLOOKUP(B374,Petróleo!AN:AO,2,FALSE),"")</f>
        <v>2330</v>
      </c>
      <c r="V374" s="10" t="str">
        <f>IFERROR(VLOOKUP(A374,Petróleo!AR:AT,3,FALSE),"")</f>
        <v/>
      </c>
    </row>
    <row r="375" spans="1:22" x14ac:dyDescent="0.25">
      <c r="A375" s="9" t="str">
        <f t="shared" si="5"/>
        <v>22021</v>
      </c>
      <c r="B375" s="9">
        <v>44255</v>
      </c>
      <c r="C375" s="1">
        <f>IFERROR(VLOOKUP(B375,Petróleo!A:B,2,FALSE),"")</f>
        <v>9931</v>
      </c>
      <c r="D375" s="1">
        <f>IFERROR(VLOOKUP(B375,Estoque_US!D:E,2,FALSE),"")</f>
        <v>8946</v>
      </c>
      <c r="E375" s="1">
        <f>IFERROR(VLOOKUP(B375,Petróleo!F:G,2,FALSE),"")</f>
        <v>8394</v>
      </c>
      <c r="F375" s="1">
        <f>IFERROR(VLOOKUP(B375,Petróleo!H:I,2,FALSE),"")</f>
        <v>2760</v>
      </c>
      <c r="G375" s="1">
        <f>IFERROR(VLOOKUP(B375,Petróleo!J:K,2,FALSE),"")</f>
        <v>3975</v>
      </c>
      <c r="H375" s="1">
        <f>IFERROR(VLOOKUP(B375,Petróleo!L:M,2,FALSE),"")</f>
        <v>1268</v>
      </c>
      <c r="I375" s="1">
        <f>IFERROR(VLOOKUP(B375,Petróleo!N:O,2,FALSE),"")</f>
        <v>1594.5229999999999</v>
      </c>
      <c r="J375" s="1">
        <f>IFERROR(VLOOKUP(B375,Petróleo!P:Q,2,FALSE),"")</f>
        <v>9708.9740000000002</v>
      </c>
      <c r="K375" s="1">
        <f>IFERROR(VLOOKUP(B375,Petróleo!R:S,2,FALSE),"")</f>
        <v>570</v>
      </c>
      <c r="L375" s="1">
        <f>IFERROR(VLOOKUP(B375,Petróleo!T:U,2,FALSE),"")</f>
        <v>3980.8180000000002</v>
      </c>
      <c r="M375" s="8">
        <f>IFERROR(VLOOKUP(B375,Petróleo!X:Y,2,FALSE),"")</f>
        <v>25030</v>
      </c>
      <c r="N375" s="8">
        <f>IFERROR(VLOOKUP(B375,Petróleo!Z:AA,2,FALSE),"")</f>
        <v>8210</v>
      </c>
      <c r="O375" s="8">
        <f>IFERROR(VLOOKUP(B375,Petróleo!AB:AC,2,FALSE),"")</f>
        <v>2630</v>
      </c>
      <c r="P375" s="8">
        <f>IFERROR(VLOOKUP(B375,Petróleo!AD:AE,2,FALSE),"")</f>
        <v>2180</v>
      </c>
      <c r="Q375" s="8">
        <f>IFERROR(VLOOKUP(B375,Petróleo!AF:AG,2,FALSE),"")</f>
        <v>3910</v>
      </c>
      <c r="R375" s="8">
        <f>IFERROR(VLOOKUP(B375,Petróleo!AH:AI,2,FALSE),"")</f>
        <v>1150</v>
      </c>
      <c r="S375" s="8">
        <f>IFERROR(VLOOKUP(B375,Petróleo!AJ:AK,2,FALSE),"")</f>
        <v>1600</v>
      </c>
      <c r="T375" s="8">
        <f>IFERROR(VLOOKUP(B375,Petróleo!AL:AM,2,FALSE),"")</f>
        <v>470</v>
      </c>
      <c r="U375" s="8">
        <f>IFERROR(VLOOKUP(B375,Petróleo!AN:AO,2,FALSE),"")</f>
        <v>2350</v>
      </c>
      <c r="V375" s="10" t="str">
        <f>IFERROR(VLOOKUP(A375,Petróleo!AR:AT,3,FALSE),"")</f>
        <v/>
      </c>
    </row>
    <row r="376" spans="1:22" x14ac:dyDescent="0.25">
      <c r="A376" s="9" t="str">
        <f t="shared" si="5"/>
        <v>32021</v>
      </c>
      <c r="B376" s="9">
        <v>44286</v>
      </c>
      <c r="C376" s="1">
        <f>IFERROR(VLOOKUP(B376,Petróleo!A:B,2,FALSE),"")</f>
        <v>11376</v>
      </c>
      <c r="D376" s="1">
        <f>IFERROR(VLOOKUP(B376,Estoque_US!D:E,2,FALSE),"")</f>
        <v>17230</v>
      </c>
      <c r="E376" s="1">
        <f>IFERROR(VLOOKUP(B376,Petróleo!F:G,2,FALSE),"")</f>
        <v>8344</v>
      </c>
      <c r="F376" s="1">
        <f>IFERROR(VLOOKUP(B376,Petróleo!H:I,2,FALSE),"")</f>
        <v>2860</v>
      </c>
      <c r="G376" s="1">
        <f>IFERROR(VLOOKUP(B376,Petróleo!J:K,2,FALSE),"")</f>
        <v>4025</v>
      </c>
      <c r="H376" s="1">
        <f>IFERROR(VLOOKUP(B376,Petróleo!L:M,2,FALSE),"")</f>
        <v>1288</v>
      </c>
      <c r="I376" s="1">
        <f>IFERROR(VLOOKUP(B376,Petróleo!N:O,2,FALSE),"")</f>
        <v>1579.873</v>
      </c>
      <c r="J376" s="1">
        <f>IFERROR(VLOOKUP(B376,Petróleo!P:Q,2,FALSE),"")</f>
        <v>9858.9009999999998</v>
      </c>
      <c r="K376" s="1">
        <f>IFERROR(VLOOKUP(B376,Petróleo!R:S,2,FALSE),"")</f>
        <v>560</v>
      </c>
      <c r="L376" s="1">
        <f>IFERROR(VLOOKUP(B376,Petróleo!T:U,2,FALSE),"")</f>
        <v>3948.739</v>
      </c>
      <c r="M376" s="8">
        <f>IFERROR(VLOOKUP(B376,Petróleo!X:Y,2,FALSE),"")</f>
        <v>25320</v>
      </c>
      <c r="N376" s="8">
        <f>IFERROR(VLOOKUP(B376,Petróleo!Z:AA,2,FALSE),"")</f>
        <v>8150</v>
      </c>
      <c r="O376" s="8">
        <f>IFERROR(VLOOKUP(B376,Petróleo!AB:AC,2,FALSE),"")</f>
        <v>2630</v>
      </c>
      <c r="P376" s="8">
        <f>IFERROR(VLOOKUP(B376,Petróleo!AD:AE,2,FALSE),"")</f>
        <v>2350</v>
      </c>
      <c r="Q376" s="8">
        <f>IFERROR(VLOOKUP(B376,Petróleo!AF:AG,2,FALSE),"")</f>
        <v>3940</v>
      </c>
      <c r="R376" s="8">
        <f>IFERROR(VLOOKUP(B376,Petróleo!AH:AI,2,FALSE),"")</f>
        <v>1220</v>
      </c>
      <c r="S376" s="8">
        <f>IFERROR(VLOOKUP(B376,Petróleo!AJ:AK,2,FALSE),"")</f>
        <v>1550</v>
      </c>
      <c r="T376" s="8">
        <f>IFERROR(VLOOKUP(B376,Petróleo!AL:AM,2,FALSE),"")</f>
        <v>490</v>
      </c>
      <c r="U376" s="8">
        <f>IFERROR(VLOOKUP(B376,Petróleo!AN:AO,2,FALSE),"")</f>
        <v>2320</v>
      </c>
      <c r="V376" s="10" t="str">
        <f>IFERROR(VLOOKUP(A376,Petróleo!AR:AT,3,FALSE),"")</f>
        <v/>
      </c>
    </row>
    <row r="377" spans="1:22" x14ac:dyDescent="0.25">
      <c r="A377" s="9" t="str">
        <f t="shared" si="5"/>
        <v>42021</v>
      </c>
      <c r="B377" s="9">
        <v>44316</v>
      </c>
      <c r="C377" s="1">
        <f>IFERROR(VLOOKUP(B377,Petróleo!A:B,2,FALSE),"")</f>
        <v>11355</v>
      </c>
      <c r="D377" s="1">
        <f>IFERROR(VLOOKUP(B377,Estoque_US!D:E,2,FALSE),"")</f>
        <v>-16718</v>
      </c>
      <c r="E377" s="1">
        <f>IFERROR(VLOOKUP(B377,Petróleo!F:G,2,FALSE),"")</f>
        <v>8344</v>
      </c>
      <c r="F377" s="1">
        <f>IFERROR(VLOOKUP(B377,Petróleo!H:I,2,FALSE),"")</f>
        <v>3010</v>
      </c>
      <c r="G377" s="1">
        <f>IFERROR(VLOOKUP(B377,Petróleo!J:K,2,FALSE),"")</f>
        <v>4025</v>
      </c>
      <c r="H377" s="1">
        <f>IFERROR(VLOOKUP(B377,Petróleo!L:M,2,FALSE),"")</f>
        <v>1218</v>
      </c>
      <c r="I377" s="1">
        <f>IFERROR(VLOOKUP(B377,Petróleo!N:O,2,FALSE),"")</f>
        <v>1530.4110000000001</v>
      </c>
      <c r="J377" s="1">
        <f>IFERROR(VLOOKUP(B377,Petróleo!P:Q,2,FALSE),"")</f>
        <v>10072.496999999999</v>
      </c>
      <c r="K377" s="1">
        <f>IFERROR(VLOOKUP(B377,Petróleo!R:S,2,FALSE),"")</f>
        <v>520</v>
      </c>
      <c r="L377" s="1">
        <f>IFERROR(VLOOKUP(B377,Petróleo!T:U,2,FALSE),"")</f>
        <v>3966.62</v>
      </c>
      <c r="M377" s="8">
        <f>IFERROR(VLOOKUP(B377,Petróleo!X:Y,2,FALSE),"")</f>
        <v>25240</v>
      </c>
      <c r="N377" s="8">
        <f>IFERROR(VLOOKUP(B377,Petróleo!Z:AA,2,FALSE),"")</f>
        <v>8110</v>
      </c>
      <c r="O377" s="8">
        <f>IFERROR(VLOOKUP(B377,Petróleo!AB:AC,2,FALSE),"")</f>
        <v>2620</v>
      </c>
      <c r="P377" s="8">
        <f>IFERROR(VLOOKUP(B377,Petróleo!AD:AE,2,FALSE),"")</f>
        <v>2410</v>
      </c>
      <c r="Q377" s="8">
        <f>IFERROR(VLOOKUP(B377,Petróleo!AF:AG,2,FALSE),"")</f>
        <v>3950</v>
      </c>
      <c r="R377" s="8">
        <f>IFERROR(VLOOKUP(B377,Petróleo!AH:AI,2,FALSE),"")</f>
        <v>1140</v>
      </c>
      <c r="S377" s="8">
        <f>IFERROR(VLOOKUP(B377,Petróleo!AJ:AK,2,FALSE),"")</f>
        <v>1590</v>
      </c>
      <c r="T377" s="8">
        <f>IFERROR(VLOOKUP(B377,Petróleo!AL:AM,2,FALSE),"")</f>
        <v>490</v>
      </c>
      <c r="U377" s="8">
        <f>IFERROR(VLOOKUP(B377,Petróleo!AN:AO,2,FALSE),"")</f>
        <v>2320</v>
      </c>
      <c r="V377" s="10" t="str">
        <f>IFERROR(VLOOKUP(A377,Petróleo!AR:AT,3,FALSE),"")</f>
        <v/>
      </c>
    </row>
    <row r="378" spans="1:22" x14ac:dyDescent="0.25">
      <c r="A378" s="9" t="str">
        <f t="shared" si="5"/>
        <v>52021</v>
      </c>
      <c r="B378" s="9">
        <v>44347</v>
      </c>
      <c r="C378" s="1">
        <f>IFERROR(VLOOKUP(B378,Petróleo!A:B,2,FALSE),"")</f>
        <v>11425</v>
      </c>
      <c r="D378" s="1">
        <f>IFERROR(VLOOKUP(B378,Estoque_US!D:E,2,FALSE),"")</f>
        <v>-5847</v>
      </c>
      <c r="E378" s="1">
        <f>IFERROR(VLOOKUP(B378,Petróleo!F:G,2,FALSE),"")</f>
        <v>8676</v>
      </c>
      <c r="F378" s="1">
        <f>IFERROR(VLOOKUP(B378,Petróleo!H:I,2,FALSE),"")</f>
        <v>3010</v>
      </c>
      <c r="G378" s="1">
        <f>IFERROR(VLOOKUP(B378,Petróleo!J:K,2,FALSE),"")</f>
        <v>4025</v>
      </c>
      <c r="H378" s="1">
        <f>IFERROR(VLOOKUP(B378,Petróleo!L:M,2,FALSE),"")</f>
        <v>1248</v>
      </c>
      <c r="I378" s="1">
        <f>IFERROR(VLOOKUP(B378,Petróleo!N:O,2,FALSE),"")</f>
        <v>1566.125</v>
      </c>
      <c r="J378" s="1">
        <f>IFERROR(VLOOKUP(B378,Petróleo!P:Q,2,FALSE),"")</f>
        <v>10063.218999999999</v>
      </c>
      <c r="K378" s="1">
        <f>IFERROR(VLOOKUP(B378,Petróleo!R:S,2,FALSE),"")</f>
        <v>565</v>
      </c>
      <c r="L378" s="1">
        <f>IFERROR(VLOOKUP(B378,Petróleo!T:U,2,FALSE),"")</f>
        <v>4012.4560000000001</v>
      </c>
      <c r="M378" s="8">
        <f>IFERROR(VLOOKUP(B378,Petróleo!X:Y,2,FALSE),"")</f>
        <v>25610</v>
      </c>
      <c r="N378" s="8">
        <f>IFERROR(VLOOKUP(B378,Petróleo!Z:AA,2,FALSE),"")</f>
        <v>8460</v>
      </c>
      <c r="O378" s="8">
        <f>IFERROR(VLOOKUP(B378,Petróleo!AB:AC,2,FALSE),"")</f>
        <v>2650</v>
      </c>
      <c r="P378" s="8">
        <f>IFERROR(VLOOKUP(B378,Petróleo!AD:AE,2,FALSE),"")</f>
        <v>2460</v>
      </c>
      <c r="Q378" s="8">
        <f>IFERROR(VLOOKUP(B378,Petróleo!AF:AG,2,FALSE),"")</f>
        <v>3960</v>
      </c>
      <c r="R378" s="8">
        <f>IFERROR(VLOOKUP(B378,Petróleo!AH:AI,2,FALSE),"")</f>
        <v>1140</v>
      </c>
      <c r="S378" s="8">
        <f>IFERROR(VLOOKUP(B378,Petróleo!AJ:AK,2,FALSE),"")</f>
        <v>1530</v>
      </c>
      <c r="T378" s="8">
        <f>IFERROR(VLOOKUP(B378,Petróleo!AL:AM,2,FALSE),"")</f>
        <v>500</v>
      </c>
      <c r="U378" s="8">
        <f>IFERROR(VLOOKUP(B378,Petróleo!AN:AO,2,FALSE),"")</f>
        <v>2350</v>
      </c>
      <c r="V378" s="10" t="str">
        <f>IFERROR(VLOOKUP(A378,Petróleo!AR:AT,3,FALSE),"")</f>
        <v/>
      </c>
    </row>
    <row r="379" spans="1:22" x14ac:dyDescent="0.25">
      <c r="A379" s="9" t="str">
        <f t="shared" si="5"/>
        <v>62021</v>
      </c>
      <c r="B379" s="9">
        <v>44377</v>
      </c>
      <c r="C379" s="1">
        <f>IFERROR(VLOOKUP(B379,Petróleo!A:B,2,FALSE),"")</f>
        <v>11401</v>
      </c>
      <c r="D379" s="1">
        <f>IFERROR(VLOOKUP(B379,Estoque_US!D:E,2,FALSE),"")</f>
        <v>-26928</v>
      </c>
      <c r="E379" s="1">
        <f>IFERROR(VLOOKUP(B379,Petróleo!F:G,2,FALSE),"")</f>
        <v>9141</v>
      </c>
      <c r="F379" s="1">
        <f>IFERROR(VLOOKUP(B379,Petróleo!H:I,2,FALSE),"")</f>
        <v>3060</v>
      </c>
      <c r="G379" s="1">
        <f>IFERROR(VLOOKUP(B379,Petróleo!J:K,2,FALSE),"")</f>
        <v>3975</v>
      </c>
      <c r="H379" s="1">
        <f>IFERROR(VLOOKUP(B379,Petróleo!L:M,2,FALSE),"")</f>
        <v>1258</v>
      </c>
      <c r="I379" s="1">
        <f>IFERROR(VLOOKUP(B379,Petróleo!N:O,2,FALSE),"")</f>
        <v>1532.377</v>
      </c>
      <c r="J379" s="1">
        <f>IFERROR(VLOOKUP(B379,Petróleo!P:Q,2,FALSE),"")</f>
        <v>10015.004999999999</v>
      </c>
      <c r="K379" s="1">
        <f>IFERROR(VLOOKUP(B379,Petróleo!R:S,2,FALSE),"")</f>
        <v>580</v>
      </c>
      <c r="L379" s="1">
        <f>IFERROR(VLOOKUP(B379,Petróleo!T:U,2,FALSE),"")</f>
        <v>3929.239</v>
      </c>
      <c r="M379" s="8">
        <f>IFERROR(VLOOKUP(B379,Petróleo!X:Y,2,FALSE),"")</f>
        <v>26400</v>
      </c>
      <c r="N379" s="8">
        <f>IFERROR(VLOOKUP(B379,Petróleo!Z:AA,2,FALSE),"")</f>
        <v>8950</v>
      </c>
      <c r="O379" s="8">
        <f>IFERROR(VLOOKUP(B379,Petróleo!AB:AC,2,FALSE),"")</f>
        <v>2740</v>
      </c>
      <c r="P379" s="8">
        <f>IFERROR(VLOOKUP(B379,Petróleo!AD:AE,2,FALSE),"")</f>
        <v>2490</v>
      </c>
      <c r="Q379" s="8">
        <f>IFERROR(VLOOKUP(B379,Petróleo!AF:AG,2,FALSE),"")</f>
        <v>3940</v>
      </c>
      <c r="R379" s="8">
        <f>IFERROR(VLOOKUP(B379,Petróleo!AH:AI,2,FALSE),"")</f>
        <v>1170</v>
      </c>
      <c r="S379" s="8">
        <f>IFERROR(VLOOKUP(B379,Petróleo!AJ:AK,2,FALSE),"")</f>
        <v>1570</v>
      </c>
      <c r="T379" s="8">
        <f>IFERROR(VLOOKUP(B379,Petróleo!AL:AM,2,FALSE),"")</f>
        <v>540</v>
      </c>
      <c r="U379" s="8">
        <f>IFERROR(VLOOKUP(B379,Petróleo!AN:AO,2,FALSE),"")</f>
        <v>2380</v>
      </c>
      <c r="V379" s="10" t="str">
        <f>IFERROR(VLOOKUP(A379,Petróleo!AR:AT,3,FALSE),"")</f>
        <v/>
      </c>
    </row>
    <row r="380" spans="1:22" x14ac:dyDescent="0.25">
      <c r="A380" s="9" t="str">
        <f t="shared" si="5"/>
        <v>72021</v>
      </c>
      <c r="B380" s="9">
        <v>44408</v>
      </c>
      <c r="C380" s="1">
        <f>IFERROR(VLOOKUP(B380,Petróleo!A:B,2,FALSE),"")</f>
        <v>11420</v>
      </c>
      <c r="D380" s="1">
        <f>IFERROR(VLOOKUP(B380,Estoque_US!D:E,2,FALSE),"")</f>
        <v>-13117</v>
      </c>
      <c r="E380" s="1">
        <f>IFERROR(VLOOKUP(B380,Petróleo!F:G,2,FALSE),"")</f>
        <v>9650</v>
      </c>
      <c r="F380" s="1">
        <f>IFERROR(VLOOKUP(B380,Petróleo!H:I,2,FALSE),"")</f>
        <v>3060</v>
      </c>
      <c r="G380" s="1">
        <f>IFERROR(VLOOKUP(B380,Petróleo!J:K,2,FALSE),"")</f>
        <v>4025</v>
      </c>
      <c r="H380" s="1">
        <f>IFERROR(VLOOKUP(B380,Petróleo!L:M,2,FALSE),"")</f>
        <v>1268</v>
      </c>
      <c r="I380" s="1">
        <f>IFERROR(VLOOKUP(B380,Petróleo!N:O,2,FALSE),"")</f>
        <v>1559.117</v>
      </c>
      <c r="J380" s="1">
        <f>IFERROR(VLOOKUP(B380,Petróleo!P:Q,2,FALSE),"")</f>
        <v>10057.355</v>
      </c>
      <c r="K380" s="1">
        <f>IFERROR(VLOOKUP(B380,Petróleo!R:S,2,FALSE),"")</f>
        <v>570</v>
      </c>
      <c r="L380" s="1">
        <f>IFERROR(VLOOKUP(B380,Petróleo!T:U,2,FALSE),"")</f>
        <v>3965.4749999999999</v>
      </c>
      <c r="M380" s="8">
        <f>IFERROR(VLOOKUP(B380,Petróleo!X:Y,2,FALSE),"")</f>
        <v>26820</v>
      </c>
      <c r="N380" s="8">
        <f>IFERROR(VLOOKUP(B380,Petróleo!Z:AA,2,FALSE),"")</f>
        <v>9430</v>
      </c>
      <c r="O380" s="8">
        <f>IFERROR(VLOOKUP(B380,Petróleo!AB:AC,2,FALSE),"")</f>
        <v>2750</v>
      </c>
      <c r="P380" s="8">
        <f>IFERROR(VLOOKUP(B380,Petróleo!AD:AE,2,FALSE),"")</f>
        <v>2520</v>
      </c>
      <c r="Q380" s="8">
        <f>IFERROR(VLOOKUP(B380,Petróleo!AF:AG,2,FALSE),"")</f>
        <v>3970</v>
      </c>
      <c r="R380" s="8">
        <f>IFERROR(VLOOKUP(B380,Petróleo!AH:AI,2,FALSE),"")</f>
        <v>1170</v>
      </c>
      <c r="S380" s="8">
        <f>IFERROR(VLOOKUP(B380,Petróleo!AJ:AK,2,FALSE),"")</f>
        <v>1520</v>
      </c>
      <c r="T380" s="8">
        <f>IFERROR(VLOOKUP(B380,Petróleo!AL:AM,2,FALSE),"")</f>
        <v>490</v>
      </c>
      <c r="U380" s="8">
        <f>IFERROR(VLOOKUP(B380,Petróleo!AN:AO,2,FALSE),"")</f>
        <v>2410</v>
      </c>
      <c r="V380" s="10" t="str">
        <f>IFERROR(VLOOKUP(A380,Petróleo!AR:AT,3,FALSE),"")</f>
        <v/>
      </c>
    </row>
    <row r="381" spans="1:22" x14ac:dyDescent="0.25">
      <c r="A381" s="9" t="str">
        <f t="shared" si="5"/>
        <v>82021</v>
      </c>
      <c r="B381" s="9">
        <v>44439</v>
      </c>
      <c r="C381" s="1">
        <f>IFERROR(VLOOKUP(B381,Petróleo!A:B,2,FALSE),"")</f>
        <v>11318</v>
      </c>
      <c r="D381" s="1">
        <f>IFERROR(VLOOKUP(B381,Estoque_US!D:E,2,FALSE),"")</f>
        <v>-13830</v>
      </c>
      <c r="E381" s="1">
        <f>IFERROR(VLOOKUP(B381,Petróleo!F:G,2,FALSE),"")</f>
        <v>9752.1389999999992</v>
      </c>
      <c r="F381" s="1">
        <f>IFERROR(VLOOKUP(B381,Petróleo!H:I,2,FALSE),"")</f>
        <v>3010</v>
      </c>
      <c r="G381" s="1">
        <f>IFERROR(VLOOKUP(B381,Petróleo!J:K,2,FALSE),"")</f>
        <v>4100</v>
      </c>
      <c r="H381" s="1">
        <f>IFERROR(VLOOKUP(B381,Petróleo!L:M,2,FALSE),"")</f>
        <v>1258</v>
      </c>
      <c r="I381" s="1">
        <f>IFERROR(VLOOKUP(B381,Petróleo!N:O,2,FALSE),"")</f>
        <v>1386.192</v>
      </c>
      <c r="J381" s="1">
        <f>IFERROR(VLOOKUP(B381,Petróleo!P:Q,2,FALSE),"")</f>
        <v>10022.171</v>
      </c>
      <c r="K381" s="1">
        <f>IFERROR(VLOOKUP(B381,Petróleo!R:S,2,FALSE),"")</f>
        <v>560</v>
      </c>
      <c r="L381" s="1">
        <f>IFERROR(VLOOKUP(B381,Petróleo!T:U,2,FALSE),"")</f>
        <v>3965.192</v>
      </c>
      <c r="M381" s="8">
        <f>IFERROR(VLOOKUP(B381,Petróleo!X:Y,2,FALSE),"")</f>
        <v>27130</v>
      </c>
      <c r="N381" s="8">
        <f>IFERROR(VLOOKUP(B381,Petróleo!Z:AA,2,FALSE),"")</f>
        <v>9630</v>
      </c>
      <c r="O381" s="8">
        <f>IFERROR(VLOOKUP(B381,Petróleo!AB:AC,2,FALSE),"")</f>
        <v>2770</v>
      </c>
      <c r="P381" s="8">
        <f>IFERROR(VLOOKUP(B381,Petróleo!AD:AE,2,FALSE),"")</f>
        <v>2520</v>
      </c>
      <c r="Q381" s="8">
        <f>IFERROR(VLOOKUP(B381,Petróleo!AF:AG,2,FALSE),"")</f>
        <v>4080</v>
      </c>
      <c r="R381" s="8">
        <f>IFERROR(VLOOKUP(B381,Petróleo!AH:AI,2,FALSE),"")</f>
        <v>1130</v>
      </c>
      <c r="S381" s="8">
        <f>IFERROR(VLOOKUP(B381,Petróleo!AJ:AK,2,FALSE),"")</f>
        <v>1430</v>
      </c>
      <c r="T381" s="8">
        <f>IFERROR(VLOOKUP(B381,Petróleo!AL:AM,2,FALSE),"")</f>
        <v>540</v>
      </c>
      <c r="U381" s="8">
        <f>IFERROR(VLOOKUP(B381,Petróleo!AN:AO,2,FALSE),"")</f>
        <v>2450</v>
      </c>
      <c r="V381" s="10" t="str">
        <f>IFERROR(VLOOKUP(A381,Petróleo!AR:AT,3,FALSE),"")</f>
        <v/>
      </c>
    </row>
    <row r="382" spans="1:22" x14ac:dyDescent="0.25">
      <c r="A382" s="9" t="str">
        <f t="shared" si="5"/>
        <v>92021</v>
      </c>
      <c r="B382" s="9">
        <v>44469</v>
      </c>
      <c r="C382" s="1">
        <f>IFERROR(VLOOKUP(B382,Petróleo!A:B,2,FALSE),"")</f>
        <v>10961</v>
      </c>
      <c r="D382" s="1">
        <f>IFERROR(VLOOKUP(B382,Estoque_US!D:E,2,FALSE),"")</f>
        <v>-6853</v>
      </c>
      <c r="E382" s="1">
        <f>IFERROR(VLOOKUP(B382,Petróleo!F:G,2,FALSE),"")</f>
        <v>9854.2780000000002</v>
      </c>
      <c r="F382" s="1">
        <f>IFERROR(VLOOKUP(B382,Petróleo!H:I,2,FALSE),"")</f>
        <v>3010</v>
      </c>
      <c r="G382" s="1">
        <f>IFERROR(VLOOKUP(B382,Petróleo!J:K,2,FALSE),"")</f>
        <v>4150</v>
      </c>
      <c r="H382" s="1">
        <f>IFERROR(VLOOKUP(B382,Petróleo!L:M,2,FALSE),"")</f>
        <v>1238</v>
      </c>
      <c r="I382" s="1">
        <f>IFERROR(VLOOKUP(B382,Petróleo!N:O,2,FALSE),"")</f>
        <v>1533.106</v>
      </c>
      <c r="J382" s="1">
        <f>IFERROR(VLOOKUP(B382,Petróleo!P:Q,2,FALSE),"")</f>
        <v>10312.432000000001</v>
      </c>
      <c r="K382" s="1">
        <f>IFERROR(VLOOKUP(B382,Petróleo!R:S,2,FALSE),"")</f>
        <v>560</v>
      </c>
      <c r="L382" s="1">
        <f>IFERROR(VLOOKUP(B382,Petróleo!T:U,2,FALSE),"")</f>
        <v>4041.241</v>
      </c>
      <c r="M382" s="8">
        <f>IFERROR(VLOOKUP(B382,Petróleo!X:Y,2,FALSE),"")</f>
        <v>27440</v>
      </c>
      <c r="N382" s="8">
        <f>IFERROR(VLOOKUP(B382,Petróleo!Z:AA,2,FALSE),"")</f>
        <v>9690</v>
      </c>
      <c r="O382" s="8">
        <f>IFERROR(VLOOKUP(B382,Petróleo!AB:AC,2,FALSE),"")</f>
        <v>2800</v>
      </c>
      <c r="P382" s="8">
        <f>IFERROR(VLOOKUP(B382,Petróleo!AD:AE,2,FALSE),"")</f>
        <v>2500</v>
      </c>
      <c r="Q382" s="8">
        <f>IFERROR(VLOOKUP(B382,Petróleo!AF:AG,2,FALSE),"")</f>
        <v>4130</v>
      </c>
      <c r="R382" s="8">
        <f>IFERROR(VLOOKUP(B382,Petróleo!AH:AI,2,FALSE),"")</f>
        <v>1140</v>
      </c>
      <c r="S382" s="8">
        <f>IFERROR(VLOOKUP(B382,Petróleo!AJ:AK,2,FALSE),"")</f>
        <v>1500</v>
      </c>
      <c r="T382" s="8">
        <f>IFERROR(VLOOKUP(B382,Petróleo!AL:AM,2,FALSE),"")</f>
        <v>540</v>
      </c>
      <c r="U382" s="8">
        <f>IFERROR(VLOOKUP(B382,Petróleo!AN:AO,2,FALSE),"")</f>
        <v>2480</v>
      </c>
      <c r="V382" s="10" t="str">
        <f>IFERROR(VLOOKUP(A382,Petróleo!AR:AT,3,FALSE),"")</f>
        <v/>
      </c>
    </row>
    <row r="383" spans="1:22" x14ac:dyDescent="0.25">
      <c r="A383" s="9" t="str">
        <f t="shared" si="5"/>
        <v>102021</v>
      </c>
      <c r="B383" s="9">
        <v>44500</v>
      </c>
      <c r="C383" s="1">
        <f>IFERROR(VLOOKUP(B383,Petróleo!A:B,2,FALSE),"")</f>
        <v>11640</v>
      </c>
      <c r="D383" s="1">
        <f>IFERROR(VLOOKUP(B383,Estoque_US!D:E,2,FALSE),"")</f>
        <v>15560</v>
      </c>
      <c r="E383" s="1">
        <f>IFERROR(VLOOKUP(B383,Petróleo!F:G,2,FALSE),"")</f>
        <v>10006.416999999999</v>
      </c>
      <c r="F383" s="1">
        <f>IFERROR(VLOOKUP(B383,Petróleo!H:I,2,FALSE),"")</f>
        <v>3010</v>
      </c>
      <c r="G383" s="1">
        <f>IFERROR(VLOOKUP(B383,Petróleo!J:K,2,FALSE),"")</f>
        <v>4225</v>
      </c>
      <c r="H383" s="1">
        <f>IFERROR(VLOOKUP(B383,Petróleo!L:M,2,FALSE),"")</f>
        <v>1238</v>
      </c>
      <c r="I383" s="1">
        <f>IFERROR(VLOOKUP(B383,Petróleo!N:O,2,FALSE),"")</f>
        <v>1492.0050000000001</v>
      </c>
      <c r="J383" s="1">
        <f>IFERROR(VLOOKUP(B383,Petróleo!P:Q,2,FALSE),"")</f>
        <v>10439.153</v>
      </c>
      <c r="K383" s="1">
        <f>IFERROR(VLOOKUP(B383,Petróleo!R:S,2,FALSE),"")</f>
        <v>630</v>
      </c>
      <c r="L383" s="1">
        <f>IFERROR(VLOOKUP(B383,Petróleo!T:U,2,FALSE),"")</f>
        <v>3961.2339999999999</v>
      </c>
      <c r="M383" s="8">
        <f>IFERROR(VLOOKUP(B383,Petróleo!X:Y,2,FALSE),"")</f>
        <v>27650</v>
      </c>
      <c r="N383" s="8">
        <f>IFERROR(VLOOKUP(B383,Petróleo!Z:AA,2,FALSE),"")</f>
        <v>9810</v>
      </c>
      <c r="O383" s="8">
        <f>IFERROR(VLOOKUP(B383,Petróleo!AB:AC,2,FALSE),"")</f>
        <v>2840</v>
      </c>
      <c r="P383" s="8">
        <f>IFERROR(VLOOKUP(B383,Petróleo!AD:AE,2,FALSE),"")</f>
        <v>2530</v>
      </c>
      <c r="Q383" s="8">
        <f>IFERROR(VLOOKUP(B383,Petróleo!AF:AG,2,FALSE),"")</f>
        <v>4180</v>
      </c>
      <c r="R383" s="8">
        <f>IFERROR(VLOOKUP(B383,Petróleo!AH:AI,2,FALSE),"")</f>
        <v>1150</v>
      </c>
      <c r="S383" s="8">
        <f>IFERROR(VLOOKUP(B383,Petróleo!AJ:AK,2,FALSE),"")</f>
        <v>1440</v>
      </c>
      <c r="T383" s="8">
        <f>IFERROR(VLOOKUP(B383,Petróleo!AL:AM,2,FALSE),"")</f>
        <v>580</v>
      </c>
      <c r="U383" s="8">
        <f>IFERROR(VLOOKUP(B383,Petróleo!AN:AO,2,FALSE),"")</f>
        <v>2500</v>
      </c>
      <c r="V383" s="10" t="str">
        <f>IFERROR(VLOOKUP(A383,Petróleo!AR:AT,3,FALSE),"")</f>
        <v/>
      </c>
    </row>
    <row r="384" spans="1:22" x14ac:dyDescent="0.25">
      <c r="A384" s="9" t="str">
        <f t="shared" si="5"/>
        <v>112021</v>
      </c>
      <c r="B384" s="9">
        <v>44530</v>
      </c>
      <c r="C384" s="1">
        <f>IFERROR(VLOOKUP(B384,Petróleo!A:B,2,FALSE),"")</f>
        <v>11871</v>
      </c>
      <c r="D384" s="1">
        <f>IFERROR(VLOOKUP(B384,Estoque_US!D:E,2,FALSE),"")</f>
        <v>-991</v>
      </c>
      <c r="E384" s="1">
        <f>IFERROR(VLOOKUP(B384,Petróleo!F:G,2,FALSE),"")</f>
        <v>10095</v>
      </c>
      <c r="F384" s="1">
        <f>IFERROR(VLOOKUP(B384,Petróleo!H:I,2,FALSE),"")</f>
        <v>3010</v>
      </c>
      <c r="G384" s="1">
        <f>IFERROR(VLOOKUP(B384,Petróleo!J:K,2,FALSE),"")</f>
        <v>4275</v>
      </c>
      <c r="H384" s="1">
        <f>IFERROR(VLOOKUP(B384,Petróleo!L:M,2,FALSE),"")</f>
        <v>1218</v>
      </c>
      <c r="I384" s="1">
        <f>IFERROR(VLOOKUP(B384,Petróleo!N:O,2,FALSE),"")</f>
        <v>1545.5219999999999</v>
      </c>
      <c r="J384" s="1">
        <f>IFERROR(VLOOKUP(B384,Petróleo!P:Q,2,FALSE),"")</f>
        <v>10502.597</v>
      </c>
      <c r="K384" s="1">
        <f>IFERROR(VLOOKUP(B384,Petróleo!R:S,2,FALSE),"")</f>
        <v>710</v>
      </c>
      <c r="L384" s="1">
        <f>IFERROR(VLOOKUP(B384,Petróleo!T:U,2,FALSE),"")</f>
        <v>3968.2260000000001</v>
      </c>
      <c r="M384" s="8">
        <f>IFERROR(VLOOKUP(B384,Petróleo!X:Y,2,FALSE),"")</f>
        <v>28000</v>
      </c>
      <c r="N384" s="8">
        <f>IFERROR(VLOOKUP(B384,Petróleo!Z:AA,2,FALSE),"")</f>
        <v>9880</v>
      </c>
      <c r="O384" s="8">
        <f>IFERROR(VLOOKUP(B384,Petróleo!AB:AC,2,FALSE),"")</f>
        <v>2870</v>
      </c>
      <c r="P384" s="8">
        <f>IFERROR(VLOOKUP(B384,Petróleo!AD:AE,2,FALSE),"")</f>
        <v>2520</v>
      </c>
      <c r="Q384" s="8">
        <f>IFERROR(VLOOKUP(B384,Petróleo!AF:AG,2,FALSE),"")</f>
        <v>4280</v>
      </c>
      <c r="R384" s="8">
        <f>IFERROR(VLOOKUP(B384,Petróleo!AH:AI,2,FALSE),"")</f>
        <v>1130</v>
      </c>
      <c r="S384" s="8">
        <f>IFERROR(VLOOKUP(B384,Petróleo!AJ:AK,2,FALSE),"")</f>
        <v>1530</v>
      </c>
      <c r="T384" s="8">
        <f>IFERROR(VLOOKUP(B384,Petróleo!AL:AM,2,FALSE),"")</f>
        <v>630</v>
      </c>
      <c r="U384" s="8">
        <f>IFERROR(VLOOKUP(B384,Petróleo!AN:AO,2,FALSE),"")</f>
        <v>2530</v>
      </c>
      <c r="V384" s="10" t="str">
        <f>IFERROR(VLOOKUP(A384,Petróleo!AR:AT,3,FALSE),"")</f>
        <v/>
      </c>
    </row>
    <row r="385" spans="1:22" x14ac:dyDescent="0.25">
      <c r="A385" s="9" t="str">
        <f t="shared" si="5"/>
        <v>122021</v>
      </c>
      <c r="B385" s="9">
        <v>44561</v>
      </c>
      <c r="C385" s="1">
        <f>IFERROR(VLOOKUP(B385,Petróleo!A:B,2,FALSE),"")</f>
        <v>11760</v>
      </c>
      <c r="D385" s="1">
        <f>IFERROR(VLOOKUP(B385,Estoque_US!D:E,2,FALSE),"")</f>
        <v>-15260</v>
      </c>
      <c r="E385" s="1">
        <f>IFERROR(VLOOKUP(B385,Petróleo!F:G,2,FALSE),"")</f>
        <v>10105</v>
      </c>
      <c r="F385" s="1">
        <f>IFERROR(VLOOKUP(B385,Petróleo!H:I,2,FALSE),"")</f>
        <v>3010</v>
      </c>
      <c r="G385" s="1">
        <f>IFERROR(VLOOKUP(B385,Petróleo!J:K,2,FALSE),"")</f>
        <v>4325</v>
      </c>
      <c r="H385" s="1">
        <f>IFERROR(VLOOKUP(B385,Petróleo!L:M,2,FALSE),"")</f>
        <v>1128</v>
      </c>
      <c r="I385" s="1">
        <f>IFERROR(VLOOKUP(B385,Petróleo!N:O,2,FALSE),"")</f>
        <v>1497.481</v>
      </c>
      <c r="J385" s="1">
        <f>IFERROR(VLOOKUP(B385,Petróleo!P:Q,2,FALSE),"")</f>
        <v>10499.449000000001</v>
      </c>
      <c r="K385" s="1">
        <f>IFERROR(VLOOKUP(B385,Petróleo!R:S,2,FALSE),"")</f>
        <v>780</v>
      </c>
      <c r="L385" s="1">
        <f>IFERROR(VLOOKUP(B385,Petróleo!T:U,2,FALSE),"")</f>
        <v>3877.2159999999999</v>
      </c>
      <c r="M385" s="8">
        <f>IFERROR(VLOOKUP(B385,Petróleo!X:Y,2,FALSE),"")</f>
        <v>28090</v>
      </c>
      <c r="N385" s="8">
        <f>IFERROR(VLOOKUP(B385,Petróleo!Z:AA,2,FALSE),"")</f>
        <v>10030</v>
      </c>
      <c r="O385" s="8">
        <f>IFERROR(VLOOKUP(B385,Petróleo!AB:AC,2,FALSE),"")</f>
        <v>2890</v>
      </c>
      <c r="P385" s="8">
        <f>IFERROR(VLOOKUP(B385,Petróleo!AD:AE,2,FALSE),"")</f>
        <v>2510</v>
      </c>
      <c r="Q385" s="8">
        <f>IFERROR(VLOOKUP(B385,Petróleo!AF:AG,2,FALSE),"")</f>
        <v>4280</v>
      </c>
      <c r="R385" s="8">
        <f>IFERROR(VLOOKUP(B385,Petróleo!AH:AI,2,FALSE),"")</f>
        <v>1060</v>
      </c>
      <c r="S385" s="8">
        <f>IFERROR(VLOOKUP(B385,Petróleo!AJ:AK,2,FALSE),"")</f>
        <v>1420</v>
      </c>
      <c r="T385" s="8">
        <f>IFERROR(VLOOKUP(B385,Petróleo!AL:AM,2,FALSE),"")</f>
        <v>650</v>
      </c>
      <c r="U385" s="8">
        <f>IFERROR(VLOOKUP(B385,Petróleo!AN:AO,2,FALSE),"")</f>
        <v>2550</v>
      </c>
      <c r="V385" s="10" t="str">
        <f>IFERROR(VLOOKUP(A385,Petróleo!AR:AT,3,FALSE),"")</f>
        <v/>
      </c>
    </row>
    <row r="386" spans="1:22" x14ac:dyDescent="0.25">
      <c r="A386" s="9" t="str">
        <f t="shared" si="5"/>
        <v>12022</v>
      </c>
      <c r="B386" s="9">
        <v>44592</v>
      </c>
      <c r="C386" s="1">
        <f>IFERROR(VLOOKUP(B386,Petróleo!A:B,2,FALSE),"")</f>
        <v>11451</v>
      </c>
      <c r="D386" s="1">
        <f>IFERROR(VLOOKUP(B386,Estoque_US!D:E,2,FALSE),"")</f>
        <v>-2708</v>
      </c>
      <c r="E386" s="1">
        <f>IFERROR(VLOOKUP(B386,Petróleo!F:G,2,FALSE),"")</f>
        <v>10225</v>
      </c>
      <c r="F386" s="1">
        <f>IFERROR(VLOOKUP(B386,Petróleo!H:I,2,FALSE),"")</f>
        <v>3095</v>
      </c>
      <c r="G386" s="1">
        <f>IFERROR(VLOOKUP(B386,Petróleo!J:K,2,FALSE),"")</f>
        <v>4275</v>
      </c>
      <c r="H386" s="1">
        <f>IFERROR(VLOOKUP(B386,Petróleo!L:M,2,FALSE),"")</f>
        <v>1058</v>
      </c>
      <c r="I386" s="1">
        <f>IFERROR(VLOOKUP(B386,Petróleo!N:O,2,FALSE),"")</f>
        <v>1488.6510000000001</v>
      </c>
      <c r="J386" s="1">
        <f>IFERROR(VLOOKUP(B386,Petróleo!P:Q,2,FALSE),"")</f>
        <v>10598.285</v>
      </c>
      <c r="K386" s="1">
        <f>IFERROR(VLOOKUP(B386,Petróleo!R:S,2,FALSE),"")</f>
        <v>710</v>
      </c>
      <c r="L386" s="1">
        <f>IFERROR(VLOOKUP(B386,Petróleo!T:U,2,FALSE),"")</f>
        <v>4184.1289999999999</v>
      </c>
      <c r="M386" s="8">
        <f>IFERROR(VLOOKUP(B386,Petróleo!X:Y,2,FALSE),"")</f>
        <v>28170</v>
      </c>
      <c r="N386" s="8">
        <f>IFERROR(VLOOKUP(B386,Petróleo!Z:AA,2,FALSE),"")</f>
        <v>10060</v>
      </c>
      <c r="O386" s="8">
        <f>IFERROR(VLOOKUP(B386,Petróleo!AB:AC,2,FALSE),"")</f>
        <v>2910</v>
      </c>
      <c r="P386" s="8">
        <f>IFERROR(VLOOKUP(B386,Petróleo!AD:AE,2,FALSE),"")</f>
        <v>2520</v>
      </c>
      <c r="Q386" s="8">
        <f>IFERROR(VLOOKUP(B386,Petróleo!AF:AG,2,FALSE),"")</f>
        <v>4310</v>
      </c>
      <c r="R386" s="8">
        <f>IFERROR(VLOOKUP(B386,Petróleo!AH:AI,2,FALSE),"")</f>
        <v>950</v>
      </c>
      <c r="S386" s="8">
        <f>IFERROR(VLOOKUP(B386,Petróleo!AJ:AK,2,FALSE),"")</f>
        <v>1520</v>
      </c>
      <c r="T386" s="8">
        <f>IFERROR(VLOOKUP(B386,Petróleo!AL:AM,2,FALSE),"")</f>
        <v>670</v>
      </c>
      <c r="U386" s="8">
        <f>IFERROR(VLOOKUP(B386,Petróleo!AN:AO,2,FALSE),"")</f>
        <v>2580</v>
      </c>
      <c r="V386" s="10" t="str">
        <f>IFERROR(VLOOKUP(A386,Petróleo!AR:AT,3,FALSE),"")</f>
        <v/>
      </c>
    </row>
    <row r="387" spans="1:22" x14ac:dyDescent="0.25">
      <c r="A387" s="9" t="str">
        <f t="shared" ref="A387:A421" si="6">MONTH(B387)&amp;YEAR(B387)</f>
        <v>22022</v>
      </c>
      <c r="B387" s="9">
        <v>44620</v>
      </c>
      <c r="C387" s="1">
        <f>IFERROR(VLOOKUP(B387,Petróleo!A:B,2,FALSE),"")</f>
        <v>11465</v>
      </c>
      <c r="D387" s="1">
        <f>IFERROR(VLOOKUP(B387,Estoque_US!D:E,2,FALSE),"")</f>
        <v>-1718</v>
      </c>
      <c r="E387" s="1">
        <f>IFERROR(VLOOKUP(B387,Petróleo!F:G,2,FALSE),"")</f>
        <v>10475</v>
      </c>
      <c r="F387" s="1">
        <f>IFERROR(VLOOKUP(B387,Petróleo!H:I,2,FALSE),"")</f>
        <v>3145</v>
      </c>
      <c r="G387" s="1">
        <f>IFERROR(VLOOKUP(B387,Petróleo!J:K,2,FALSE),"")</f>
        <v>4375</v>
      </c>
      <c r="H387" s="1">
        <f>IFERROR(VLOOKUP(B387,Petróleo!L:M,2,FALSE),"")</f>
        <v>1208</v>
      </c>
      <c r="I387" s="1">
        <f>IFERROR(VLOOKUP(B387,Petróleo!N:O,2,FALSE),"")</f>
        <v>1521.5409999999999</v>
      </c>
      <c r="J387" s="1">
        <f>IFERROR(VLOOKUP(B387,Petróleo!P:Q,2,FALSE),"")</f>
        <v>10651.403</v>
      </c>
      <c r="K387" s="1">
        <f>IFERROR(VLOOKUP(B387,Petróleo!R:S,2,FALSE),"")</f>
        <v>730</v>
      </c>
      <c r="L387" s="1">
        <f>IFERROR(VLOOKUP(B387,Petróleo!T:U,2,FALSE),"")</f>
        <v>4092.1280000000002</v>
      </c>
      <c r="M387" s="8">
        <f>IFERROR(VLOOKUP(B387,Petróleo!X:Y,2,FALSE),"")</f>
        <v>28510</v>
      </c>
      <c r="N387" s="8">
        <f>IFERROR(VLOOKUP(B387,Petróleo!Z:AA,2,FALSE),"")</f>
        <v>10170</v>
      </c>
      <c r="O387" s="8">
        <f>IFERROR(VLOOKUP(B387,Petróleo!AB:AC,2,FALSE),"")</f>
        <v>2960</v>
      </c>
      <c r="P387" s="8">
        <f>IFERROR(VLOOKUP(B387,Petróleo!AD:AE,2,FALSE),"")</f>
        <v>2550</v>
      </c>
      <c r="Q387" s="8">
        <f>IFERROR(VLOOKUP(B387,Petróleo!AF:AG,2,FALSE),"")</f>
        <v>4280</v>
      </c>
      <c r="R387" s="8">
        <f>IFERROR(VLOOKUP(B387,Petróleo!AH:AI,2,FALSE),"")</f>
        <v>1120</v>
      </c>
      <c r="S387" s="8">
        <f>IFERROR(VLOOKUP(B387,Petróleo!AJ:AK,2,FALSE),"")</f>
        <v>1500</v>
      </c>
      <c r="T387" s="8">
        <f>IFERROR(VLOOKUP(B387,Petróleo!AL:AM,2,FALSE),"")</f>
        <v>620</v>
      </c>
      <c r="U387" s="8">
        <f>IFERROR(VLOOKUP(B387,Petróleo!AN:AO,2,FALSE),"")</f>
        <v>2620</v>
      </c>
      <c r="V387" s="10" t="str">
        <f>IFERROR(VLOOKUP(A387,Petróleo!AR:AT,3,FALSE),"")</f>
        <v/>
      </c>
    </row>
    <row r="388" spans="1:22" x14ac:dyDescent="0.25">
      <c r="A388" s="9" t="str">
        <f t="shared" si="6"/>
        <v>32022</v>
      </c>
      <c r="B388" s="9">
        <v>44651</v>
      </c>
      <c r="C388" s="1">
        <f>IFERROR(VLOOKUP(B388,Petróleo!A:B,2,FALSE),"")</f>
        <v>11888</v>
      </c>
      <c r="D388" s="1">
        <f>IFERROR(VLOOKUP(B388,Estoque_US!D:E,2,FALSE),"")</f>
        <v>-3475</v>
      </c>
      <c r="E388" s="1">
        <f>IFERROR(VLOOKUP(B388,Petróleo!F:G,2,FALSE),"")</f>
        <v>10225</v>
      </c>
      <c r="F388" s="1">
        <f>IFERROR(VLOOKUP(B388,Petróleo!H:I,2,FALSE),"")</f>
        <v>3195</v>
      </c>
      <c r="G388" s="1">
        <f>IFERROR(VLOOKUP(B388,Petróleo!J:K,2,FALSE),"")</f>
        <v>4325</v>
      </c>
      <c r="H388" s="1">
        <f>IFERROR(VLOOKUP(B388,Petróleo!L:M,2,FALSE),"")</f>
        <v>1158</v>
      </c>
      <c r="I388" s="1">
        <f>IFERROR(VLOOKUP(B388,Petróleo!N:O,2,FALSE),"")</f>
        <v>1414.472</v>
      </c>
      <c r="J388" s="1">
        <f>IFERROR(VLOOKUP(B388,Petróleo!P:Q,2,FALSE),"")</f>
        <v>10607.743</v>
      </c>
      <c r="K388" s="1">
        <f>IFERROR(VLOOKUP(B388,Petróleo!R:S,2,FALSE),"")</f>
        <v>755</v>
      </c>
      <c r="L388" s="1">
        <f>IFERROR(VLOOKUP(B388,Petróleo!T:U,2,FALSE),"")</f>
        <v>4170.1109999999999</v>
      </c>
      <c r="M388" s="8">
        <f>IFERROR(VLOOKUP(B388,Petróleo!X:Y,2,FALSE),"")</f>
        <v>28690</v>
      </c>
      <c r="N388" s="8">
        <f>IFERROR(VLOOKUP(B388,Petróleo!Z:AA,2,FALSE),"")</f>
        <v>10270</v>
      </c>
      <c r="O388" s="8">
        <f>IFERROR(VLOOKUP(B388,Petróleo!AB:AC,2,FALSE),"")</f>
        <v>2980</v>
      </c>
      <c r="P388" s="8">
        <f>IFERROR(VLOOKUP(B388,Petróleo!AD:AE,2,FALSE),"")</f>
        <v>2590</v>
      </c>
      <c r="Q388" s="8">
        <f>IFERROR(VLOOKUP(B388,Petróleo!AF:AG,2,FALSE),"")</f>
        <v>4290</v>
      </c>
      <c r="R388" s="8">
        <f>IFERROR(VLOOKUP(B388,Petróleo!AH:AI,2,FALSE),"")</f>
        <v>1050</v>
      </c>
      <c r="S388" s="8">
        <f>IFERROR(VLOOKUP(B388,Petróleo!AJ:AK,2,FALSE),"")</f>
        <v>1480</v>
      </c>
      <c r="T388" s="8">
        <f>IFERROR(VLOOKUP(B388,Petróleo!AL:AM,2,FALSE),"")</f>
        <v>680</v>
      </c>
      <c r="U388" s="8">
        <f>IFERROR(VLOOKUP(B388,Petróleo!AN:AO,2,FALSE),"")</f>
        <v>2640</v>
      </c>
      <c r="V388" s="10" t="str">
        <f>IFERROR(VLOOKUP(A388,Petróleo!AR:AT,3,FALSE),"")</f>
        <v/>
      </c>
    </row>
    <row r="389" spans="1:22" x14ac:dyDescent="0.25">
      <c r="A389" s="9" t="str">
        <f t="shared" si="6"/>
        <v>42022</v>
      </c>
      <c r="B389" s="9">
        <v>44681</v>
      </c>
      <c r="C389" s="1">
        <f>IFERROR(VLOOKUP(B389,Petróleo!A:B,2,FALSE),"")</f>
        <v>11830</v>
      </c>
      <c r="D389" s="1">
        <f>IFERROR(VLOOKUP(B389,Estoque_US!D:E,2,FALSE),"")</f>
        <v>5777</v>
      </c>
      <c r="E389" s="1">
        <f>IFERROR(VLOOKUP(B389,Petróleo!F:G,2,FALSE),"")</f>
        <v>10535</v>
      </c>
      <c r="F389" s="1">
        <f>IFERROR(VLOOKUP(B389,Petróleo!H:I,2,FALSE),"")</f>
        <v>3195</v>
      </c>
      <c r="G389" s="1">
        <f>IFERROR(VLOOKUP(B389,Petróleo!J:K,2,FALSE),"")</f>
        <v>4425</v>
      </c>
      <c r="H389" s="1">
        <f>IFERROR(VLOOKUP(B389,Petróleo!L:M,2,FALSE),"")</f>
        <v>988</v>
      </c>
      <c r="I389" s="1">
        <f>IFERROR(VLOOKUP(B389,Petróleo!N:O,2,FALSE),"")</f>
        <v>1399.71</v>
      </c>
      <c r="J389" s="1">
        <f>IFERROR(VLOOKUP(B389,Petróleo!P:Q,2,FALSE),"")</f>
        <v>9643.1790000000001</v>
      </c>
      <c r="K389" s="1">
        <f>IFERROR(VLOOKUP(B389,Petróleo!R:S,2,FALSE),"")</f>
        <v>780</v>
      </c>
      <c r="L389" s="1">
        <f>IFERROR(VLOOKUP(B389,Petróleo!T:U,2,FALSE),"")</f>
        <v>4139.1000000000004</v>
      </c>
      <c r="M389" s="8">
        <f>IFERROR(VLOOKUP(B389,Petróleo!X:Y,2,FALSE),"")</f>
        <v>28720</v>
      </c>
      <c r="N389" s="8">
        <f>IFERROR(VLOOKUP(B389,Petróleo!Z:AA,2,FALSE),"")</f>
        <v>10380</v>
      </c>
      <c r="O389" s="8">
        <f>IFERROR(VLOOKUP(B389,Petróleo!AB:AC,2,FALSE),"")</f>
        <v>3010</v>
      </c>
      <c r="P389" s="8">
        <f>IFERROR(VLOOKUP(B389,Petróleo!AD:AE,2,FALSE),"")</f>
        <v>2580</v>
      </c>
      <c r="Q389" s="8">
        <f>IFERROR(VLOOKUP(B389,Petróleo!AF:AG,2,FALSE),"")</f>
        <v>4460</v>
      </c>
      <c r="R389" s="8">
        <f>IFERROR(VLOOKUP(B389,Petróleo!AH:AI,2,FALSE),"")</f>
        <v>900</v>
      </c>
      <c r="S389" s="8">
        <f>IFERROR(VLOOKUP(B389,Petróleo!AJ:AK,2,FALSE),"")</f>
        <v>1370</v>
      </c>
      <c r="T389" s="8">
        <f>IFERROR(VLOOKUP(B389,Petróleo!AL:AM,2,FALSE),"")</f>
        <v>700</v>
      </c>
      <c r="U389" s="8">
        <f>IFERROR(VLOOKUP(B389,Petróleo!AN:AO,2,FALSE),"")</f>
        <v>2610</v>
      </c>
      <c r="V389" s="10" t="str">
        <f>IFERROR(VLOOKUP(A389,Petróleo!AR:AT,3,FALSE),"")</f>
        <v/>
      </c>
    </row>
    <row r="390" spans="1:22" x14ac:dyDescent="0.25">
      <c r="A390" s="9" t="str">
        <f t="shared" si="6"/>
        <v>52022</v>
      </c>
      <c r="B390" s="9">
        <v>44712</v>
      </c>
      <c r="C390" s="1">
        <f>IFERROR(VLOOKUP(B390,Petróleo!A:B,2,FALSE),"")</f>
        <v>11758</v>
      </c>
      <c r="D390" s="1">
        <f>IFERROR(VLOOKUP(B390,Estoque_US!D:E,2,FALSE),"")</f>
        <v>-994</v>
      </c>
      <c r="E390" s="1">
        <f>IFERROR(VLOOKUP(B390,Petróleo!F:G,2,FALSE),"")</f>
        <v>10485</v>
      </c>
      <c r="F390" s="1">
        <f>IFERROR(VLOOKUP(B390,Petróleo!H:I,2,FALSE),"")</f>
        <v>3095</v>
      </c>
      <c r="G390" s="1">
        <f>IFERROR(VLOOKUP(B390,Petróleo!J:K,2,FALSE),"")</f>
        <v>4425</v>
      </c>
      <c r="H390" s="1">
        <f>IFERROR(VLOOKUP(B390,Petróleo!L:M,2,FALSE),"")</f>
        <v>808</v>
      </c>
      <c r="I390" s="1">
        <f>IFERROR(VLOOKUP(B390,Petróleo!N:O,2,FALSE),"")</f>
        <v>1246.046</v>
      </c>
      <c r="J390" s="1">
        <f>IFERROR(VLOOKUP(B390,Petróleo!P:Q,2,FALSE),"")</f>
        <v>9788.1790000000001</v>
      </c>
      <c r="K390" s="1">
        <f>IFERROR(VLOOKUP(B390,Petróleo!R:S,2,FALSE),"")</f>
        <v>750</v>
      </c>
      <c r="L390" s="1">
        <f>IFERROR(VLOOKUP(B390,Petróleo!T:U,2,FALSE),"")</f>
        <v>4136.09</v>
      </c>
      <c r="M390" s="8">
        <f>IFERROR(VLOOKUP(B390,Petróleo!X:Y,2,FALSE),"")</f>
        <v>28720</v>
      </c>
      <c r="N390" s="8">
        <f>IFERROR(VLOOKUP(B390,Petróleo!Z:AA,2,FALSE),"")</f>
        <v>10430</v>
      </c>
      <c r="O390" s="8">
        <f>IFERROR(VLOOKUP(B390,Petróleo!AB:AC,2,FALSE),"")</f>
        <v>3100</v>
      </c>
      <c r="P390" s="8">
        <f>IFERROR(VLOOKUP(B390,Petróleo!AD:AE,2,FALSE),"")</f>
        <v>2580</v>
      </c>
      <c r="Q390" s="8">
        <f>IFERROR(VLOOKUP(B390,Petróleo!AF:AG,2,FALSE),"")</f>
        <v>4430</v>
      </c>
      <c r="R390" s="8">
        <f>IFERROR(VLOOKUP(B390,Petróleo!AH:AI,2,FALSE),"")</f>
        <v>760</v>
      </c>
      <c r="S390" s="8">
        <f>IFERROR(VLOOKUP(B390,Petróleo!AJ:AK,2,FALSE),"")</f>
        <v>1300</v>
      </c>
      <c r="T390" s="8">
        <f>IFERROR(VLOOKUP(B390,Petróleo!AL:AM,2,FALSE),"")</f>
        <v>680</v>
      </c>
      <c r="U390" s="8">
        <f>IFERROR(VLOOKUP(B390,Petróleo!AN:AO,2,FALSE),"")</f>
        <v>2690</v>
      </c>
      <c r="V390" s="10" t="str">
        <f>IFERROR(VLOOKUP(A390,Petróleo!AR:AT,3,FALSE),"")</f>
        <v/>
      </c>
    </row>
    <row r="391" spans="1:22" x14ac:dyDescent="0.25">
      <c r="A391" s="9" t="str">
        <f t="shared" si="6"/>
        <v>62022</v>
      </c>
      <c r="B391" s="9">
        <v>44742</v>
      </c>
      <c r="C391" s="1">
        <f>IFERROR(VLOOKUP(B391,Petróleo!A:B,2,FALSE),"")</f>
        <v>11919</v>
      </c>
      <c r="D391" s="1">
        <f>IFERROR(VLOOKUP(B391,Estoque_US!D:E,2,FALSE),"")</f>
        <v>833</v>
      </c>
      <c r="E391" s="1">
        <f>IFERROR(VLOOKUP(B391,Petróleo!F:G,2,FALSE),"")</f>
        <v>10585</v>
      </c>
      <c r="F391" s="1">
        <f>IFERROR(VLOOKUP(B391,Petróleo!H:I,2,FALSE),"")</f>
        <v>3095</v>
      </c>
      <c r="G391" s="1">
        <f>IFERROR(VLOOKUP(B391,Petróleo!J:K,2,FALSE),"")</f>
        <v>4475</v>
      </c>
      <c r="H391" s="1">
        <f>IFERROR(VLOOKUP(B391,Petróleo!L:M,2,FALSE),"")</f>
        <v>728</v>
      </c>
      <c r="I391" s="1">
        <f>IFERROR(VLOOKUP(B391,Petróleo!N:O,2,FALSE),"")</f>
        <v>1268.44</v>
      </c>
      <c r="J391" s="1">
        <f>IFERROR(VLOOKUP(B391,Petróleo!P:Q,2,FALSE),"")</f>
        <v>10298.179</v>
      </c>
      <c r="K391" s="1">
        <f>IFERROR(VLOOKUP(B391,Petróleo!R:S,2,FALSE),"")</f>
        <v>730</v>
      </c>
      <c r="L391" s="1">
        <f>IFERROR(VLOOKUP(B391,Petróleo!T:U,2,FALSE),"")</f>
        <v>4182.0690000000004</v>
      </c>
      <c r="M391" s="8">
        <f>IFERROR(VLOOKUP(B391,Petróleo!X:Y,2,FALSE),"")</f>
        <v>28780</v>
      </c>
      <c r="N391" s="8">
        <f>IFERROR(VLOOKUP(B391,Petróleo!Z:AA,2,FALSE),"")</f>
        <v>10600</v>
      </c>
      <c r="O391" s="8">
        <f>IFERROR(VLOOKUP(B391,Petróleo!AB:AC,2,FALSE),"")</f>
        <v>3190</v>
      </c>
      <c r="P391" s="8">
        <f>IFERROR(VLOOKUP(B391,Petróleo!AD:AE,2,FALSE),"")</f>
        <v>2550</v>
      </c>
      <c r="Q391" s="8">
        <f>IFERROR(VLOOKUP(B391,Petróleo!AF:AG,2,FALSE),"")</f>
        <v>4420</v>
      </c>
      <c r="R391" s="8">
        <f>IFERROR(VLOOKUP(B391,Petróleo!AH:AI,2,FALSE),"")</f>
        <v>670</v>
      </c>
      <c r="S391" s="8">
        <f>IFERROR(VLOOKUP(B391,Petróleo!AJ:AK,2,FALSE),"")</f>
        <v>1230</v>
      </c>
      <c r="T391" s="8">
        <f>IFERROR(VLOOKUP(B391,Petróleo!AL:AM,2,FALSE),"")</f>
        <v>710</v>
      </c>
      <c r="U391" s="8">
        <f>IFERROR(VLOOKUP(B391,Petróleo!AN:AO,2,FALSE),"")</f>
        <v>2640</v>
      </c>
      <c r="V391" s="10" t="str">
        <f>IFERROR(VLOOKUP(A391,Petróleo!AR:AT,3,FALSE),"")</f>
        <v/>
      </c>
    </row>
    <row r="392" spans="1:22" x14ac:dyDescent="0.25">
      <c r="A392" s="9" t="str">
        <f t="shared" si="6"/>
        <v>72022</v>
      </c>
      <c r="B392" s="9">
        <v>44773</v>
      </c>
      <c r="C392" s="1">
        <f>IFERROR(VLOOKUP(B392,Petróleo!A:B,2,FALSE),"")</f>
        <v>12009</v>
      </c>
      <c r="D392" s="1">
        <f>IFERROR(VLOOKUP(B392,Estoque_US!D:E,2,FALSE),"")</f>
        <v>10987</v>
      </c>
      <c r="E392" s="1">
        <f>IFERROR(VLOOKUP(B392,Petróleo!F:G,2,FALSE),"")</f>
        <v>10835</v>
      </c>
      <c r="F392" s="1">
        <f>IFERROR(VLOOKUP(B392,Petróleo!H:I,2,FALSE),"")</f>
        <v>3095</v>
      </c>
      <c r="G392" s="1">
        <f>IFERROR(VLOOKUP(B392,Petróleo!J:K,2,FALSE),"")</f>
        <v>4575</v>
      </c>
      <c r="H392" s="1">
        <f>IFERROR(VLOOKUP(B392,Petróleo!L:M,2,FALSE),"")</f>
        <v>678</v>
      </c>
      <c r="I392" s="1">
        <f>IFERROR(VLOOKUP(B392,Petróleo!N:O,2,FALSE),"")</f>
        <v>1216.4390000000001</v>
      </c>
      <c r="J392" s="1">
        <f>IFERROR(VLOOKUP(B392,Petróleo!P:Q,2,FALSE),"")</f>
        <v>10336.179</v>
      </c>
      <c r="K392" s="1">
        <f>IFERROR(VLOOKUP(B392,Petróleo!R:S,2,FALSE),"")</f>
        <v>650</v>
      </c>
      <c r="L392" s="1">
        <f>IFERROR(VLOOKUP(B392,Petróleo!T:U,2,FALSE),"")</f>
        <v>4029.0830000000001</v>
      </c>
      <c r="M392" s="8">
        <f>IFERROR(VLOOKUP(B392,Petróleo!X:Y,2,FALSE),"")</f>
        <v>29050</v>
      </c>
      <c r="N392" s="8">
        <f>IFERROR(VLOOKUP(B392,Petróleo!Z:AA,2,FALSE),"")</f>
        <v>10780</v>
      </c>
      <c r="O392" s="8">
        <f>IFERROR(VLOOKUP(B392,Petróleo!AB:AC,2,FALSE),"")</f>
        <v>3240</v>
      </c>
      <c r="P392" s="8">
        <f>IFERROR(VLOOKUP(B392,Petróleo!AD:AE,2,FALSE),"")</f>
        <v>2520</v>
      </c>
      <c r="Q392" s="8">
        <f>IFERROR(VLOOKUP(B392,Petróleo!AF:AG,2,FALSE),"")</f>
        <v>4420</v>
      </c>
      <c r="R392" s="8">
        <f>IFERROR(VLOOKUP(B392,Petróleo!AH:AI,2,FALSE),"")</f>
        <v>700</v>
      </c>
      <c r="S392" s="8">
        <f>IFERROR(VLOOKUP(B392,Petróleo!AJ:AK,2,FALSE),"")</f>
        <v>1200</v>
      </c>
      <c r="T392" s="8">
        <f>IFERROR(VLOOKUP(B392,Petróleo!AL:AM,2,FALSE),"")</f>
        <v>710</v>
      </c>
      <c r="U392" s="8">
        <f>IFERROR(VLOOKUP(B392,Petróleo!AN:AO,2,FALSE),"")</f>
        <v>2770</v>
      </c>
      <c r="V392" s="10" t="str">
        <f>IFERROR(VLOOKUP(A392,Petróleo!AR:AT,3,FALSE),"")</f>
        <v/>
      </c>
    </row>
    <row r="393" spans="1:22" x14ac:dyDescent="0.25">
      <c r="A393" s="9" t="str">
        <f t="shared" si="6"/>
        <v>82022</v>
      </c>
      <c r="B393" s="9">
        <v>44804</v>
      </c>
      <c r="C393" s="1">
        <f>IFERROR(VLOOKUP(B393,Petróleo!A:B,2,FALSE),"")</f>
        <v>12134</v>
      </c>
      <c r="D393" s="1">
        <f>IFERROR(VLOOKUP(B393,Estoque_US!D:E,2,FALSE),"")</f>
        <v>-8207</v>
      </c>
      <c r="E393" s="1">
        <f>IFERROR(VLOOKUP(B393,Petróleo!F:G,2,FALSE),"")</f>
        <v>11185</v>
      </c>
      <c r="F393" s="1">
        <f>IFERROR(VLOOKUP(B393,Petróleo!H:I,2,FALSE),"")</f>
        <v>3145</v>
      </c>
      <c r="G393" s="1">
        <f>IFERROR(VLOOKUP(B393,Petróleo!J:K,2,FALSE),"")</f>
        <v>4575</v>
      </c>
      <c r="H393" s="1">
        <f>IFERROR(VLOOKUP(B393,Petróleo!L:M,2,FALSE),"")</f>
        <v>1198</v>
      </c>
      <c r="I393" s="1">
        <f>IFERROR(VLOOKUP(B393,Petróleo!N:O,2,FALSE),"")</f>
        <v>1102.0519999999999</v>
      </c>
      <c r="J393" s="1">
        <f>IFERROR(VLOOKUP(B393,Petróleo!P:Q,2,FALSE),"")</f>
        <v>10227.18</v>
      </c>
      <c r="K393" s="1">
        <f>IFERROR(VLOOKUP(B393,Petróleo!R:S,2,FALSE),"")</f>
        <v>730</v>
      </c>
      <c r="L393" s="1">
        <f>IFERROR(VLOOKUP(B393,Petróleo!T:U,2,FALSE),"")</f>
        <v>3988.1060000000002</v>
      </c>
      <c r="M393" s="8">
        <f>IFERROR(VLOOKUP(B393,Petróleo!X:Y,2,FALSE),"")</f>
        <v>29660</v>
      </c>
      <c r="N393" s="8">
        <f>IFERROR(VLOOKUP(B393,Petróleo!Z:AA,2,FALSE),"")</f>
        <v>10930</v>
      </c>
      <c r="O393" s="8">
        <f>IFERROR(VLOOKUP(B393,Petróleo!AB:AC,2,FALSE),"")</f>
        <v>3350</v>
      </c>
      <c r="P393" s="8">
        <f>IFERROR(VLOOKUP(B393,Petróleo!AD:AE,2,FALSE),"")</f>
        <v>2520</v>
      </c>
      <c r="Q393" s="8">
        <f>IFERROR(VLOOKUP(B393,Petróleo!AF:AG,2,FALSE),"")</f>
        <v>4430</v>
      </c>
      <c r="R393" s="8">
        <f>IFERROR(VLOOKUP(B393,Petróleo!AH:AI,2,FALSE),"")</f>
        <v>1080</v>
      </c>
      <c r="S393" s="8">
        <f>IFERROR(VLOOKUP(B393,Petróleo!AJ:AK,2,FALSE),"")</f>
        <v>1130</v>
      </c>
      <c r="T393" s="8">
        <f>IFERROR(VLOOKUP(B393,Petróleo!AL:AM,2,FALSE),"")</f>
        <v>640</v>
      </c>
      <c r="U393" s="8">
        <f>IFERROR(VLOOKUP(B393,Petróleo!AN:AO,2,FALSE),"")</f>
        <v>2810</v>
      </c>
      <c r="V393" s="10" t="str">
        <f>IFERROR(VLOOKUP(A393,Petróleo!AR:AT,3,FALSE),"")</f>
        <v/>
      </c>
    </row>
    <row r="394" spans="1:22" x14ac:dyDescent="0.25">
      <c r="A394" s="9" t="str">
        <f t="shared" si="6"/>
        <v>92022</v>
      </c>
      <c r="B394" s="9">
        <v>44834</v>
      </c>
      <c r="C394" s="1">
        <f>IFERROR(VLOOKUP(B394,Petróleo!A:B,2,FALSE),"")</f>
        <v>12429</v>
      </c>
      <c r="D394" s="1">
        <f>IFERROR(VLOOKUP(B394,Estoque_US!D:E,2,FALSE),"")</f>
        <v>10857</v>
      </c>
      <c r="E394" s="1">
        <f>IFERROR(VLOOKUP(B394,Petróleo!F:G,2,FALSE),"")</f>
        <v>11235</v>
      </c>
      <c r="F394" s="1">
        <f>IFERROR(VLOOKUP(B394,Petróleo!H:I,2,FALSE),"")</f>
        <v>3125</v>
      </c>
      <c r="G394" s="1">
        <f>IFERROR(VLOOKUP(B394,Petróleo!J:K,2,FALSE),"")</f>
        <v>4575</v>
      </c>
      <c r="H394" s="1">
        <f>IFERROR(VLOOKUP(B394,Petróleo!L:M,2,FALSE),"")</f>
        <v>1228</v>
      </c>
      <c r="I394" s="1">
        <f>IFERROR(VLOOKUP(B394,Petróleo!N:O,2,FALSE),"")</f>
        <v>1153.768</v>
      </c>
      <c r="J394" s="1">
        <f>IFERROR(VLOOKUP(B394,Petróleo!P:Q,2,FALSE),"")</f>
        <v>10360.18</v>
      </c>
      <c r="K394" s="1">
        <f>IFERROR(VLOOKUP(B394,Petróleo!R:S,2,FALSE),"")</f>
        <v>700</v>
      </c>
      <c r="L394" s="1">
        <f>IFERROR(VLOOKUP(B394,Petróleo!T:U,2,FALSE),"")</f>
        <v>4041.116</v>
      </c>
      <c r="M394" s="8">
        <f>IFERROR(VLOOKUP(B394,Petróleo!X:Y,2,FALSE),"")</f>
        <v>29950</v>
      </c>
      <c r="N394" s="8">
        <f>IFERROR(VLOOKUP(B394,Petróleo!Z:AA,2,FALSE),"")</f>
        <v>11010</v>
      </c>
      <c r="O394" s="8">
        <f>IFERROR(VLOOKUP(B394,Petróleo!AB:AC,2,FALSE),"")</f>
        <v>3350</v>
      </c>
      <c r="P394" s="8">
        <f>IFERROR(VLOOKUP(B394,Petróleo!AD:AE,2,FALSE),"")</f>
        <v>2490</v>
      </c>
      <c r="Q394" s="8">
        <f>IFERROR(VLOOKUP(B394,Petróleo!AF:AG,2,FALSE),"")</f>
        <v>4520</v>
      </c>
      <c r="R394" s="8">
        <f>IFERROR(VLOOKUP(B394,Petróleo!AH:AI,2,FALSE),"")</f>
        <v>1200</v>
      </c>
      <c r="S394" s="8">
        <f>IFERROR(VLOOKUP(B394,Petróleo!AJ:AK,2,FALSE),"")</f>
        <v>1100</v>
      </c>
      <c r="T394" s="8">
        <f>IFERROR(VLOOKUP(B394,Petróleo!AL:AM,2,FALSE),"")</f>
        <v>670</v>
      </c>
      <c r="U394" s="8">
        <f>IFERROR(VLOOKUP(B394,Petróleo!AN:AO,2,FALSE),"")</f>
        <v>2820</v>
      </c>
      <c r="V394" s="10" t="str">
        <f>IFERROR(VLOOKUP(A394,Petróleo!AR:AT,3,FALSE),"")</f>
        <v/>
      </c>
    </row>
    <row r="395" spans="1:22" x14ac:dyDescent="0.25">
      <c r="A395" s="9" t="str">
        <f t="shared" si="6"/>
        <v>102022</v>
      </c>
      <c r="B395" s="9">
        <v>44865</v>
      </c>
      <c r="C395" s="1">
        <f>IFERROR(VLOOKUP(B395,Petróleo!A:B,2,FALSE),"")</f>
        <v>12442</v>
      </c>
      <c r="D395" s="1">
        <f>IFERROR(VLOOKUP(B395,Estoque_US!D:E,2,FALSE),"")</f>
        <v>7627</v>
      </c>
      <c r="E395" s="1">
        <f>IFERROR(VLOOKUP(B395,Petróleo!F:G,2,FALSE),"")</f>
        <v>10735</v>
      </c>
      <c r="F395" s="1">
        <f>IFERROR(VLOOKUP(B395,Petróleo!H:I,2,FALSE),"")</f>
        <v>3145</v>
      </c>
      <c r="G395" s="1">
        <f>IFERROR(VLOOKUP(B395,Petróleo!J:K,2,FALSE),"")</f>
        <v>4605</v>
      </c>
      <c r="H395" s="1">
        <f>IFERROR(VLOOKUP(B395,Petróleo!L:M,2,FALSE),"")</f>
        <v>1238</v>
      </c>
      <c r="I395" s="1">
        <f>IFERROR(VLOOKUP(B395,Petróleo!N:O,2,FALSE),"")</f>
        <v>1187.655</v>
      </c>
      <c r="J395" s="1">
        <f>IFERROR(VLOOKUP(B395,Petróleo!P:Q,2,FALSE),"")</f>
        <v>10335.18</v>
      </c>
      <c r="K395" s="1">
        <f>IFERROR(VLOOKUP(B395,Petróleo!R:S,2,FALSE),"")</f>
        <v>750</v>
      </c>
      <c r="L395" s="1">
        <f>IFERROR(VLOOKUP(B395,Petróleo!T:U,2,FALSE),"")</f>
        <v>4059.123</v>
      </c>
      <c r="M395" s="8">
        <f>IFERROR(VLOOKUP(B395,Petróleo!X:Y,2,FALSE),"")</f>
        <v>29840</v>
      </c>
      <c r="N395" s="8">
        <f>IFERROR(VLOOKUP(B395,Petróleo!Z:AA,2,FALSE),"")</f>
        <v>10910</v>
      </c>
      <c r="O395" s="8">
        <f>IFERROR(VLOOKUP(B395,Petróleo!AB:AC,2,FALSE),"")</f>
        <v>3420</v>
      </c>
      <c r="P395" s="8">
        <f>IFERROR(VLOOKUP(B395,Petróleo!AD:AE,2,FALSE),"")</f>
        <v>2510</v>
      </c>
      <c r="Q395" s="8">
        <f>IFERROR(VLOOKUP(B395,Petróleo!AF:AG,2,FALSE),"")</f>
        <v>4570</v>
      </c>
      <c r="R395" s="8">
        <f>IFERROR(VLOOKUP(B395,Petróleo!AH:AI,2,FALSE),"")</f>
        <v>1170</v>
      </c>
      <c r="S395" s="8">
        <f>IFERROR(VLOOKUP(B395,Petróleo!AJ:AK,2,FALSE),"")</f>
        <v>1150</v>
      </c>
      <c r="T395" s="8">
        <f>IFERROR(VLOOKUP(B395,Petróleo!AL:AM,2,FALSE),"")</f>
        <v>660</v>
      </c>
      <c r="U395" s="8">
        <f>IFERROR(VLOOKUP(B395,Petróleo!AN:AO,2,FALSE),"")</f>
        <v>2810</v>
      </c>
      <c r="V395" s="10" t="str">
        <f>IFERROR(VLOOKUP(A395,Petróleo!AR:AT,3,FALSE),"")</f>
        <v/>
      </c>
    </row>
    <row r="396" spans="1:22" x14ac:dyDescent="0.25">
      <c r="A396" s="9" t="str">
        <f t="shared" si="6"/>
        <v>112022</v>
      </c>
      <c r="B396" s="9">
        <v>44895</v>
      </c>
      <c r="C396" s="1">
        <f>IFERROR(VLOOKUP(B396,Petróleo!A:B,2,FALSE),"")</f>
        <v>12493</v>
      </c>
      <c r="D396" s="1">
        <f>IFERROR(VLOOKUP(B396,Estoque_US!D:E,2,FALSE),"")</f>
        <v>-17746</v>
      </c>
      <c r="E396" s="1">
        <f>IFERROR(VLOOKUP(B396,Petróleo!F:G,2,FALSE),"")</f>
        <v>10725</v>
      </c>
      <c r="F396" s="1">
        <f>IFERROR(VLOOKUP(B396,Petróleo!H:I,2,FALSE),"")</f>
        <v>3155</v>
      </c>
      <c r="G396" s="1">
        <f>IFERROR(VLOOKUP(B396,Petróleo!J:K,2,FALSE),"")</f>
        <v>4505</v>
      </c>
      <c r="H396" s="1">
        <f>IFERROR(VLOOKUP(B396,Petróleo!L:M,2,FALSE),"")</f>
        <v>1188</v>
      </c>
      <c r="I396" s="1">
        <f>IFERROR(VLOOKUP(B396,Petróleo!N:O,2,FALSE),"")</f>
        <v>1247.799</v>
      </c>
      <c r="J396" s="1">
        <f>IFERROR(VLOOKUP(B396,Petróleo!P:Q,2,FALSE),"")</f>
        <v>10485.18</v>
      </c>
      <c r="K396" s="1">
        <f>IFERROR(VLOOKUP(B396,Petróleo!R:S,2,FALSE),"")</f>
        <v>700</v>
      </c>
      <c r="L396" s="1">
        <f>IFERROR(VLOOKUP(B396,Petróleo!T:U,2,FALSE),"")</f>
        <v>4079.125</v>
      </c>
      <c r="M396" s="8">
        <f>IFERROR(VLOOKUP(B396,Petróleo!X:Y,2,FALSE),"")</f>
        <v>28990</v>
      </c>
      <c r="N396" s="8">
        <f>IFERROR(VLOOKUP(B396,Petróleo!Z:AA,2,FALSE),"")</f>
        <v>10470</v>
      </c>
      <c r="O396" s="8">
        <f>IFERROR(VLOOKUP(B396,Petróleo!AB:AC,2,FALSE),"")</f>
        <v>3180</v>
      </c>
      <c r="P396" s="8">
        <f>IFERROR(VLOOKUP(B396,Petróleo!AD:AE,2,FALSE),"")</f>
        <v>2520</v>
      </c>
      <c r="Q396" s="8">
        <f>IFERROR(VLOOKUP(B396,Petróleo!AF:AG,2,FALSE),"")</f>
        <v>4480</v>
      </c>
      <c r="R396" s="8">
        <f>IFERROR(VLOOKUP(B396,Petróleo!AH:AI,2,FALSE),"")</f>
        <v>1150</v>
      </c>
      <c r="S396" s="8">
        <f>IFERROR(VLOOKUP(B396,Petróleo!AJ:AK,2,FALSE),"")</f>
        <v>1200</v>
      </c>
      <c r="T396" s="8">
        <f>IFERROR(VLOOKUP(B396,Petróleo!AL:AM,2,FALSE),"")</f>
        <v>690</v>
      </c>
      <c r="U396" s="8">
        <f>IFERROR(VLOOKUP(B396,Petróleo!AN:AO,2,FALSE),"")</f>
        <v>2670</v>
      </c>
      <c r="V396" s="10" t="str">
        <f>IFERROR(VLOOKUP(A396,Petróleo!AR:AT,3,FALSE),"")</f>
        <v/>
      </c>
    </row>
    <row r="397" spans="1:22" x14ac:dyDescent="0.25">
      <c r="A397" s="9" t="str">
        <f t="shared" si="6"/>
        <v>122022</v>
      </c>
      <c r="B397" s="9">
        <v>44926</v>
      </c>
      <c r="C397" s="1">
        <f>IFERROR(VLOOKUP(B397,Petróleo!A:B,2,FALSE),"")</f>
        <v>12202</v>
      </c>
      <c r="D397" s="1">
        <f>IFERROR(VLOOKUP(B397,Estoque_US!D:E,2,FALSE),"")</f>
        <v>1562</v>
      </c>
      <c r="E397" s="1">
        <f>IFERROR(VLOOKUP(B397,Petróleo!F:G,2,FALSE),"")</f>
        <v>10725</v>
      </c>
      <c r="F397" s="1">
        <f>IFERROR(VLOOKUP(B397,Petróleo!H:I,2,FALSE),"")</f>
        <v>3155</v>
      </c>
      <c r="G397" s="1">
        <f>IFERROR(VLOOKUP(B397,Petróleo!J:K,2,FALSE),"")</f>
        <v>4505</v>
      </c>
      <c r="H397" s="1">
        <f>IFERROR(VLOOKUP(B397,Petróleo!L:M,2,FALSE),"")</f>
        <v>1228</v>
      </c>
      <c r="I397" s="1">
        <f>IFERROR(VLOOKUP(B397,Petróleo!N:O,2,FALSE),"")</f>
        <v>1270.4000000000001</v>
      </c>
      <c r="J397" s="1">
        <f>IFERROR(VLOOKUP(B397,Petróleo!P:Q,2,FALSE),"")</f>
        <v>10513.183000000001</v>
      </c>
      <c r="K397" s="1">
        <f>IFERROR(VLOOKUP(B397,Petróleo!R:S,2,FALSE),"")</f>
        <v>700</v>
      </c>
      <c r="L397" s="1">
        <f>IFERROR(VLOOKUP(B397,Petróleo!T:U,2,FALSE),"")</f>
        <v>3972.15</v>
      </c>
      <c r="M397" s="8">
        <f>IFERROR(VLOOKUP(B397,Petróleo!X:Y,2,FALSE),"")</f>
        <v>29180</v>
      </c>
      <c r="N397" s="8">
        <f>IFERROR(VLOOKUP(B397,Petróleo!Z:AA,2,FALSE),"")</f>
        <v>10480</v>
      </c>
      <c r="O397" s="8">
        <f>IFERROR(VLOOKUP(B397,Petróleo!AB:AC,2,FALSE),"")</f>
        <v>3170</v>
      </c>
      <c r="P397" s="8">
        <f>IFERROR(VLOOKUP(B397,Petróleo!AD:AE,2,FALSE),"")</f>
        <v>2640</v>
      </c>
      <c r="Q397" s="8">
        <f>IFERROR(VLOOKUP(B397,Petróleo!AF:AG,2,FALSE),"")</f>
        <v>4480</v>
      </c>
      <c r="R397" s="8">
        <f>IFERROR(VLOOKUP(B397,Petróleo!AH:AI,2,FALSE),"")</f>
        <v>1170</v>
      </c>
      <c r="S397" s="8">
        <f>IFERROR(VLOOKUP(B397,Petróleo!AJ:AK,2,FALSE),"")</f>
        <v>1330</v>
      </c>
      <c r="T397" s="8">
        <f>IFERROR(VLOOKUP(B397,Petróleo!AL:AM,2,FALSE),"")</f>
        <v>660</v>
      </c>
      <c r="U397" s="8">
        <f>IFERROR(VLOOKUP(B397,Petróleo!AN:AO,2,FALSE),"")</f>
        <v>2670</v>
      </c>
      <c r="V397" s="10" t="str">
        <f>IFERROR(VLOOKUP(A397,Petróleo!AR:AT,3,FALSE),"")</f>
        <v/>
      </c>
    </row>
    <row r="398" spans="1:22" x14ac:dyDescent="0.25">
      <c r="A398" s="9" t="str">
        <f t="shared" si="6"/>
        <v>12023</v>
      </c>
      <c r="B398" s="9">
        <v>44957</v>
      </c>
      <c r="C398" s="1">
        <f>IFERROR(VLOOKUP(B398,Petróleo!A:B,2,FALSE),"")</f>
        <v>12640</v>
      </c>
      <c r="D398" s="1">
        <f>IFERROR(VLOOKUP(B398,Estoque_US!D:E,2,FALSE),"")</f>
        <v>32042</v>
      </c>
      <c r="E398" s="1">
        <f>IFERROR(VLOOKUP(B398,Petróleo!F:G,2,FALSE),"")</f>
        <v>10015</v>
      </c>
      <c r="F398" s="1">
        <f>IFERROR(VLOOKUP(B398,Petróleo!H:I,2,FALSE),"")</f>
        <v>3153</v>
      </c>
      <c r="G398" s="1">
        <f>IFERROR(VLOOKUP(B398,Petróleo!J:K,2,FALSE),"")</f>
        <v>4455</v>
      </c>
      <c r="H398" s="1">
        <f>IFERROR(VLOOKUP(B398,Petróleo!L:M,2,FALSE),"")</f>
        <v>1208</v>
      </c>
      <c r="I398" s="1">
        <f>IFERROR(VLOOKUP(B398,Petróleo!N:O,2,FALSE),"")</f>
        <v>1387.18</v>
      </c>
      <c r="J398" s="1">
        <f>IFERROR(VLOOKUP(B398,Petróleo!P:Q,2,FALSE),"")</f>
        <v>10521.579</v>
      </c>
      <c r="K398" s="1">
        <f>IFERROR(VLOOKUP(B398,Petróleo!R:S,2,FALSE),"")</f>
        <v>750</v>
      </c>
      <c r="L398" s="1">
        <f>IFERROR(VLOOKUP(B398,Petróleo!T:U,2,FALSE),"")</f>
        <v>4167.0330000000004</v>
      </c>
      <c r="M398" s="8">
        <f>IFERROR(VLOOKUP(B398,Petróleo!X:Y,2,FALSE),"")</f>
        <v>29120</v>
      </c>
      <c r="N398" s="8">
        <f>IFERROR(VLOOKUP(B398,Petróleo!Z:AA,2,FALSE),"")</f>
        <v>10380</v>
      </c>
      <c r="O398" s="8">
        <f>IFERROR(VLOOKUP(B398,Petróleo!AB:AC,2,FALSE),"")</f>
        <v>3190</v>
      </c>
      <c r="P398" s="8">
        <f>IFERROR(VLOOKUP(B398,Petróleo!AD:AE,2,FALSE),"")</f>
        <v>2600</v>
      </c>
      <c r="Q398" s="8">
        <f>IFERROR(VLOOKUP(B398,Petróleo!AF:AG,2,FALSE),"")</f>
        <v>4470</v>
      </c>
      <c r="R398" s="8">
        <f>IFERROR(VLOOKUP(B398,Petróleo!AH:AI,2,FALSE),"")</f>
        <v>1100</v>
      </c>
      <c r="S398" s="8">
        <f>IFERROR(VLOOKUP(B398,Petróleo!AJ:AK,2,FALSE),"")</f>
        <v>1360</v>
      </c>
      <c r="T398" s="8">
        <f>IFERROR(VLOOKUP(B398,Petróleo!AL:AM,2,FALSE),"")</f>
        <v>670</v>
      </c>
      <c r="U398" s="8">
        <f>IFERROR(VLOOKUP(B398,Petróleo!AN:AO,2,FALSE),"")</f>
        <v>2690</v>
      </c>
      <c r="V398" s="10" t="str">
        <f>IFERROR(VLOOKUP(A398,Petróleo!AR:AT,3,FALSE),"")</f>
        <v/>
      </c>
    </row>
    <row r="399" spans="1:22" x14ac:dyDescent="0.25">
      <c r="A399" s="9" t="str">
        <f t="shared" si="6"/>
        <v>22023</v>
      </c>
      <c r="B399" s="9">
        <v>44985</v>
      </c>
      <c r="C399" s="1">
        <f>IFERROR(VLOOKUP(B399,Petróleo!A:B,2,FALSE),"")</f>
        <v>12621</v>
      </c>
      <c r="D399" s="1">
        <f>IFERROR(VLOOKUP(B399,Estoque_US!D:E,2,FALSE),"")</f>
        <v>27519</v>
      </c>
      <c r="E399" s="1">
        <f>IFERROR(VLOOKUP(B399,Petróleo!F:G,2,FALSE),"")</f>
        <v>10215</v>
      </c>
      <c r="F399" s="1">
        <f>IFERROR(VLOOKUP(B399,Petróleo!H:I,2,FALSE),"")</f>
        <v>3213</v>
      </c>
      <c r="G399" s="1">
        <f>IFERROR(VLOOKUP(B399,Petróleo!J:K,2,FALSE),"")</f>
        <v>4455</v>
      </c>
      <c r="H399" s="1">
        <f>IFERROR(VLOOKUP(B399,Petróleo!L:M,2,FALSE),"")</f>
        <v>1238</v>
      </c>
      <c r="I399" s="1">
        <f>IFERROR(VLOOKUP(B399,Petróleo!N:O,2,FALSE),"")</f>
        <v>1449.751</v>
      </c>
      <c r="J399" s="1">
        <f>IFERROR(VLOOKUP(B399,Petróleo!P:Q,2,FALSE),"")</f>
        <v>10691.444</v>
      </c>
      <c r="K399" s="1">
        <f>IFERROR(VLOOKUP(B399,Petróleo!R:S,2,FALSE),"")</f>
        <v>700</v>
      </c>
      <c r="L399" s="1">
        <f>IFERROR(VLOOKUP(B399,Petróleo!T:U,2,FALSE),"")</f>
        <v>4294.1030000000001</v>
      </c>
      <c r="M399" s="8">
        <f>IFERROR(VLOOKUP(B399,Petróleo!X:Y,2,FALSE),"")</f>
        <v>29240</v>
      </c>
      <c r="N399" s="8">
        <f>IFERROR(VLOOKUP(B399,Petróleo!Z:AA,2,FALSE),"")</f>
        <v>10370</v>
      </c>
      <c r="O399" s="8">
        <f>IFERROR(VLOOKUP(B399,Petróleo!AB:AC,2,FALSE),"")</f>
        <v>3230</v>
      </c>
      <c r="P399" s="8">
        <f>IFERROR(VLOOKUP(B399,Petróleo!AD:AE,2,FALSE),"")</f>
        <v>2560</v>
      </c>
      <c r="Q399" s="8">
        <f>IFERROR(VLOOKUP(B399,Petróleo!AF:AG,2,FALSE),"")</f>
        <v>4460</v>
      </c>
      <c r="R399" s="8">
        <f>IFERROR(VLOOKUP(B399,Petróleo!AH:AI,2,FALSE),"")</f>
        <v>1140</v>
      </c>
      <c r="S399" s="8">
        <f>IFERROR(VLOOKUP(B399,Petróleo!AJ:AK,2,FALSE),"")</f>
        <v>1440</v>
      </c>
      <c r="T399" s="8">
        <f>IFERROR(VLOOKUP(B399,Petróleo!AL:AM,2,FALSE),"")</f>
        <v>700</v>
      </c>
      <c r="U399" s="8">
        <f>IFERROR(VLOOKUP(B399,Petróleo!AN:AO,2,FALSE),"")</f>
        <v>2690</v>
      </c>
      <c r="V399" s="10" t="str">
        <f>IFERROR(VLOOKUP(A399,Petróleo!AR:AT,3,FALSE),"")</f>
        <v/>
      </c>
    </row>
    <row r="400" spans="1:22" x14ac:dyDescent="0.25">
      <c r="A400" s="9" t="str">
        <f t="shared" si="6"/>
        <v>32023</v>
      </c>
      <c r="B400" s="9">
        <v>45016</v>
      </c>
      <c r="C400" s="1">
        <f>IFERROR(VLOOKUP(B400,Petróleo!A:B,2,FALSE),"")</f>
        <v>12867</v>
      </c>
      <c r="D400" s="1">
        <f>IFERROR(VLOOKUP(B400,Estoque_US!D:E,2,FALSE),"")</f>
        <v>-10255</v>
      </c>
      <c r="E400" s="1">
        <f>IFERROR(VLOOKUP(B400,Petróleo!F:G,2,FALSE),"")</f>
        <v>10465</v>
      </c>
      <c r="F400" s="1">
        <f>IFERROR(VLOOKUP(B400,Petróleo!H:I,2,FALSE),"")</f>
        <v>3283</v>
      </c>
      <c r="G400" s="1">
        <f>IFERROR(VLOOKUP(B400,Petróleo!J:K,2,FALSE),"")</f>
        <v>4405</v>
      </c>
      <c r="H400" s="1">
        <f>IFERROR(VLOOKUP(B400,Petróleo!L:M,2,FALSE),"")</f>
        <v>1218</v>
      </c>
      <c r="I400" s="1">
        <f>IFERROR(VLOOKUP(B400,Petróleo!N:O,2,FALSE),"")</f>
        <v>1435.4690000000001</v>
      </c>
      <c r="J400" s="1">
        <f>IFERROR(VLOOKUP(B400,Petróleo!P:Q,2,FALSE),"")</f>
        <v>10362.959999999999</v>
      </c>
      <c r="K400" s="1">
        <f>IFERROR(VLOOKUP(B400,Petróleo!R:S,2,FALSE),"")</f>
        <v>730</v>
      </c>
      <c r="L400" s="1">
        <f>IFERROR(VLOOKUP(B400,Petróleo!T:U,2,FALSE),"")</f>
        <v>4282.1009999999997</v>
      </c>
      <c r="M400" s="8">
        <f>IFERROR(VLOOKUP(B400,Petróleo!X:Y,2,FALSE),"")</f>
        <v>29110</v>
      </c>
      <c r="N400" s="8">
        <f>IFERROR(VLOOKUP(B400,Petróleo!Z:AA,2,FALSE),"")</f>
        <v>10400</v>
      </c>
      <c r="O400" s="8">
        <f>IFERROR(VLOOKUP(B400,Petróleo!AB:AC,2,FALSE),"")</f>
        <v>3250</v>
      </c>
      <c r="P400" s="8">
        <f>IFERROR(VLOOKUP(B400,Petróleo!AD:AE,2,FALSE),"")</f>
        <v>2580</v>
      </c>
      <c r="Q400" s="8">
        <f>IFERROR(VLOOKUP(B400,Petróleo!AF:AG,2,FALSE),"")</f>
        <v>4380</v>
      </c>
      <c r="R400" s="8">
        <f>IFERROR(VLOOKUP(B400,Petróleo!AH:AI,2,FALSE),"")</f>
        <v>1130</v>
      </c>
      <c r="S400" s="8">
        <f>IFERROR(VLOOKUP(B400,Petróleo!AJ:AK,2,FALSE),"")</f>
        <v>1440</v>
      </c>
      <c r="T400" s="8">
        <f>IFERROR(VLOOKUP(B400,Petróleo!AL:AM,2,FALSE),"")</f>
        <v>720</v>
      </c>
      <c r="U400" s="8">
        <f>IFERROR(VLOOKUP(B400,Petróleo!AN:AO,2,FALSE),"")</f>
        <v>2680</v>
      </c>
      <c r="V400" s="10" t="str">
        <f>IFERROR(VLOOKUP(A400,Petróleo!AR:AT,3,FALSE),"")</f>
        <v/>
      </c>
    </row>
    <row r="401" spans="1:22" x14ac:dyDescent="0.25">
      <c r="A401" s="9" t="str">
        <f t="shared" si="6"/>
        <v>42023</v>
      </c>
      <c r="B401" s="9">
        <v>45046</v>
      </c>
      <c r="C401" s="1">
        <f>IFERROR(VLOOKUP(B401,Petróleo!A:B,2,FALSE),"")</f>
        <v>12734</v>
      </c>
      <c r="D401" s="1">
        <f>IFERROR(VLOOKUP(B401,Estoque_US!D:E,2,FALSE),"")</f>
        <v>-10319</v>
      </c>
      <c r="E401" s="1">
        <f>IFERROR(VLOOKUP(B401,Petróleo!F:G,2,FALSE),"")</f>
        <v>10815</v>
      </c>
      <c r="F401" s="1">
        <f>IFERROR(VLOOKUP(B401,Petróleo!H:I,2,FALSE),"")</f>
        <v>3333</v>
      </c>
      <c r="G401" s="1">
        <f>IFERROR(VLOOKUP(B401,Petróleo!J:K,2,FALSE),"")</f>
        <v>4195</v>
      </c>
      <c r="H401" s="1">
        <f>IFERROR(VLOOKUP(B401,Petróleo!L:M,2,FALSE),"")</f>
        <v>1218</v>
      </c>
      <c r="I401" s="1">
        <f>IFERROR(VLOOKUP(B401,Petróleo!N:O,2,FALSE),"")</f>
        <v>1272.9000000000001</v>
      </c>
      <c r="J401" s="1">
        <f>IFERROR(VLOOKUP(B401,Petróleo!P:Q,2,FALSE),"")</f>
        <v>10267.358</v>
      </c>
      <c r="K401" s="1">
        <f>IFERROR(VLOOKUP(B401,Petróleo!R:S,2,FALSE),"")</f>
        <v>770</v>
      </c>
      <c r="L401" s="1">
        <f>IFERROR(VLOOKUP(B401,Petróleo!T:U,2,FALSE),"")</f>
        <v>4209.1000000000004</v>
      </c>
      <c r="M401" s="8">
        <f>IFERROR(VLOOKUP(B401,Petróleo!X:Y,2,FALSE),"")</f>
        <v>28760</v>
      </c>
      <c r="N401" s="8">
        <f>IFERROR(VLOOKUP(B401,Petróleo!Z:AA,2,FALSE),"")</f>
        <v>10470</v>
      </c>
      <c r="O401" s="8">
        <f>IFERROR(VLOOKUP(B401,Petróleo!AB:AC,2,FALSE),"")</f>
        <v>3180</v>
      </c>
      <c r="P401" s="8">
        <f>IFERROR(VLOOKUP(B401,Petróleo!AD:AE,2,FALSE),"")</f>
        <v>2680</v>
      </c>
      <c r="Q401" s="8">
        <f>IFERROR(VLOOKUP(B401,Petróleo!AF:AG,2,FALSE),"")</f>
        <v>4130</v>
      </c>
      <c r="R401" s="8">
        <f>IFERROR(VLOOKUP(B401,Petróleo!AH:AI,2,FALSE),"")</f>
        <v>1100</v>
      </c>
      <c r="S401" s="8">
        <f>IFERROR(VLOOKUP(B401,Petróleo!AJ:AK,2,FALSE),"")</f>
        <v>1200</v>
      </c>
      <c r="T401" s="8">
        <f>IFERROR(VLOOKUP(B401,Petróleo!AL:AM,2,FALSE),"")</f>
        <v>730</v>
      </c>
      <c r="U401" s="8">
        <f>IFERROR(VLOOKUP(B401,Petróleo!AN:AO,2,FALSE),"")</f>
        <v>2680</v>
      </c>
      <c r="V401" s="10" t="str">
        <f>IFERROR(VLOOKUP(A401,Petróleo!AR:AT,3,FALSE),"")</f>
        <v/>
      </c>
    </row>
    <row r="402" spans="1:22" x14ac:dyDescent="0.25">
      <c r="A402" s="9" t="str">
        <f t="shared" si="6"/>
        <v>52023</v>
      </c>
      <c r="B402" s="9">
        <v>45077</v>
      </c>
      <c r="C402" s="1">
        <f>IFERROR(VLOOKUP(B402,Petróleo!A:B,2,FALSE),"")</f>
        <v>12732</v>
      </c>
      <c r="D402" s="1">
        <f>IFERROR(VLOOKUP(B402,Estoque_US!D:E,2,FALSE),"")</f>
        <v>24</v>
      </c>
      <c r="E402" s="1">
        <f>IFERROR(VLOOKUP(B402,Petróleo!F:G,2,FALSE),"")</f>
        <v>10115</v>
      </c>
      <c r="F402" s="1">
        <f>IFERROR(VLOOKUP(B402,Petróleo!H:I,2,FALSE),"")</f>
        <v>3403</v>
      </c>
      <c r="G402" s="1">
        <f>IFERROR(VLOOKUP(B402,Petróleo!J:K,2,FALSE),"")</f>
        <v>4225</v>
      </c>
      <c r="H402" s="1">
        <f>IFERROR(VLOOKUP(B402,Petróleo!L:M,2,FALSE),"")</f>
        <v>1170</v>
      </c>
      <c r="I402" s="1">
        <f>IFERROR(VLOOKUP(B402,Petróleo!N:O,2,FALSE),"")</f>
        <v>1472.9349999999999</v>
      </c>
      <c r="J402" s="1">
        <f>IFERROR(VLOOKUP(B402,Petróleo!P:Q,2,FALSE),"")</f>
        <v>10227.748</v>
      </c>
      <c r="K402" s="1">
        <f>IFERROR(VLOOKUP(B402,Petróleo!R:S,2,FALSE),"")</f>
        <v>790</v>
      </c>
      <c r="L402" s="1">
        <f>IFERROR(VLOOKUP(B402,Petróleo!T:U,2,FALSE),"")</f>
        <v>4255.1000000000004</v>
      </c>
      <c r="M402" s="8">
        <f>IFERROR(VLOOKUP(B402,Petróleo!X:Y,2,FALSE),"")</f>
        <v>28490</v>
      </c>
      <c r="N402" s="8">
        <f>IFERROR(VLOOKUP(B402,Petróleo!Z:AA,2,FALSE),"")</f>
        <v>9960</v>
      </c>
      <c r="O402" s="8">
        <f>IFERROR(VLOOKUP(B402,Petróleo!AB:AC,2,FALSE),"")</f>
        <v>3130</v>
      </c>
      <c r="P402" s="8">
        <f>IFERROR(VLOOKUP(B402,Petróleo!AD:AE,2,FALSE),"")</f>
        <v>2890</v>
      </c>
      <c r="Q402" s="8">
        <f>IFERROR(VLOOKUP(B402,Petróleo!AF:AG,2,FALSE),"")</f>
        <v>4140</v>
      </c>
      <c r="R402" s="8">
        <f>IFERROR(VLOOKUP(B402,Petróleo!AH:AI,2,FALSE),"")</f>
        <v>1120</v>
      </c>
      <c r="S402" s="8">
        <f>IFERROR(VLOOKUP(B402,Petróleo!AJ:AK,2,FALSE),"")</f>
        <v>1380</v>
      </c>
      <c r="T402" s="8">
        <f>IFERROR(VLOOKUP(B402,Petróleo!AL:AM,2,FALSE),"")</f>
        <v>740</v>
      </c>
      <c r="U402" s="8">
        <f>IFERROR(VLOOKUP(B402,Petróleo!AN:AO,2,FALSE),"")</f>
        <v>2550</v>
      </c>
      <c r="V402" s="10" t="str">
        <f>IFERROR(VLOOKUP(A402,Petróleo!AR:AT,3,FALSE),"")</f>
        <v/>
      </c>
    </row>
    <row r="403" spans="1:22" x14ac:dyDescent="0.25">
      <c r="A403" s="9" t="str">
        <f t="shared" si="6"/>
        <v>62023</v>
      </c>
      <c r="B403" s="9">
        <v>45107</v>
      </c>
      <c r="C403" s="1">
        <f>IFERROR(VLOOKUP(B403,Petróleo!A:B,2,FALSE),"")</f>
        <v>12787</v>
      </c>
      <c r="D403" s="1">
        <f>IFERROR(VLOOKUP(B403,Estoque_US!D:E,2,FALSE),"")</f>
        <v>-7475</v>
      </c>
      <c r="E403" s="1">
        <f>IFERROR(VLOOKUP(B403,Petróleo!F:G,2,FALSE),"")</f>
        <v>10265</v>
      </c>
      <c r="F403" s="1">
        <f>IFERROR(VLOOKUP(B403,Petróleo!H:I,2,FALSE),"")</f>
        <v>3433</v>
      </c>
      <c r="G403" s="1">
        <f>IFERROR(VLOOKUP(B403,Petróleo!J:K,2,FALSE),"")</f>
        <v>4235</v>
      </c>
      <c r="H403" s="1">
        <f>IFERROR(VLOOKUP(B403,Petróleo!L:M,2,FALSE),"")</f>
        <v>1228</v>
      </c>
      <c r="I403" s="1">
        <f>IFERROR(VLOOKUP(B403,Petróleo!N:O,2,FALSE),"")</f>
        <v>1462.9349999999999</v>
      </c>
      <c r="J403" s="1">
        <f>IFERROR(VLOOKUP(B403,Petróleo!P:Q,2,FALSE),"")</f>
        <v>10142.156000000001</v>
      </c>
      <c r="K403" s="1">
        <f>IFERROR(VLOOKUP(B403,Petróleo!R:S,2,FALSE),"")</f>
        <v>790</v>
      </c>
      <c r="L403" s="1">
        <f>IFERROR(VLOOKUP(B403,Petróleo!T:U,2,FALSE),"")</f>
        <v>4263.1009999999997</v>
      </c>
      <c r="M403" s="8">
        <f>IFERROR(VLOOKUP(B403,Petróleo!X:Y,2,FALSE),"")</f>
        <v>28690</v>
      </c>
      <c r="N403" s="8">
        <f>IFERROR(VLOOKUP(B403,Petróleo!Z:AA,2,FALSE),"")</f>
        <v>9960</v>
      </c>
      <c r="O403" s="8">
        <f>IFERROR(VLOOKUP(B403,Petróleo!AB:AC,2,FALSE),"")</f>
        <v>3100</v>
      </c>
      <c r="P403" s="8">
        <f>IFERROR(VLOOKUP(B403,Petróleo!AD:AE,2,FALSE),"")</f>
        <v>2950</v>
      </c>
      <c r="Q403" s="8">
        <f>IFERROR(VLOOKUP(B403,Petróleo!AF:AG,2,FALSE),"")</f>
        <v>4180</v>
      </c>
      <c r="R403" s="8">
        <f>IFERROR(VLOOKUP(B403,Petróleo!AH:AI,2,FALSE),"")</f>
        <v>1150</v>
      </c>
      <c r="S403" s="8">
        <f>IFERROR(VLOOKUP(B403,Petróleo!AJ:AK,2,FALSE),"")</f>
        <v>1390</v>
      </c>
      <c r="T403" s="8">
        <f>IFERROR(VLOOKUP(B403,Petróleo!AL:AM,2,FALSE),"")</f>
        <v>780</v>
      </c>
      <c r="U403" s="8">
        <f>IFERROR(VLOOKUP(B403,Petróleo!AN:AO,2,FALSE),"")</f>
        <v>2570</v>
      </c>
      <c r="V403" s="10" t="str">
        <f>IFERROR(VLOOKUP(A403,Petróleo!AR:AT,3,FALSE),"")</f>
        <v/>
      </c>
    </row>
    <row r="404" spans="1:22" x14ac:dyDescent="0.25">
      <c r="A404" s="9" t="str">
        <f t="shared" si="6"/>
        <v>72023</v>
      </c>
      <c r="B404" s="9">
        <v>45138</v>
      </c>
      <c r="C404" s="1">
        <f>IFERROR(VLOOKUP(B404,Petróleo!A:B,2,FALSE),"")</f>
        <v>12912</v>
      </c>
      <c r="D404" s="1">
        <f>IFERROR(VLOOKUP(B404,Estoque_US!D:E,2,FALSE),"")</f>
        <v>-12411</v>
      </c>
      <c r="E404" s="1">
        <f>IFERROR(VLOOKUP(B404,Petróleo!F:G,2,FALSE),"")</f>
        <v>9385</v>
      </c>
      <c r="F404" s="1">
        <f>IFERROR(VLOOKUP(B404,Petróleo!H:I,2,FALSE),"")</f>
        <v>3503</v>
      </c>
      <c r="G404" s="1">
        <f>IFERROR(VLOOKUP(B404,Petróleo!J:K,2,FALSE),"")</f>
        <v>4305</v>
      </c>
      <c r="H404" s="1">
        <f>IFERROR(VLOOKUP(B404,Petróleo!L:M,2,FALSE),"")</f>
        <v>1208</v>
      </c>
      <c r="I404" s="1">
        <f>IFERROR(VLOOKUP(B404,Petróleo!N:O,2,FALSE),"")</f>
        <v>1342.9349999999999</v>
      </c>
      <c r="J404" s="1">
        <f>IFERROR(VLOOKUP(B404,Petróleo!P:Q,2,FALSE),"")</f>
        <v>10113.768</v>
      </c>
      <c r="K404" s="1">
        <f>IFERROR(VLOOKUP(B404,Petróleo!R:S,2,FALSE),"")</f>
        <v>820</v>
      </c>
      <c r="L404" s="1">
        <f>IFERROR(VLOOKUP(B404,Petróleo!T:U,2,FALSE),"")</f>
        <v>4076.1030000000001</v>
      </c>
      <c r="M404" s="8">
        <f>IFERROR(VLOOKUP(B404,Petróleo!X:Y,2,FALSE),"")</f>
        <v>27780</v>
      </c>
      <c r="N404" s="8">
        <f>IFERROR(VLOOKUP(B404,Petróleo!Z:AA,2,FALSE),"")</f>
        <v>9110</v>
      </c>
      <c r="O404" s="8">
        <f>IFERROR(VLOOKUP(B404,Petróleo!AB:AC,2,FALSE),"")</f>
        <v>3090</v>
      </c>
      <c r="P404" s="8">
        <f>IFERROR(VLOOKUP(B404,Petróleo!AD:AE,2,FALSE),"")</f>
        <v>2980</v>
      </c>
      <c r="Q404" s="8">
        <f>IFERROR(VLOOKUP(B404,Petróleo!AF:AG,2,FALSE),"")</f>
        <v>4250</v>
      </c>
      <c r="R404" s="8">
        <f>IFERROR(VLOOKUP(B404,Petróleo!AH:AI,2,FALSE),"")</f>
        <v>1100</v>
      </c>
      <c r="S404" s="8">
        <f>IFERROR(VLOOKUP(B404,Petróleo!AJ:AK,2,FALSE),"")</f>
        <v>1260</v>
      </c>
      <c r="T404" s="8">
        <f>IFERROR(VLOOKUP(B404,Petróleo!AL:AM,2,FALSE),"")</f>
        <v>780</v>
      </c>
      <c r="U404" s="8">
        <f>IFERROR(VLOOKUP(B404,Petróleo!AN:AO,2,FALSE),"")</f>
        <v>2550</v>
      </c>
      <c r="V404" s="10" t="str">
        <f>IFERROR(VLOOKUP(A404,Petróleo!AR:AT,3,FALSE),"")</f>
        <v/>
      </c>
    </row>
    <row r="405" spans="1:22" x14ac:dyDescent="0.25">
      <c r="A405" s="9" t="str">
        <f t="shared" si="6"/>
        <v>82023</v>
      </c>
      <c r="B405" s="9">
        <v>45169</v>
      </c>
      <c r="C405" s="1">
        <f>IFERROR(VLOOKUP(B405,Petróleo!A:B,2,FALSE),"")</f>
        <v>12999</v>
      </c>
      <c r="D405" s="1">
        <f>IFERROR(VLOOKUP(B405,Estoque_US!D:E,2,FALSE),"")</f>
        <v>-16827</v>
      </c>
      <c r="E405" s="1">
        <f>IFERROR(VLOOKUP(B405,Petróleo!F:G,2,FALSE),"")</f>
        <v>8915</v>
      </c>
      <c r="F405" s="1">
        <f>IFERROR(VLOOKUP(B405,Petróleo!H:I,2,FALSE),"")</f>
        <v>3663</v>
      </c>
      <c r="G405" s="1">
        <f>IFERROR(VLOOKUP(B405,Petróleo!J:K,2,FALSE),"")</f>
        <v>4385</v>
      </c>
      <c r="H405" s="1">
        <f>IFERROR(VLOOKUP(B405,Petróleo!L:M,2,FALSE),"")</f>
        <v>1238</v>
      </c>
      <c r="I405" s="1">
        <f>IFERROR(VLOOKUP(B405,Petróleo!N:O,2,FALSE),"")</f>
        <v>1412.9349999999999</v>
      </c>
      <c r="J405" s="1">
        <f>IFERROR(VLOOKUP(B405,Petróleo!P:Q,2,FALSE),"")</f>
        <v>10081.808000000001</v>
      </c>
      <c r="K405" s="1">
        <f>IFERROR(VLOOKUP(B405,Petróleo!R:S,2,FALSE),"")</f>
        <v>790</v>
      </c>
      <c r="L405" s="1">
        <f>IFERROR(VLOOKUP(B405,Petróleo!T:U,2,FALSE),"")</f>
        <v>4113.0050000000001</v>
      </c>
      <c r="M405" s="8">
        <f>IFERROR(VLOOKUP(B405,Petróleo!X:Y,2,FALSE),"")</f>
        <v>27920</v>
      </c>
      <c r="N405" s="8">
        <f>IFERROR(VLOOKUP(B405,Petróleo!Z:AA,2,FALSE),"")</f>
        <v>8980</v>
      </c>
      <c r="O405" s="8">
        <f>IFERROR(VLOOKUP(B405,Petróleo!AB:AC,2,FALSE),"")</f>
        <v>3120</v>
      </c>
      <c r="P405" s="8">
        <f>IFERROR(VLOOKUP(B405,Petróleo!AD:AE,2,FALSE),"")</f>
        <v>3100</v>
      </c>
      <c r="Q405" s="8">
        <f>IFERROR(VLOOKUP(B405,Petróleo!AF:AG,2,FALSE),"")</f>
        <v>4260</v>
      </c>
      <c r="R405" s="8">
        <f>IFERROR(VLOOKUP(B405,Petróleo!AH:AI,2,FALSE),"")</f>
        <v>1140</v>
      </c>
      <c r="S405" s="8">
        <f>IFERROR(VLOOKUP(B405,Petróleo!AJ:AK,2,FALSE),"")</f>
        <v>1340</v>
      </c>
      <c r="T405" s="8">
        <f>IFERROR(VLOOKUP(B405,Petróleo!AL:AM,2,FALSE),"")</f>
        <v>800</v>
      </c>
      <c r="U405" s="8">
        <f>IFERROR(VLOOKUP(B405,Petróleo!AN:AO,2,FALSE),"")</f>
        <v>2560</v>
      </c>
      <c r="V405" s="10" t="str">
        <f>IFERROR(VLOOKUP(A405,Petróleo!AR:AT,3,FALSE),"")</f>
        <v/>
      </c>
    </row>
    <row r="406" spans="1:22" x14ac:dyDescent="0.25">
      <c r="A406" s="9" t="str">
        <f t="shared" si="6"/>
        <v>92023</v>
      </c>
      <c r="B406" s="9">
        <v>45199</v>
      </c>
      <c r="C406" s="1">
        <f>IFERROR(VLOOKUP(B406,Petróleo!A:B,2,FALSE),"")</f>
        <v>13178</v>
      </c>
      <c r="D406" s="1">
        <f>IFERROR(VLOOKUP(B406,Estoque_US!D:E,2,FALSE),"")</f>
        <v>-8881</v>
      </c>
      <c r="E406" s="1">
        <f>IFERROR(VLOOKUP(B406,Petróleo!F:G,2,FALSE),"")</f>
        <v>9415</v>
      </c>
      <c r="F406" s="1">
        <f>IFERROR(VLOOKUP(B406,Petróleo!H:I,2,FALSE),"")</f>
        <v>3723</v>
      </c>
      <c r="G406" s="1">
        <f>IFERROR(VLOOKUP(B406,Petróleo!J:K,2,FALSE),"")</f>
        <v>4375</v>
      </c>
      <c r="H406" s="1">
        <f>IFERROR(VLOOKUP(B406,Petróleo!L:M,2,FALSE),"")</f>
        <v>1238</v>
      </c>
      <c r="I406" s="1">
        <f>IFERROR(VLOOKUP(B406,Petróleo!N:O,2,FALSE),"")</f>
        <v>1502.9349999999999</v>
      </c>
      <c r="J406" s="1">
        <f>IFERROR(VLOOKUP(B406,Petróleo!P:Q,2,FALSE),"")</f>
        <v>10178.121999999999</v>
      </c>
      <c r="K406" s="1">
        <f>IFERROR(VLOOKUP(B406,Petróleo!R:S,2,FALSE),"")</f>
        <v>765</v>
      </c>
      <c r="L406" s="1">
        <f>IFERROR(VLOOKUP(B406,Petróleo!T:U,2,FALSE),"")</f>
        <v>4121.1049999999996</v>
      </c>
      <c r="M406" s="8">
        <f>IFERROR(VLOOKUP(B406,Petróleo!X:Y,2,FALSE),"")</f>
        <v>28030</v>
      </c>
      <c r="N406" s="8">
        <f>IFERROR(VLOOKUP(B406,Petróleo!Z:AA,2,FALSE),"")</f>
        <v>9000</v>
      </c>
      <c r="O406" s="8">
        <f>IFERROR(VLOOKUP(B406,Petróleo!AB:AC,2,FALSE),"")</f>
        <v>3150</v>
      </c>
      <c r="P406" s="8">
        <f>IFERROR(VLOOKUP(B406,Petróleo!AD:AE,2,FALSE),"")</f>
        <v>3110</v>
      </c>
      <c r="Q406" s="8">
        <f>IFERROR(VLOOKUP(B406,Petróleo!AF:AG,2,FALSE),"")</f>
        <v>4300</v>
      </c>
      <c r="R406" s="8">
        <f>IFERROR(VLOOKUP(B406,Petróleo!AH:AI,2,FALSE),"")</f>
        <v>1110</v>
      </c>
      <c r="S406" s="8">
        <f>IFERROR(VLOOKUP(B406,Petróleo!AJ:AK,2,FALSE),"")</f>
        <v>1430</v>
      </c>
      <c r="T406" s="8">
        <f>IFERROR(VLOOKUP(B406,Petróleo!AL:AM,2,FALSE),"")</f>
        <v>770</v>
      </c>
      <c r="U406" s="8">
        <f>IFERROR(VLOOKUP(B406,Petróleo!AN:AO,2,FALSE),"")</f>
        <v>2580</v>
      </c>
      <c r="V406" s="10" t="str">
        <f>IFERROR(VLOOKUP(A406,Petróleo!AR:AT,3,FALSE),"")</f>
        <v/>
      </c>
    </row>
    <row r="407" spans="1:22" x14ac:dyDescent="0.25">
      <c r="A407" s="9" t="str">
        <f t="shared" si="6"/>
        <v>102023</v>
      </c>
      <c r="B407" s="9">
        <v>45230</v>
      </c>
      <c r="C407" s="1">
        <f>IFERROR(VLOOKUP(B407,Petróleo!A:B,2,FALSE),"")</f>
        <v>13213</v>
      </c>
      <c r="D407" s="1">
        <f>IFERROR(VLOOKUP(B407,Estoque_US!D:E,2,FALSE),"")</f>
        <v>7830</v>
      </c>
      <c r="E407" s="1">
        <f>IFERROR(VLOOKUP(B407,Petróleo!F:G,2,FALSE),"")</f>
        <v>9265</v>
      </c>
      <c r="F407" s="1">
        <f>IFERROR(VLOOKUP(B407,Petróleo!H:I,2,FALSE),"")</f>
        <v>3773</v>
      </c>
      <c r="G407" s="1">
        <f>IFERROR(VLOOKUP(B407,Petróleo!J:K,2,FALSE),"")</f>
        <v>4395</v>
      </c>
      <c r="H407" s="1">
        <f>IFERROR(VLOOKUP(B407,Petróleo!L:M,2,FALSE),"")</f>
        <v>1228</v>
      </c>
      <c r="I407" s="1">
        <f>IFERROR(VLOOKUP(B407,Petróleo!N:O,2,FALSE),"")</f>
        <v>1522.9349999999999</v>
      </c>
      <c r="J407" s="1">
        <f>IFERROR(VLOOKUP(B407,Petróleo!P:Q,2,FALSE),"")</f>
        <v>10233.895</v>
      </c>
      <c r="K407" s="1">
        <f>IFERROR(VLOOKUP(B407,Petróleo!R:S,2,FALSE),"")</f>
        <v>765</v>
      </c>
      <c r="L407" s="1">
        <f>IFERROR(VLOOKUP(B407,Petróleo!T:U,2,FALSE),"")</f>
        <v>4099.1040000000003</v>
      </c>
      <c r="M407" s="8">
        <f>IFERROR(VLOOKUP(B407,Petróleo!X:Y,2,FALSE),"")</f>
        <v>28190</v>
      </c>
      <c r="N407" s="8">
        <f>IFERROR(VLOOKUP(B407,Petróleo!Z:AA,2,FALSE),"")</f>
        <v>9010</v>
      </c>
      <c r="O407" s="8">
        <f>IFERROR(VLOOKUP(B407,Petróleo!AB:AC,2,FALSE),"")</f>
        <v>3150</v>
      </c>
      <c r="P407" s="8">
        <f>IFERROR(VLOOKUP(B407,Petróleo!AD:AE,2,FALSE),"")</f>
        <v>3110</v>
      </c>
      <c r="Q407" s="8">
        <f>IFERROR(VLOOKUP(B407,Petróleo!AF:AG,2,FALSE),"")</f>
        <v>4340</v>
      </c>
      <c r="R407" s="8">
        <f>IFERROR(VLOOKUP(B407,Petróleo!AH:AI,2,FALSE),"")</f>
        <v>1090</v>
      </c>
      <c r="S407" s="8">
        <f>IFERROR(VLOOKUP(B407,Petróleo!AJ:AK,2,FALSE),"")</f>
        <v>1490</v>
      </c>
      <c r="T407" s="8">
        <f>IFERROR(VLOOKUP(B407,Petróleo!AL:AM,2,FALSE),"")</f>
        <v>800</v>
      </c>
      <c r="U407" s="8">
        <f>IFERROR(VLOOKUP(B407,Petróleo!AN:AO,2,FALSE),"")</f>
        <v>2560</v>
      </c>
      <c r="V407" s="10" t="str">
        <f>IFERROR(VLOOKUP(A407,Petróleo!AR:AT,3,FALSE),"")</f>
        <v/>
      </c>
    </row>
    <row r="408" spans="1:22" x14ac:dyDescent="0.25">
      <c r="A408" s="9" t="str">
        <f t="shared" si="6"/>
        <v>112023</v>
      </c>
      <c r="B408" s="9">
        <f>EOMONTH(B407,1)</f>
        <v>45260</v>
      </c>
      <c r="C408" s="1">
        <f>IFERROR(VLOOKUP(B408,Petróleo!A:B,2,FALSE),"")</f>
        <v>13316</v>
      </c>
      <c r="D408" s="1">
        <f>IFERROR(VLOOKUP(B408,Estoque_US!D:E,2,FALSE),"")</f>
        <v>27771</v>
      </c>
      <c r="E408" s="1">
        <f>IFERROR(VLOOKUP(B408,Petróleo!F:G,2,FALSE),"")</f>
        <v>9214.7790000000005</v>
      </c>
      <c r="F408" s="1">
        <f>IFERROR(VLOOKUP(B408,Petróleo!H:I,2,FALSE),"")</f>
        <v>3873</v>
      </c>
      <c r="G408" s="1">
        <f>IFERROR(VLOOKUP(B408,Petróleo!J:K,2,FALSE),"")</f>
        <v>4365</v>
      </c>
      <c r="H408" s="1">
        <f>IFERROR(VLOOKUP(B408,Petróleo!L:M,2,FALSE),"")</f>
        <v>1268</v>
      </c>
      <c r="I408" s="1">
        <f>IFERROR(VLOOKUP(B408,Petróleo!N:O,2,FALSE),"")</f>
        <v>1462.9349999999999</v>
      </c>
      <c r="J408" s="1">
        <f>IFERROR(VLOOKUP(B408,Petróleo!P:Q,2,FALSE),"")</f>
        <v>10257.404</v>
      </c>
      <c r="K408" s="1">
        <f>IFERROR(VLOOKUP(B408,Petróleo!R:S,2,FALSE),"")</f>
        <v>780</v>
      </c>
      <c r="L408" s="1">
        <f>IFERROR(VLOOKUP(B408,Petróleo!T:U,2,FALSE),"")</f>
        <v>4150</v>
      </c>
      <c r="M408" s="8">
        <f>IFERROR(VLOOKUP(B408,Petróleo!X:Y,2,FALSE),"")</f>
        <v>28090</v>
      </c>
      <c r="N408" s="8">
        <f>IFERROR(VLOOKUP(B408,Petróleo!Z:AA,2,FALSE),"")</f>
        <v>9000</v>
      </c>
      <c r="O408" s="8">
        <f>IFERROR(VLOOKUP(B408,Petróleo!AB:AC,2,FALSE),"")</f>
        <v>3150</v>
      </c>
      <c r="P408" s="8">
        <f>IFERROR(VLOOKUP(B408,Petróleo!AD:AE,2,FALSE),"")</f>
        <v>3160</v>
      </c>
      <c r="Q408" s="8">
        <f>IFERROR(VLOOKUP(B408,Petróleo!AF:AG,2,FALSE),"")</f>
        <v>4290</v>
      </c>
      <c r="R408" s="8">
        <f>IFERROR(VLOOKUP(B408,Petróleo!AH:AI,2,FALSE),"")</f>
        <v>1120</v>
      </c>
      <c r="S408" s="8">
        <f>IFERROR(VLOOKUP(B408,Petróleo!AJ:AK,2,FALSE),"")</f>
        <v>1440</v>
      </c>
      <c r="T408" s="8">
        <f>IFERROR(VLOOKUP(B408,Petróleo!AL:AM,2,FALSE),"")</f>
        <v>810</v>
      </c>
      <c r="U408" s="8">
        <f>IFERROR(VLOOKUP(B408,Petróleo!AN:AO,2,FALSE),"")</f>
        <v>2520</v>
      </c>
      <c r="V408" s="10" t="str">
        <f>IFERROR(VLOOKUP(A408,Petróleo!AR:AT,3,FALSE),"")</f>
        <v/>
      </c>
    </row>
    <row r="409" spans="1:22" x14ac:dyDescent="0.25">
      <c r="A409" s="9" t="str">
        <f t="shared" si="6"/>
        <v>122023</v>
      </c>
      <c r="B409" s="9">
        <f t="shared" ref="B409:B421" si="7">EOMONTH(B408,1)</f>
        <v>45291</v>
      </c>
      <c r="C409" s="1">
        <f>IFERROR(VLOOKUP(B409,Petróleo!A:B,2,FALSE),"")</f>
        <v>13297</v>
      </c>
      <c r="D409" s="1">
        <f>IFERROR(VLOOKUP(B409,Estoque_US!D:E,2,FALSE),"")</f>
        <v>-18599</v>
      </c>
      <c r="E409" s="1">
        <f>IFERROR(VLOOKUP(B409,Petróleo!F:G,2,FALSE),"")</f>
        <v>8964.7790000000005</v>
      </c>
      <c r="F409" s="1">
        <f>IFERROR(VLOOKUP(B409,Petróleo!H:I,2,FALSE),"")</f>
        <v>3923</v>
      </c>
      <c r="G409" s="1">
        <f>IFERROR(VLOOKUP(B409,Petróleo!J:K,2,FALSE),"")</f>
        <v>4445</v>
      </c>
      <c r="H409" s="1">
        <f>IFERROR(VLOOKUP(B409,Petróleo!L:M,2,FALSE),"")</f>
        <v>1248</v>
      </c>
      <c r="I409" s="1">
        <f>IFERROR(VLOOKUP(B409,Petróleo!N:O,2,FALSE),"")</f>
        <v>1572.9349999999999</v>
      </c>
      <c r="J409" s="1">
        <f>IFERROR(VLOOKUP(B409,Petróleo!P:Q,2,FALSE),"")</f>
        <v>10272.196</v>
      </c>
      <c r="K409" s="1">
        <f>IFERROR(VLOOKUP(B409,Petróleo!R:S,2,FALSE),"")</f>
        <v>790</v>
      </c>
      <c r="L409" s="1">
        <f>IFERROR(VLOOKUP(B409,Petróleo!T:U,2,FALSE),"")</f>
        <v>4173</v>
      </c>
      <c r="M409" s="8">
        <f>IFERROR(VLOOKUP(B409,Petróleo!X:Y,2,FALSE),"")</f>
        <v>28160</v>
      </c>
      <c r="N409" s="8">
        <f>IFERROR(VLOOKUP(B409,Petróleo!Z:AA,2,FALSE),"")</f>
        <v>9000</v>
      </c>
      <c r="O409" s="8">
        <f>IFERROR(VLOOKUP(B409,Petróleo!AB:AC,2,FALSE),"")</f>
        <v>3110</v>
      </c>
      <c r="P409" s="8">
        <f>IFERROR(VLOOKUP(B409,Petróleo!AD:AE,2,FALSE),"")</f>
        <v>3160</v>
      </c>
      <c r="Q409" s="8">
        <f>IFERROR(VLOOKUP(B409,Petróleo!AF:AG,2,FALSE),"")</f>
        <v>4330</v>
      </c>
      <c r="R409" s="8">
        <f>IFERROR(VLOOKUP(B409,Petróleo!AH:AI,2,FALSE),"")</f>
        <v>1140</v>
      </c>
      <c r="S409" s="8">
        <f>IFERROR(VLOOKUP(B409,Petróleo!AJ:AK,2,FALSE),"")</f>
        <v>1490</v>
      </c>
      <c r="T409" s="8">
        <f>IFERROR(VLOOKUP(B409,Petróleo!AL:AM,2,FALSE),"")</f>
        <v>810</v>
      </c>
      <c r="U409" s="8">
        <f>IFERROR(VLOOKUP(B409,Petróleo!AN:AO,2,FALSE),"")</f>
        <v>2550</v>
      </c>
      <c r="V409" s="10" t="str">
        <f>IFERROR(VLOOKUP(A409,Petróleo!AR:AT,3,FALSE),"")</f>
        <v/>
      </c>
    </row>
    <row r="410" spans="1:22" x14ac:dyDescent="0.25">
      <c r="A410" s="9" t="str">
        <f t="shared" si="6"/>
        <v>12024</v>
      </c>
      <c r="B410" s="9">
        <f t="shared" si="7"/>
        <v>45322</v>
      </c>
      <c r="C410" s="1">
        <f>IFERROR(VLOOKUP(B410,Petróleo!A:B,2,FALSE),"")</f>
        <v>12517</v>
      </c>
      <c r="D410" s="1">
        <f>IFERROR(VLOOKUP(B410,Estoque_US!D:E,2,FALSE),"")</f>
        <v>-9153</v>
      </c>
      <c r="E410" s="1">
        <f>IFERROR(VLOOKUP(B410,Petróleo!F:G,2,FALSE),"")</f>
        <v>9161.3559999999998</v>
      </c>
      <c r="F410" s="1">
        <f>IFERROR(VLOOKUP(B410,Petróleo!H:I,2,FALSE),"")</f>
        <v>3888</v>
      </c>
      <c r="G410" s="1">
        <f>IFERROR(VLOOKUP(B410,Petróleo!J:K,2,FALSE),"")</f>
        <v>4425</v>
      </c>
      <c r="H410" s="1">
        <f>IFERROR(VLOOKUP(B410,Petróleo!L:M,2,FALSE),"")</f>
        <v>1098</v>
      </c>
      <c r="I410" s="1">
        <f>IFERROR(VLOOKUP(B410,Petróleo!N:O,2,FALSE),"")</f>
        <v>1502.24</v>
      </c>
      <c r="J410" s="1">
        <f>IFERROR(VLOOKUP(B410,Petróleo!P:Q,2,FALSE),"")</f>
        <v>10252.200000000001</v>
      </c>
      <c r="K410" s="1">
        <f>IFERROR(VLOOKUP(B410,Petróleo!R:S,2,FALSE),"")</f>
        <v>800</v>
      </c>
      <c r="L410" s="1">
        <f>IFERROR(VLOOKUP(B410,Petróleo!T:U,2,FALSE),"")</f>
        <v>4286</v>
      </c>
      <c r="M410" s="8">
        <f>IFERROR(VLOOKUP(B410,Petróleo!X:Y,2,FALSE),"")</f>
        <v>27110</v>
      </c>
      <c r="N410" s="8">
        <f>IFERROR(VLOOKUP(B410,Petróleo!Z:AA,2,FALSE),"")</f>
        <v>8940</v>
      </c>
      <c r="O410" s="8">
        <f>IFERROR(VLOOKUP(B410,Petróleo!AB:AC,2,FALSE),"")</f>
        <v>3230</v>
      </c>
      <c r="P410" s="8">
        <f>IFERROR(VLOOKUP(B410,Petróleo!AD:AE,2,FALSE),"")</f>
        <v>3320</v>
      </c>
      <c r="Q410" s="8">
        <f>IFERROR(VLOOKUP(B410,Petróleo!AF:AG,2,FALSE),"")</f>
        <v>4060</v>
      </c>
      <c r="R410" s="8">
        <f>IFERROR(VLOOKUP(B410,Petróleo!AH:AI,2,FALSE),"")</f>
        <v>1240</v>
      </c>
      <c r="S410" s="8">
        <f>IFERROR(VLOOKUP(B410,Petróleo!AJ:AK,2,FALSE),"")</f>
        <v>1520</v>
      </c>
      <c r="T410" s="8">
        <f>IFERROR(VLOOKUP(B410,Petróleo!AL:AM,2,FALSE),"")</f>
        <v>900</v>
      </c>
      <c r="U410" s="8">
        <f>IFERROR(VLOOKUP(B410,Petróleo!AN:AO,2,FALSE),"")</f>
        <v>2490</v>
      </c>
      <c r="V410" s="10" t="str">
        <f>IFERROR(VLOOKUP(A410,Petróleo!AR:AT,3,FALSE),"")</f>
        <v/>
      </c>
    </row>
    <row r="411" spans="1:22" x14ac:dyDescent="0.25">
      <c r="A411" s="9" t="str">
        <f t="shared" si="6"/>
        <v>22024</v>
      </c>
      <c r="B411" s="9">
        <f t="shared" si="7"/>
        <v>45351</v>
      </c>
      <c r="C411" s="1">
        <f>IFERROR(VLOOKUP(B411,Petróleo!A:B,2,FALSE),"")</f>
        <v>13129</v>
      </c>
      <c r="E411" s="1">
        <f>IFERROR(VLOOKUP(B411,Petróleo!F:G,2,FALSE),"")</f>
        <v>9361.2489999999998</v>
      </c>
      <c r="F411" s="1">
        <f>IFERROR(VLOOKUP(B411,Petróleo!H:I,2,FALSE),"")</f>
        <v>3888</v>
      </c>
      <c r="G411" s="1">
        <f>IFERROR(VLOOKUP(B411,Petróleo!J:K,2,FALSE),"")</f>
        <v>4435</v>
      </c>
      <c r="H411" s="1">
        <f>IFERROR(VLOOKUP(B411,Petróleo!L:M,2,FALSE),"")</f>
        <v>1218</v>
      </c>
      <c r="I411" s="1">
        <f>IFERROR(VLOOKUP(B411,Petróleo!N:O,2,FALSE),"")</f>
        <v>1471.5440000000001</v>
      </c>
      <c r="J411" s="1">
        <f>IFERROR(VLOOKUP(B411,Petróleo!P:Q,2,FALSE),"")</f>
        <v>10174.5</v>
      </c>
      <c r="K411" s="1">
        <f>IFERROR(VLOOKUP(B411,Petróleo!R:S,2,FALSE),"")</f>
        <v>835</v>
      </c>
      <c r="L411" s="1">
        <f>IFERROR(VLOOKUP(B411,Petróleo!T:U,2,FALSE),"")</f>
        <v>4256</v>
      </c>
      <c r="M411" s="8">
        <f>IFERROR(VLOOKUP(B411,Petróleo!X:Y,2,FALSE),"")</f>
        <v>26850</v>
      </c>
      <c r="N411" s="8">
        <f>IFERROR(VLOOKUP(B411,Petróleo!Z:AA,2,FALSE),"")</f>
        <v>9010</v>
      </c>
      <c r="O411" s="8">
        <f>IFERROR(VLOOKUP(B411,Petróleo!AB:AC,2,FALSE),"")</f>
        <v>3140</v>
      </c>
      <c r="P411" s="8">
        <f>IFERROR(VLOOKUP(B411,Petróleo!AD:AE,2,FALSE),"")</f>
        <v>3140</v>
      </c>
      <c r="Q411" s="8">
        <f>IFERROR(VLOOKUP(B411,Petróleo!AF:AG,2,FALSE),"")</f>
        <v>4200</v>
      </c>
      <c r="R411" s="8">
        <f>IFERROR(VLOOKUP(B411,Petróleo!AH:AI,2,FALSE),"")</f>
        <v>1140</v>
      </c>
      <c r="S411" s="8">
        <f>IFERROR(VLOOKUP(B411,Petróleo!AJ:AK,2,FALSE),"")</f>
        <v>1520</v>
      </c>
      <c r="T411" s="8">
        <f>IFERROR(VLOOKUP(B411,Petróleo!AL:AM,2,FALSE),"")</f>
        <v>850</v>
      </c>
      <c r="U411" s="8">
        <f>IFERROR(VLOOKUP(B411,Petróleo!AN:AO,2,FALSE),"")</f>
        <v>2430</v>
      </c>
      <c r="V411" s="10" t="str">
        <f>IFERROR(VLOOKUP(A411,Petróleo!AR:AT,3,FALSE),"")</f>
        <v/>
      </c>
    </row>
    <row r="412" spans="1:22" x14ac:dyDescent="0.25">
      <c r="A412" s="9" t="str">
        <f t="shared" si="6"/>
        <v>32024</v>
      </c>
      <c r="B412" s="9">
        <f t="shared" si="7"/>
        <v>45382</v>
      </c>
      <c r="C412" s="1">
        <f>IFERROR(VLOOKUP(B412,Petróleo!A:B,2,FALSE),"")</f>
        <v>13190</v>
      </c>
      <c r="E412" s="1">
        <f>IFERROR(VLOOKUP(B412,Petróleo!F:G,2,FALSE),"")</f>
        <v>9461.125</v>
      </c>
      <c r="F412" s="1">
        <f>IFERROR(VLOOKUP(B412,Petróleo!H:I,2,FALSE),"")</f>
        <v>3948</v>
      </c>
      <c r="G412" s="1">
        <f>IFERROR(VLOOKUP(B412,Petróleo!J:K,2,FALSE),"")</f>
        <v>4515</v>
      </c>
      <c r="H412" s="1">
        <f>IFERROR(VLOOKUP(B412,Petróleo!L:M,2,FALSE),"")</f>
        <v>1218</v>
      </c>
      <c r="I412" s="1">
        <f>IFERROR(VLOOKUP(B412,Petróleo!N:O,2,FALSE),"")</f>
        <v>1500.8489999999999</v>
      </c>
      <c r="J412" s="1">
        <f>IFERROR(VLOOKUP(B412,Petróleo!P:Q,2,FALSE),"")</f>
        <v>10151.299999999999</v>
      </c>
      <c r="K412" s="1">
        <f>IFERROR(VLOOKUP(B412,Petróleo!R:S,2,FALSE),"")</f>
        <v>835</v>
      </c>
      <c r="L412" s="1">
        <f>IFERROR(VLOOKUP(B412,Petróleo!T:U,2,FALSE),"")</f>
        <v>4326</v>
      </c>
      <c r="M412" s="8">
        <f>IFERROR(VLOOKUP(B412,Petróleo!X:Y,2,FALSE),"")</f>
        <v>26860</v>
      </c>
      <c r="N412" s="8">
        <f>IFERROR(VLOOKUP(B412,Petróleo!Z:AA,2,FALSE),"")</f>
        <v>9040</v>
      </c>
      <c r="O412" s="8">
        <f>IFERROR(VLOOKUP(B412,Petróleo!AB:AC,2,FALSE),"")</f>
        <v>3130</v>
      </c>
      <c r="P412" s="8">
        <f>IFERROR(VLOOKUP(B412,Petróleo!AD:AE,2,FALSE),"")</f>
        <v>3180</v>
      </c>
      <c r="Q412" s="8">
        <f>IFERROR(VLOOKUP(B412,Petróleo!AF:AG,2,FALSE),"")</f>
        <v>4170</v>
      </c>
      <c r="R412" s="8">
        <f>IFERROR(VLOOKUP(B412,Petróleo!AH:AI,2,FALSE),"")</f>
        <v>1130</v>
      </c>
      <c r="S412" s="8">
        <f>IFERROR(VLOOKUP(B412,Petróleo!AJ:AK,2,FALSE),"")</f>
        <v>1470</v>
      </c>
      <c r="T412" s="8">
        <f>IFERROR(VLOOKUP(B412,Petróleo!AL:AM,2,FALSE),"")</f>
        <v>870</v>
      </c>
      <c r="U412" s="8">
        <f>IFERROR(VLOOKUP(B412,Petróleo!AN:AO,2,FALSE),"")</f>
        <v>2430</v>
      </c>
      <c r="V412" s="10" t="str">
        <f>IFERROR(VLOOKUP(A412,Petróleo!AR:AT,3,FALSE),"")</f>
        <v/>
      </c>
    </row>
    <row r="413" spans="1:22" x14ac:dyDescent="0.25">
      <c r="A413" s="9" t="str">
        <f t="shared" si="6"/>
        <v>42024</v>
      </c>
      <c r="B413" s="9">
        <f t="shared" si="7"/>
        <v>45412</v>
      </c>
      <c r="C413" s="1">
        <f>IFERROR(VLOOKUP(B413,Petróleo!A:B,2,FALSE),"")</f>
        <v>13314</v>
      </c>
      <c r="E413" s="1">
        <f>IFERROR(VLOOKUP(B413,Petróleo!F:G,2,FALSE),"")</f>
        <v>9460.98</v>
      </c>
      <c r="F413" s="1">
        <f>IFERROR(VLOOKUP(B413,Petróleo!H:I,2,FALSE),"")</f>
        <v>3928</v>
      </c>
      <c r="G413" s="1">
        <f>IFERROR(VLOOKUP(B413,Petróleo!J:K,2,FALSE),"")</f>
        <v>4505</v>
      </c>
      <c r="H413" s="1">
        <f>IFERROR(VLOOKUP(B413,Petróleo!L:M,2,FALSE),"")</f>
        <v>1258</v>
      </c>
      <c r="I413" s="1">
        <f>IFERROR(VLOOKUP(B413,Petróleo!N:O,2,FALSE),"")</f>
        <v>1420.153</v>
      </c>
      <c r="J413" s="1">
        <f>IFERROR(VLOOKUP(B413,Petróleo!P:Q,2,FALSE),"")</f>
        <v>10047.6</v>
      </c>
      <c r="K413" s="1">
        <f>IFERROR(VLOOKUP(B413,Petróleo!R:S,2,FALSE),"")</f>
        <v>850</v>
      </c>
      <c r="L413" s="1">
        <f>IFERROR(VLOOKUP(B413,Petróleo!T:U,2,FALSE),"")</f>
        <v>4250</v>
      </c>
      <c r="M413" s="8">
        <f>IFERROR(VLOOKUP(B413,Petróleo!X:Y,2,FALSE),"")</f>
        <v>26900</v>
      </c>
      <c r="N413" s="8">
        <f>IFERROR(VLOOKUP(B413,Petróleo!Z:AA,2,FALSE),"")</f>
        <v>9040</v>
      </c>
      <c r="O413" s="8">
        <f>IFERROR(VLOOKUP(B413,Petróleo!AB:AC,2,FALSE),"")</f>
        <v>3120</v>
      </c>
      <c r="P413" s="8">
        <f>IFERROR(VLOOKUP(B413,Petróleo!AD:AE,2,FALSE),"")</f>
        <v>3220</v>
      </c>
      <c r="Q413" s="8">
        <f>IFERROR(VLOOKUP(B413,Petróleo!AF:AG,2,FALSE),"")</f>
        <v>4220</v>
      </c>
      <c r="R413" s="8">
        <f>IFERROR(VLOOKUP(B413,Petróleo!AH:AI,2,FALSE),"")</f>
        <v>1190</v>
      </c>
      <c r="S413" s="8">
        <f>IFERROR(VLOOKUP(B413,Petróleo!AJ:AK,2,FALSE),"")</f>
        <v>1420</v>
      </c>
      <c r="T413" s="8">
        <f>IFERROR(VLOOKUP(B413,Petróleo!AL:AM,2,FALSE),"")</f>
        <v>840</v>
      </c>
      <c r="U413" s="8">
        <f>IFERROR(VLOOKUP(B413,Petróleo!AN:AO,2,FALSE),"")</f>
        <v>2430</v>
      </c>
      <c r="V413" s="10" t="str">
        <f>IFERROR(VLOOKUP(A413,Petróleo!AR:AT,3,FALSE),"")</f>
        <v/>
      </c>
    </row>
    <row r="414" spans="1:22" x14ac:dyDescent="0.25">
      <c r="A414" s="9" t="str">
        <f t="shared" si="6"/>
        <v>52024</v>
      </c>
      <c r="B414" s="9">
        <f t="shared" si="7"/>
        <v>45443</v>
      </c>
      <c r="C414" s="1">
        <f>IFERROR(VLOOKUP(B414,Petróleo!A:B,2,FALSE),"")</f>
        <v>13256</v>
      </c>
      <c r="E414" s="1">
        <f>IFERROR(VLOOKUP(B414,Petróleo!F:G,2,FALSE),"")</f>
        <v>9260.8109999999997</v>
      </c>
      <c r="F414" s="1">
        <f>IFERROR(VLOOKUP(B414,Petróleo!H:I,2,FALSE),"")</f>
        <v>3928</v>
      </c>
      <c r="G414" s="1">
        <f>IFERROR(VLOOKUP(B414,Petróleo!J:K,2,FALSE),"")</f>
        <v>4495</v>
      </c>
      <c r="H414" s="1">
        <f>IFERROR(VLOOKUP(B414,Petróleo!L:M,2,FALSE),"")</f>
        <v>1258</v>
      </c>
      <c r="I414" s="1">
        <f>IFERROR(VLOOKUP(B414,Petróleo!N:O,2,FALSE),"")</f>
        <v>1459.4580000000001</v>
      </c>
      <c r="J414" s="1">
        <f>IFERROR(VLOOKUP(B414,Petróleo!P:Q,2,FALSE),"")</f>
        <v>9906.2999999999993</v>
      </c>
      <c r="K414" s="1">
        <f>IFERROR(VLOOKUP(B414,Petróleo!R:S,2,FALSE),"")</f>
        <v>870</v>
      </c>
      <c r="L414" s="1">
        <f>IFERROR(VLOOKUP(B414,Petróleo!T:U,2,FALSE),"")</f>
        <v>4274</v>
      </c>
      <c r="M414" s="8">
        <f>IFERROR(VLOOKUP(B414,Petróleo!X:Y,2,FALSE),"")</f>
        <v>27060</v>
      </c>
      <c r="N414" s="8">
        <f>IFERROR(VLOOKUP(B414,Petróleo!Z:AA,2,FALSE),"")</f>
        <v>9010</v>
      </c>
      <c r="O414" s="8">
        <f>IFERROR(VLOOKUP(B414,Petróleo!AB:AC,2,FALSE),"")</f>
        <v>3170</v>
      </c>
      <c r="P414" s="8">
        <f>IFERROR(VLOOKUP(B414,Petróleo!AD:AE,2,FALSE),"")</f>
        <v>3240</v>
      </c>
      <c r="Q414" s="8">
        <f>IFERROR(VLOOKUP(B414,Petróleo!AF:AG,2,FALSE),"")</f>
        <v>4280</v>
      </c>
      <c r="R414" s="8">
        <f>IFERROR(VLOOKUP(B414,Petróleo!AH:AI,2,FALSE),"")</f>
        <v>1160</v>
      </c>
      <c r="S414" s="8">
        <f>IFERROR(VLOOKUP(B414,Petróleo!AJ:AK,2,FALSE),"")</f>
        <v>1460</v>
      </c>
      <c r="T414" s="8">
        <f>IFERROR(VLOOKUP(B414,Petróleo!AL:AM,2,FALSE),"")</f>
        <v>860</v>
      </c>
      <c r="U414" s="8">
        <f>IFERROR(VLOOKUP(B414,Petróleo!AN:AO,2,FALSE),"")</f>
        <v>2460</v>
      </c>
      <c r="V414" s="10" t="str">
        <f>IFERROR(VLOOKUP(A414,Petróleo!AR:AT,3,FALSE),"")</f>
        <v/>
      </c>
    </row>
    <row r="415" spans="1:22" x14ac:dyDescent="0.25">
      <c r="A415" s="9" t="str">
        <f t="shared" si="6"/>
        <v>62024</v>
      </c>
      <c r="B415" s="9">
        <f t="shared" si="7"/>
        <v>45473</v>
      </c>
      <c r="C415" s="1">
        <f>IFERROR(VLOOKUP(B415,Petróleo!A:B,2,FALSE),"")</f>
        <v>13252</v>
      </c>
      <c r="E415" s="1">
        <f>IFERROR(VLOOKUP(B415,Petróleo!F:G,2,FALSE),"")</f>
        <v>8910.6139999999996</v>
      </c>
      <c r="F415" s="1">
        <f>IFERROR(VLOOKUP(B415,Petróleo!H:I,2,FALSE),"")</f>
        <v>3928</v>
      </c>
      <c r="G415" s="1">
        <f>IFERROR(VLOOKUP(B415,Petróleo!J:K,2,FALSE),"")</f>
        <v>4465</v>
      </c>
      <c r="H415" s="1">
        <f>IFERROR(VLOOKUP(B415,Petróleo!L:M,2,FALSE),"")</f>
        <v>1278</v>
      </c>
      <c r="I415" s="1">
        <f>IFERROR(VLOOKUP(B415,Petróleo!N:O,2,FALSE),"")</f>
        <v>1458.7619999999999</v>
      </c>
      <c r="J415" s="1">
        <f>IFERROR(VLOOKUP(B415,Petróleo!P:Q,2,FALSE),"")</f>
        <v>9764.2000000000007</v>
      </c>
      <c r="K415" s="1">
        <f>IFERROR(VLOOKUP(B415,Petróleo!R:S,2,FALSE),"")</f>
        <v>860</v>
      </c>
      <c r="L415" s="1">
        <f>IFERROR(VLOOKUP(B415,Petróleo!T:U,2,FALSE),"")</f>
        <v>4250</v>
      </c>
      <c r="M415" s="8">
        <f>IFERROR(VLOOKUP(B415,Petróleo!X:Y,2,FALSE),"")</f>
        <v>27050</v>
      </c>
      <c r="N415" s="8">
        <f>IFERROR(VLOOKUP(B415,Petróleo!Z:AA,2,FALSE),"")</f>
        <v>8990</v>
      </c>
      <c r="O415" s="8">
        <f>IFERROR(VLOOKUP(B415,Petróleo!AB:AC,2,FALSE),"")</f>
        <v>3170</v>
      </c>
      <c r="P415" s="8">
        <f>IFERROR(VLOOKUP(B415,Petróleo!AD:AE,2,FALSE),"")</f>
        <v>3310</v>
      </c>
      <c r="Q415" s="8">
        <f>IFERROR(VLOOKUP(B415,Petróleo!AF:AG,2,FALSE),"")</f>
        <v>4250</v>
      </c>
      <c r="R415" s="8">
        <f>IFERROR(VLOOKUP(B415,Petróleo!AH:AI,2,FALSE),"")</f>
        <v>1160</v>
      </c>
      <c r="S415" s="8">
        <f>IFERROR(VLOOKUP(B415,Petróleo!AJ:AK,2,FALSE),"")</f>
        <v>1430</v>
      </c>
      <c r="T415" s="8">
        <f>IFERROR(VLOOKUP(B415,Petróleo!AL:AM,2,FALSE),"")</f>
        <v>890</v>
      </c>
      <c r="U415" s="8">
        <f>IFERROR(VLOOKUP(B415,Petróleo!AN:AO,2,FALSE),"")</f>
        <v>2440</v>
      </c>
      <c r="V415" s="10">
        <f>IFERROR(VLOOKUP(A415,Petróleo!AR:AT,3,FALSE),"")</f>
        <v>86.41</v>
      </c>
    </row>
    <row r="416" spans="1:22" x14ac:dyDescent="0.25">
      <c r="A416" s="9" t="str">
        <f t="shared" si="6"/>
        <v>72024</v>
      </c>
      <c r="B416" s="9">
        <f t="shared" si="7"/>
        <v>45504</v>
      </c>
      <c r="C416" s="1">
        <f>IFERROR(VLOOKUP(B416,Petróleo!A:B,2,FALSE),"")</f>
        <v>13212</v>
      </c>
      <c r="E416" s="1">
        <f>IFERROR(VLOOKUP(B416,Petróleo!F:G,2,FALSE),"")</f>
        <v>9210.3850000000002</v>
      </c>
      <c r="F416" s="1">
        <f>IFERROR(VLOOKUP(B416,Petróleo!H:I,2,FALSE),"")</f>
        <v>3968</v>
      </c>
      <c r="G416" s="1">
        <f>IFERROR(VLOOKUP(B416,Petróleo!J:K,2,FALSE),"")</f>
        <v>4575</v>
      </c>
      <c r="H416" s="1">
        <f>IFERROR(VLOOKUP(B416,Petróleo!L:M,2,FALSE),"")</f>
        <v>1248</v>
      </c>
      <c r="I416" s="1">
        <f>IFERROR(VLOOKUP(B416,Petróleo!N:O,2,FALSE),"")</f>
        <v>1508.067</v>
      </c>
      <c r="J416" s="1">
        <f>IFERROR(VLOOKUP(B416,Petróleo!P:Q,2,FALSE),"")</f>
        <v>9739.4009999999998</v>
      </c>
      <c r="K416" s="1">
        <f>IFERROR(VLOOKUP(B416,Petróleo!R:S,2,FALSE),"")</f>
        <v>870</v>
      </c>
      <c r="L416" s="1">
        <f>IFERROR(VLOOKUP(B416,Petróleo!T:U,2,FALSE),"")</f>
        <v>4215</v>
      </c>
      <c r="M416" s="8">
        <f>IFERROR(VLOOKUP(B416,Petróleo!X:Y,2,FALSE),"")</f>
        <v>27130</v>
      </c>
      <c r="N416" s="8">
        <f>IFERROR(VLOOKUP(B416,Petróleo!Z:AA,2,FALSE),"")</f>
        <v>9000</v>
      </c>
      <c r="O416" s="8">
        <f>IFERROR(VLOOKUP(B416,Petróleo!AB:AC,2,FALSE),"")</f>
        <v>3170</v>
      </c>
      <c r="P416" s="8">
        <f>IFERROR(VLOOKUP(B416,Petróleo!AD:AE,2,FALSE),"")</f>
        <v>3300</v>
      </c>
      <c r="Q416" s="8">
        <f>IFERROR(VLOOKUP(B416,Petróleo!AF:AG,2,FALSE),"")</f>
        <v>4320</v>
      </c>
      <c r="R416" s="8">
        <f>IFERROR(VLOOKUP(B416,Petróleo!AH:AI,2,FALSE),"")</f>
        <v>1150</v>
      </c>
      <c r="S416" s="8">
        <f>IFERROR(VLOOKUP(B416,Petróleo!AJ:AK,2,FALSE),"")</f>
        <v>1430</v>
      </c>
      <c r="T416" s="8">
        <f>IFERROR(VLOOKUP(B416,Petróleo!AL:AM,2,FALSE),"")</f>
        <v>890</v>
      </c>
      <c r="U416" s="8">
        <f>IFERROR(VLOOKUP(B416,Petróleo!AN:AO,2,FALSE),"")</f>
        <v>2450</v>
      </c>
      <c r="V416" s="10">
        <f>IFERROR(VLOOKUP(A416,Petróleo!AR:AT,3,FALSE),"")</f>
        <v>80.72</v>
      </c>
    </row>
    <row r="417" spans="1:22" x14ac:dyDescent="0.25">
      <c r="A417" s="9" t="str">
        <f t="shared" si="6"/>
        <v>82024</v>
      </c>
      <c r="B417" s="9">
        <f t="shared" si="7"/>
        <v>45535</v>
      </c>
      <c r="C417" s="1">
        <f>IFERROR(VLOOKUP(B417,Petróleo!A:B,2,FALSE),"")</f>
        <v>13411</v>
      </c>
      <c r="E417" s="1">
        <f>IFERROR(VLOOKUP(B417,Petróleo!F:G,2,FALSE),"")</f>
        <v>9340.2240000000002</v>
      </c>
      <c r="F417" s="1">
        <f>IFERROR(VLOOKUP(B417,Petróleo!H:I,2,FALSE),"")</f>
        <v>3998</v>
      </c>
      <c r="G417" s="1">
        <f>IFERROR(VLOOKUP(B417,Petróleo!J:K,2,FALSE),"")</f>
        <v>4495</v>
      </c>
      <c r="H417" s="1">
        <f>IFERROR(VLOOKUP(B417,Petróleo!L:M,2,FALSE),"")</f>
        <v>998</v>
      </c>
      <c r="I417" s="1">
        <f>IFERROR(VLOOKUP(B417,Petróleo!N:O,2,FALSE),"")</f>
        <v>1567.3710000000001</v>
      </c>
      <c r="J417" s="1">
        <f>IFERROR(VLOOKUP(B417,Petróleo!P:Q,2,FALSE),"")</f>
        <v>9679.3970000000008</v>
      </c>
      <c r="K417" s="1">
        <f>IFERROR(VLOOKUP(B417,Petróleo!R:S,2,FALSE),"")</f>
        <v>890</v>
      </c>
      <c r="L417" s="1">
        <f>IFERROR(VLOOKUP(B417,Petróleo!T:U,2,FALSE),"")</f>
        <v>4199</v>
      </c>
      <c r="M417" s="8">
        <f>IFERROR(VLOOKUP(B417,Petróleo!X:Y,2,FALSE),"")</f>
        <v>27090</v>
      </c>
      <c r="N417" s="8">
        <f>IFERROR(VLOOKUP(B417,Petróleo!Z:AA,2,FALSE),"")</f>
        <v>8990</v>
      </c>
      <c r="O417" s="8">
        <f>IFERROR(VLOOKUP(B417,Petróleo!AB:AC,2,FALSE),"")</f>
        <v>3170</v>
      </c>
      <c r="P417" s="8">
        <f>IFERROR(VLOOKUP(B417,Petróleo!AD:AE,2,FALSE),"")</f>
        <v>3370</v>
      </c>
      <c r="Q417" s="8">
        <f>IFERROR(VLOOKUP(B417,Petróleo!AF:AG,2,FALSE),"")</f>
        <v>4320</v>
      </c>
      <c r="R417" s="8">
        <f>IFERROR(VLOOKUP(B417,Petróleo!AH:AI,2,FALSE),"")</f>
        <v>960</v>
      </c>
      <c r="S417" s="8">
        <f>IFERROR(VLOOKUP(B417,Petróleo!AJ:AK,2,FALSE),"")</f>
        <v>1480</v>
      </c>
      <c r="T417" s="8">
        <f>IFERROR(VLOOKUP(B417,Petróleo!AL:AM,2,FALSE),"")</f>
        <v>900</v>
      </c>
      <c r="U417" s="8">
        <f>IFERROR(VLOOKUP(B417,Petróleo!AN:AO,2,FALSE),"")</f>
        <v>2470</v>
      </c>
      <c r="V417" s="10">
        <f>IFERROR(VLOOKUP(A417,Petróleo!AR:AT,3,FALSE),"")</f>
        <v>78.8</v>
      </c>
    </row>
    <row r="418" spans="1:22" x14ac:dyDescent="0.25">
      <c r="A418" s="9" t="str">
        <f t="shared" si="6"/>
        <v>92024</v>
      </c>
      <c r="B418" s="9">
        <f t="shared" si="7"/>
        <v>45565</v>
      </c>
      <c r="C418" s="1">
        <f>IFERROR(VLOOKUP(B418,Petróleo!A:B,2,FALSE),"")</f>
        <v>13171</v>
      </c>
      <c r="E418" s="1">
        <f>IFERROR(VLOOKUP(B418,Petróleo!F:G,2,FALSE),"")</f>
        <v>9130.0550000000003</v>
      </c>
      <c r="F418" s="1">
        <f>IFERROR(VLOOKUP(B418,Petróleo!H:I,2,FALSE),"")</f>
        <v>4068</v>
      </c>
      <c r="G418" s="1">
        <f>IFERROR(VLOOKUP(B418,Petróleo!J:K,2,FALSE),"")</f>
        <v>4345</v>
      </c>
      <c r="H418" s="1">
        <f>IFERROR(VLOOKUP(B418,Petróleo!L:M,2,FALSE),"")</f>
        <v>648</v>
      </c>
      <c r="I418" s="1">
        <f>IFERROR(VLOOKUP(B418,Petróleo!N:O,2,FALSE),"")</f>
        <v>1466.6759999999999</v>
      </c>
      <c r="J418" s="1">
        <f>IFERROR(VLOOKUP(B418,Petróleo!P:Q,2,FALSE),"")</f>
        <v>9676.9920000000002</v>
      </c>
      <c r="K418" s="1">
        <f>IFERROR(VLOOKUP(B418,Petróleo!R:S,2,FALSE),"")</f>
        <v>900</v>
      </c>
      <c r="L418" s="1">
        <f>IFERROR(VLOOKUP(B418,Petróleo!T:U,2,FALSE),"")</f>
        <v>4154</v>
      </c>
      <c r="M418" s="8">
        <f>IFERROR(VLOOKUP(B418,Petróleo!X:Y,2,FALSE),"")</f>
        <v>26530</v>
      </c>
      <c r="N418" s="8">
        <f>IFERROR(VLOOKUP(B418,Petróleo!Z:AA,2,FALSE),"")</f>
        <v>8990</v>
      </c>
      <c r="O418" s="8">
        <f>IFERROR(VLOOKUP(B418,Petróleo!AB:AC,2,FALSE),"")</f>
        <v>3180</v>
      </c>
      <c r="P418" s="8">
        <f>IFERROR(VLOOKUP(B418,Petróleo!AD:AE,2,FALSE),"")</f>
        <v>3400</v>
      </c>
      <c r="Q418" s="8">
        <f>IFERROR(VLOOKUP(B418,Petróleo!AF:AG,2,FALSE),"")</f>
        <v>4220</v>
      </c>
      <c r="R418" s="8">
        <f>IFERROR(VLOOKUP(B418,Petróleo!AH:AI,2,FALSE),"")</f>
        <v>530</v>
      </c>
      <c r="S418" s="8">
        <f>IFERROR(VLOOKUP(B418,Petróleo!AJ:AK,2,FALSE),"")</f>
        <v>1470</v>
      </c>
      <c r="T418" s="8">
        <f>IFERROR(VLOOKUP(B418,Petróleo!AL:AM,2,FALSE),"")</f>
        <v>880</v>
      </c>
      <c r="U418" s="8">
        <f>IFERROR(VLOOKUP(B418,Petróleo!AN:AO,2,FALSE),"")</f>
        <v>2450</v>
      </c>
      <c r="V418" s="10">
        <f>IFERROR(VLOOKUP(A418,Petróleo!AR:AT,3,FALSE),"")</f>
        <v>71.77</v>
      </c>
    </row>
    <row r="419" spans="1:22" x14ac:dyDescent="0.25">
      <c r="A419" s="9" t="str">
        <f t="shared" si="6"/>
        <v>102024</v>
      </c>
      <c r="B419" s="9">
        <f t="shared" si="7"/>
        <v>45596</v>
      </c>
      <c r="C419" s="1">
        <f>IFERROR(VLOOKUP(B419,Petróleo!A:B,2,FALSE),"")</f>
        <v>13530</v>
      </c>
      <c r="E419" s="1">
        <f>IFERROR(VLOOKUP(B419,Petróleo!F:G,2,FALSE),"")</f>
        <v>9209.8780000000006</v>
      </c>
      <c r="F419" s="1">
        <f>IFERROR(VLOOKUP(B419,Petróleo!H:I,2,FALSE),"")</f>
        <v>4018</v>
      </c>
      <c r="G419" s="1">
        <f>IFERROR(VLOOKUP(B419,Petróleo!J:K,2,FALSE),"")</f>
        <v>4295</v>
      </c>
      <c r="H419" s="1">
        <f>IFERROR(VLOOKUP(B419,Petróleo!L:M,2,FALSE),"")</f>
        <v>1148</v>
      </c>
      <c r="I419" s="1">
        <f>IFERROR(VLOOKUP(B419,Petróleo!N:O,2,FALSE),"")</f>
        <v>1475.98</v>
      </c>
      <c r="J419" s="1">
        <f>IFERROR(VLOOKUP(B419,Petróleo!P:Q,2,FALSE),"")</f>
        <v>9730.1679999999997</v>
      </c>
      <c r="K419" s="1">
        <f>IFERROR(VLOOKUP(B419,Petróleo!R:S,2,FALSE),"")</f>
        <v>910</v>
      </c>
      <c r="L419" s="1">
        <f>IFERROR(VLOOKUP(B419,Petróleo!T:U,2,FALSE),"")</f>
        <v>4184</v>
      </c>
      <c r="M419" s="8">
        <f>IFERROR(VLOOKUP(B419,Petróleo!X:Y,2,FALSE),"")</f>
        <v>26900</v>
      </c>
      <c r="N419" s="8">
        <f>IFERROR(VLOOKUP(B419,Petróleo!Z:AA,2,FALSE),"")</f>
        <v>8950</v>
      </c>
      <c r="O419" s="8">
        <f>IFERROR(VLOOKUP(B419,Petróleo!AB:AC,2,FALSE),"")</f>
        <v>3170</v>
      </c>
      <c r="P419" s="8">
        <f>IFERROR(VLOOKUP(B419,Petróleo!AD:AE,2,FALSE),"")</f>
        <v>3360</v>
      </c>
      <c r="Q419" s="8">
        <f>IFERROR(VLOOKUP(B419,Petróleo!AF:AG,2,FALSE),"")</f>
        <v>4130</v>
      </c>
      <c r="R419" s="8">
        <f>IFERROR(VLOOKUP(B419,Petróleo!AH:AI,2,FALSE),"")</f>
        <v>1030</v>
      </c>
      <c r="S419" s="8">
        <f>IFERROR(VLOOKUP(B419,Petróleo!AJ:AK,2,FALSE),"")</f>
        <v>1510</v>
      </c>
      <c r="T419" s="8">
        <f>IFERROR(VLOOKUP(B419,Petróleo!AL:AM,2,FALSE),"")</f>
        <v>890</v>
      </c>
      <c r="U419" s="8">
        <f>IFERROR(VLOOKUP(B419,Petróleo!AN:AO,2,FALSE),"")</f>
        <v>2440</v>
      </c>
      <c r="V419" s="10">
        <f>IFERROR(VLOOKUP(A419,Petróleo!AR:AT,3,FALSE),"")</f>
        <v>73.16</v>
      </c>
    </row>
    <row r="420" spans="1:22" x14ac:dyDescent="0.25">
      <c r="A420" s="9" t="str">
        <f t="shared" si="6"/>
        <v>112024</v>
      </c>
      <c r="B420" s="9">
        <f t="shared" si="7"/>
        <v>45626</v>
      </c>
      <c r="C420" s="1">
        <f>IFERROR(VLOOKUP(B420,Petróleo!A:B,2,FALSE),"")</f>
        <v>13396</v>
      </c>
      <c r="E420" s="1">
        <f>IFERROR(VLOOKUP(B420,Petróleo!F:G,2,FALSE),"")</f>
        <v>9169.6949999999997</v>
      </c>
      <c r="F420" s="1">
        <f>IFERROR(VLOOKUP(B420,Petróleo!H:I,2,FALSE),"")</f>
        <v>4088</v>
      </c>
      <c r="G420" s="1">
        <f>IFERROR(VLOOKUP(B420,Petróleo!J:K,2,FALSE),"")</f>
        <v>4275</v>
      </c>
      <c r="H420" s="1">
        <f>IFERROR(VLOOKUP(B420,Petróleo!L:M,2,FALSE),"")</f>
        <v>1258</v>
      </c>
      <c r="I420" s="1">
        <f>IFERROR(VLOOKUP(B420,Petróleo!N:O,2,FALSE),"")</f>
        <v>1475.2850000000001</v>
      </c>
      <c r="J420" s="1">
        <f>IFERROR(VLOOKUP(B420,Petróleo!P:Q,2,FALSE),"")</f>
        <v>9784.4240000000009</v>
      </c>
      <c r="K420" s="1">
        <f>IFERROR(VLOOKUP(B420,Petróleo!R:S,2,FALSE),"")</f>
        <v>850</v>
      </c>
      <c r="L420" s="1">
        <f>IFERROR(VLOOKUP(B420,Petróleo!T:U,2,FALSE),"")</f>
        <v>4197</v>
      </c>
      <c r="M420" s="8">
        <f>IFERROR(VLOOKUP(B420,Petróleo!X:Y,2,FALSE),"")</f>
        <v>27370</v>
      </c>
      <c r="N420" s="8">
        <f>IFERROR(VLOOKUP(B420,Petróleo!Z:AA,2,FALSE),"")</f>
        <v>8950</v>
      </c>
      <c r="O420" s="8">
        <f>IFERROR(VLOOKUP(B420,Petróleo!AB:AC,2,FALSE),"")</f>
        <v>3500</v>
      </c>
      <c r="P420" s="8">
        <f>IFERROR(VLOOKUP(B420,Petróleo!AD:AE,2,FALSE),"")</f>
        <v>3360</v>
      </c>
      <c r="Q420" s="8">
        <f>IFERROR(VLOOKUP(B420,Petróleo!AF:AG,2,FALSE),"")</f>
        <v>4120</v>
      </c>
      <c r="R420" s="8">
        <f>IFERROR(VLOOKUP(B420,Petróleo!AH:AI,2,FALSE),"")</f>
        <v>1190</v>
      </c>
      <c r="S420" s="8">
        <f>IFERROR(VLOOKUP(B420,Petróleo!AJ:AK,2,FALSE),"")</f>
        <v>1470</v>
      </c>
      <c r="T420" s="8">
        <f>IFERROR(VLOOKUP(B420,Petróleo!AL:AM,2,FALSE),"")</f>
        <v>880</v>
      </c>
      <c r="U420" s="8">
        <f>IFERROR(VLOOKUP(B420,Petróleo!AN:AO,2,FALSE),"")</f>
        <v>2470</v>
      </c>
      <c r="V420" s="10">
        <f>IFERROR(VLOOKUP(A420,Petróleo!AR:AT,3,FALSE),"")</f>
        <v>72.94</v>
      </c>
    </row>
    <row r="421" spans="1:22" x14ac:dyDescent="0.25">
      <c r="A421" s="9" t="str">
        <f t="shared" si="6"/>
        <v>122024</v>
      </c>
      <c r="B421" s="9">
        <f t="shared" si="7"/>
        <v>45657</v>
      </c>
      <c r="C421" s="1">
        <f>IFERROR(VLOOKUP(B421,Petróleo!A:B,2,FALSE),"")</f>
        <v>13437</v>
      </c>
      <c r="E421" s="1">
        <f>IFERROR(VLOOKUP(B421,Petróleo!F:G,2,FALSE),"")</f>
        <v>9109.5110000000004</v>
      </c>
      <c r="F421" s="1">
        <f>IFERROR(VLOOKUP(B421,Petróleo!H:I,2,FALSE),"")</f>
        <v>4068</v>
      </c>
      <c r="G421" s="1">
        <f>IFERROR(VLOOKUP(B421,Petróleo!J:K,2,FALSE),"")</f>
        <v>4245</v>
      </c>
      <c r="H421" s="1">
        <f>IFERROR(VLOOKUP(B421,Petróleo!L:M,2,FALSE),"")</f>
        <v>1328</v>
      </c>
      <c r="I421" s="1">
        <f>IFERROR(VLOOKUP(B421,Petróleo!N:O,2,FALSE),"")</f>
        <v>1554.5889999999999</v>
      </c>
      <c r="J421" s="1">
        <f>IFERROR(VLOOKUP(B421,Petróleo!P:Q,2,FALSE),"")</f>
        <v>9804.7639999999992</v>
      </c>
      <c r="K421" s="1">
        <f>IFERROR(VLOOKUP(B421,Petróleo!R:S,2,FALSE),"")</f>
        <v>890</v>
      </c>
      <c r="L421" s="1">
        <f>IFERROR(VLOOKUP(B421,Petróleo!T:U,2,FALSE),"")</f>
        <v>4216</v>
      </c>
      <c r="M421" s="8">
        <f>IFERROR(VLOOKUP(B421,Petróleo!X:Y,2,FALSE),"")</f>
        <v>27050</v>
      </c>
      <c r="N421" s="8">
        <f>IFERROR(VLOOKUP(B421,Petróleo!Z:AA,2,FALSE),"")</f>
        <v>8950</v>
      </c>
      <c r="O421" s="8">
        <f>IFERROR(VLOOKUP(B421,Petróleo!AB:AC,2,FALSE),"")</f>
        <v>3200</v>
      </c>
      <c r="P421" s="8">
        <f>IFERROR(VLOOKUP(B421,Petróleo!AD:AE,2,FALSE),"")</f>
        <v>3320</v>
      </c>
      <c r="Q421" s="8">
        <f>IFERROR(VLOOKUP(B421,Petróleo!AF:AG,2,FALSE),"")</f>
        <v>4120</v>
      </c>
      <c r="R421" s="8">
        <f>IFERROR(VLOOKUP(B421,Petróleo!AH:AI,2,FALSE),"")</f>
        <v>1230</v>
      </c>
      <c r="S421" s="8">
        <f>IFERROR(VLOOKUP(B421,Petróleo!AJ:AK,2,FALSE),"")</f>
        <v>1510</v>
      </c>
      <c r="T421" s="8">
        <f>IFERROR(VLOOKUP(B421,Petróleo!AL:AM,2,FALSE),"")</f>
        <v>850</v>
      </c>
      <c r="U421" s="8">
        <f>IFERROR(VLOOKUP(B421,Petróleo!AN:AO,2,FALSE),"")</f>
        <v>2430</v>
      </c>
      <c r="V421" s="10">
        <f>IFERROR(VLOOKUP(A421,Petróleo!AR:AT,3,FALSE),"")</f>
        <v>74.64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Petróleo</vt:lpstr>
      <vt:lpstr>Estoque_US</vt:lpstr>
      <vt:lpstr>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consultoria</dc:creator>
  <cp:lastModifiedBy>Consultoria P&amp;S Associados</cp:lastModifiedBy>
  <dcterms:created xsi:type="dcterms:W3CDTF">2023-10-04T16:48:19Z</dcterms:created>
  <dcterms:modified xsi:type="dcterms:W3CDTF">2026-04-30T05:01:50Z</dcterms:modified>
</cp:coreProperties>
</file>