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92.168.235.41\acpastore\Atualização\Atividade\Banco Central\"/>
    </mc:Choice>
  </mc:AlternateContent>
  <xr:revisionPtr revIDLastSave="0" documentId="13_ncr:1_{BDEDB5A9-C215-4363-ABD5-933EC83472E7}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Plan1" sheetId="1" r:id="rId1"/>
    <sheet name="abertura" sheetId="5" r:id="rId2"/>
    <sheet name="Tabel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7" i="1" l="1"/>
  <c r="A446" i="1"/>
  <c r="A444" i="1"/>
  <c r="A445" i="1" s="1"/>
  <c r="A443" i="1"/>
  <c r="A442" i="1"/>
  <c r="A441" i="1"/>
  <c r="A440" i="1"/>
  <c r="A438" i="1"/>
  <c r="A439" i="1" s="1"/>
  <c r="A437" i="1"/>
  <c r="D4" i="6" a="1"/>
  <c r="D4" i="6" s="1"/>
  <c r="O8" i="6" l="1"/>
  <c r="O7" i="6" l="1"/>
  <c r="O9" i="6"/>
  <c r="O6" i="6"/>
  <c r="O10" i="6"/>
  <c r="N10" i="6"/>
  <c r="D8" i="6"/>
  <c r="I7" i="6"/>
  <c r="N6" i="6"/>
  <c r="D9" i="6"/>
  <c r="I8" i="6"/>
  <c r="N7" i="6"/>
  <c r="D10" i="6"/>
  <c r="I9" i="6"/>
  <c r="N8" i="6"/>
  <c r="D6" i="6"/>
  <c r="I10" i="6"/>
  <c r="N9" i="6"/>
  <c r="D7" i="6"/>
  <c r="I6" i="6"/>
  <c r="D1" i="6"/>
  <c r="I4" i="6"/>
  <c r="E4" i="6"/>
  <c r="Q3" i="6"/>
  <c r="Q2" i="6" s="1"/>
  <c r="Q1" i="6" s="1"/>
  <c r="A43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D5" i="6" l="1"/>
  <c r="I5" i="6"/>
  <c r="O5" i="6"/>
  <c r="E5" i="6"/>
  <c r="J5" i="6"/>
  <c r="N5" i="6"/>
  <c r="E9" i="6"/>
  <c r="J8" i="6"/>
  <c r="E10" i="6"/>
  <c r="J9" i="6"/>
  <c r="E6" i="6"/>
  <c r="J10" i="6"/>
  <c r="E7" i="6"/>
  <c r="J6" i="6"/>
  <c r="E8" i="6"/>
  <c r="J7" i="6"/>
  <c r="J4" i="6"/>
  <c r="F4" i="6"/>
  <c r="F5" i="6" l="1"/>
  <c r="K5" i="6"/>
  <c r="F10" i="6"/>
  <c r="K9" i="6"/>
  <c r="F6" i="6"/>
  <c r="K10" i="6"/>
  <c r="F7" i="6"/>
  <c r="K6" i="6"/>
  <c r="F8" i="6"/>
  <c r="K7" i="6"/>
  <c r="F9" i="6"/>
  <c r="K8" i="6"/>
  <c r="K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<sst xmlns="http://schemas.openxmlformats.org/spreadsheetml/2006/main" count="37" uniqueCount="25">
  <si>
    <t>INDICE</t>
  </si>
  <si>
    <t>INDICE_SA</t>
  </si>
  <si>
    <t>DATA</t>
  </si>
  <si>
    <t>ibc_agropecuaria</t>
  </si>
  <si>
    <t>ibc_agropecuaria_sa</t>
  </si>
  <si>
    <t>ibc_industria</t>
  </si>
  <si>
    <t>ibc_industria_sa</t>
  </si>
  <si>
    <t>ibc_servicos</t>
  </si>
  <si>
    <t>ibc_servicos_sa</t>
  </si>
  <si>
    <t>ibc_ex_agro</t>
  </si>
  <si>
    <t>ibc_ex_agro_sa</t>
  </si>
  <si>
    <t>ibc_impostos</t>
  </si>
  <si>
    <t>ibc_impostos_sa</t>
  </si>
  <si>
    <t>*Trim: tri móvel até mês ref. vs tri móvel até 3 meses antes; **12m: 12m até mês ref. vs mesmo período ano ant.</t>
  </si>
  <si>
    <t>Total ex-Agropecuária</t>
  </si>
  <si>
    <t>Impostos</t>
  </si>
  <si>
    <t>Serviços</t>
  </si>
  <si>
    <t>Indústria</t>
  </si>
  <si>
    <t>Agropecuária</t>
  </si>
  <si>
    <t>IBC-Br</t>
  </si>
  <si>
    <t>12m**</t>
  </si>
  <si>
    <t>trim*</t>
  </si>
  <si>
    <t>variação</t>
  </si>
  <si>
    <t>média móvel (3 meses)</t>
  </si>
  <si>
    <t>dessazonalizado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</si>
</sst>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name val="Segoe UI"/>
      <family val="2"/>
    </font>
    <font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1"/>
      <color theme="1"/>
      <name val="Georgia"/>
      <family val="1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8"/>
      <color theme="1"/>
      <name val="Segoe U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4B8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theme="1" tint="0.499984740745262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1" tint="0.499984740745262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17" applyNumberFormat="0" applyAlignment="0" applyProtection="0"/>
    <xf numFmtId="0" fontId="21" fillId="8" borderId="18" applyNumberFormat="0" applyAlignment="0" applyProtection="0"/>
    <xf numFmtId="0" fontId="22" fillId="8" borderId="17" applyNumberFormat="0" applyAlignment="0" applyProtection="0"/>
    <xf numFmtId="0" fontId="23" fillId="0" borderId="19" applyNumberFormat="0" applyFill="0" applyAlignment="0" applyProtection="0"/>
    <xf numFmtId="0" fontId="24" fillId="9" borderId="20" applyNumberFormat="0" applyAlignment="0" applyProtection="0"/>
    <xf numFmtId="0" fontId="25" fillId="0" borderId="0" applyNumberFormat="0" applyFill="0" applyBorder="0" applyAlignment="0" applyProtection="0"/>
    <xf numFmtId="0" fontId="2" fillId="10" borderId="21" applyNumberFormat="0" applyFont="0" applyAlignment="0" applyProtection="0"/>
    <xf numFmtId="0" fontId="26" fillId="0" borderId="0" applyNumberFormat="0" applyFill="0" applyBorder="0" applyAlignment="0" applyProtection="0"/>
    <xf numFmtId="0" fontId="1" fillId="0" borderId="22" applyNumberFormat="0" applyFill="0" applyAlignment="0" applyProtection="0"/>
    <xf numFmtId="0" fontId="2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</cellStyleXfs>
  <cellXfs count="39">
    <xf numFmtId="0" fontId="0" fillId="0" borderId="0" xfId="0"/>
    <xf numFmtId="17" fontId="1" fillId="0" borderId="0" xfId="0" applyNumberFormat="1" applyFont="1"/>
    <xf numFmtId="164" fontId="0" fillId="0" borderId="0" xfId="1" applyNumberFormat="1" applyFont="1"/>
    <xf numFmtId="9" fontId="0" fillId="0" borderId="0" xfId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7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4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165" fontId="8" fillId="2" borderId="5" xfId="0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>
      <alignment horizontal="center" vertical="center"/>
    </xf>
    <xf numFmtId="4" fontId="8" fillId="2" borderId="6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indent="1"/>
    </xf>
    <xf numFmtId="0" fontId="9" fillId="0" borderId="0" xfId="0" applyFont="1" applyAlignment="1">
      <alignment vertical="center"/>
    </xf>
    <xf numFmtId="165" fontId="10" fillId="3" borderId="9" xfId="0" applyNumberFormat="1" applyFont="1" applyFill="1" applyBorder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4" fontId="10" fillId="3" borderId="10" xfId="0" applyNumberFormat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vertical="center"/>
    </xf>
    <xf numFmtId="3" fontId="5" fillId="0" borderId="0" xfId="0" applyNumberFormat="1" applyFont="1" applyAlignment="1">
      <alignment horizontal="center" vertical="center"/>
    </xf>
    <xf numFmtId="17" fontId="5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" fontId="3" fillId="0" borderId="0" xfId="0" applyNumberFormat="1" applyFont="1"/>
    <xf numFmtId="0" fontId="5" fillId="0" borderId="13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14" fontId="3" fillId="0" borderId="0" xfId="0" applyNumberFormat="1" applyFont="1"/>
    <xf numFmtId="17" fontId="12" fillId="0" borderId="0" xfId="0" applyNumberFormat="1" applyFont="1" applyAlignment="1">
      <alignment horizontal="left"/>
    </xf>
    <xf numFmtId="17" fontId="4" fillId="0" borderId="0" xfId="0" applyNumberFormat="1" applyFont="1" applyAlignment="1">
      <alignment horizontal="center"/>
    </xf>
    <xf numFmtId="0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I449"/>
  <sheetViews>
    <sheetView workbookViewId="0">
      <pane xSplit="1" ySplit="1" topLeftCell="B426" activePane="bottomRight" state="frozen"/>
      <selection pane="topRight" activeCell="B1" sqref="B1"/>
      <selection pane="bottomLeft" activeCell="A2" sqref="A2"/>
      <selection pane="bottomRight" activeCell="A446" sqref="A446:A447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hidden="1" x14ac:dyDescent="0.25">
      <c r="A2" s="1">
        <v>32509</v>
      </c>
    </row>
    <row r="3" spans="1:3" hidden="1" x14ac:dyDescent="0.25">
      <c r="A3" s="1">
        <v>32540</v>
      </c>
    </row>
    <row r="4" spans="1:3" hidden="1" x14ac:dyDescent="0.25">
      <c r="A4" s="1">
        <v>32568</v>
      </c>
    </row>
    <row r="5" spans="1:3" hidden="1" x14ac:dyDescent="0.25">
      <c r="A5" s="1">
        <v>32599</v>
      </c>
    </row>
    <row r="6" spans="1:3" hidden="1" x14ac:dyDescent="0.25">
      <c r="A6" s="1">
        <v>32629</v>
      </c>
    </row>
    <row r="7" spans="1:3" hidden="1" x14ac:dyDescent="0.25">
      <c r="A7" s="1">
        <v>32660</v>
      </c>
    </row>
    <row r="8" spans="1:3" hidden="1" x14ac:dyDescent="0.25">
      <c r="A8" s="1">
        <v>32690</v>
      </c>
    </row>
    <row r="9" spans="1:3" hidden="1" x14ac:dyDescent="0.25">
      <c r="A9" s="1">
        <v>32721</v>
      </c>
    </row>
    <row r="10" spans="1:3" hidden="1" x14ac:dyDescent="0.25">
      <c r="A10" s="1">
        <v>32752</v>
      </c>
    </row>
    <row r="11" spans="1:3" hidden="1" x14ac:dyDescent="0.25">
      <c r="A11" s="1">
        <v>32782</v>
      </c>
    </row>
    <row r="12" spans="1:3" hidden="1" x14ac:dyDescent="0.25">
      <c r="A12" s="1">
        <v>32813</v>
      </c>
    </row>
    <row r="13" spans="1:3" hidden="1" x14ac:dyDescent="0.25">
      <c r="A13" s="1">
        <v>32843</v>
      </c>
    </row>
    <row r="14" spans="1:3" hidden="1" x14ac:dyDescent="0.25">
      <c r="A14" s="1">
        <v>32874</v>
      </c>
    </row>
    <row r="15" spans="1:3" hidden="1" x14ac:dyDescent="0.25">
      <c r="A15" s="1">
        <v>32905</v>
      </c>
    </row>
    <row r="16" spans="1:3" hidden="1" x14ac:dyDescent="0.25">
      <c r="A16" s="1">
        <v>32933</v>
      </c>
    </row>
    <row r="17" spans="1:1" hidden="1" x14ac:dyDescent="0.25">
      <c r="A17" s="1">
        <v>32964</v>
      </c>
    </row>
    <row r="18" spans="1:1" hidden="1" x14ac:dyDescent="0.25">
      <c r="A18" s="1">
        <v>32994</v>
      </c>
    </row>
    <row r="19" spans="1:1" hidden="1" x14ac:dyDescent="0.25">
      <c r="A19" s="1">
        <v>33025</v>
      </c>
    </row>
    <row r="20" spans="1:1" hidden="1" x14ac:dyDescent="0.25">
      <c r="A20" s="1">
        <v>33055</v>
      </c>
    </row>
    <row r="21" spans="1:1" hidden="1" x14ac:dyDescent="0.25">
      <c r="A21" s="1">
        <v>33086</v>
      </c>
    </row>
    <row r="22" spans="1:1" hidden="1" x14ac:dyDescent="0.25">
      <c r="A22" s="1">
        <v>33117</v>
      </c>
    </row>
    <row r="23" spans="1:1" hidden="1" x14ac:dyDescent="0.25">
      <c r="A23" s="1">
        <v>33147</v>
      </c>
    </row>
    <row r="24" spans="1:1" hidden="1" x14ac:dyDescent="0.25">
      <c r="A24" s="1">
        <v>33178</v>
      </c>
    </row>
    <row r="25" spans="1:1" hidden="1" x14ac:dyDescent="0.25">
      <c r="A25" s="1">
        <v>33208</v>
      </c>
    </row>
    <row r="26" spans="1:1" hidden="1" x14ac:dyDescent="0.25">
      <c r="A26" s="1">
        <v>33239</v>
      </c>
    </row>
    <row r="27" spans="1:1" hidden="1" x14ac:dyDescent="0.25">
      <c r="A27" s="1">
        <v>33270</v>
      </c>
    </row>
    <row r="28" spans="1:1" hidden="1" x14ac:dyDescent="0.25">
      <c r="A28" s="1">
        <v>33298</v>
      </c>
    </row>
    <row r="29" spans="1:1" hidden="1" x14ac:dyDescent="0.25">
      <c r="A29" s="1">
        <v>33329</v>
      </c>
    </row>
    <row r="30" spans="1:1" hidden="1" x14ac:dyDescent="0.25">
      <c r="A30" s="1">
        <v>33359</v>
      </c>
    </row>
    <row r="31" spans="1:1" hidden="1" x14ac:dyDescent="0.25">
      <c r="A31" s="1">
        <v>33390</v>
      </c>
    </row>
    <row r="32" spans="1:1" hidden="1" x14ac:dyDescent="0.25">
      <c r="A32" s="1">
        <v>33420</v>
      </c>
    </row>
    <row r="33" spans="1:1" hidden="1" x14ac:dyDescent="0.25">
      <c r="A33" s="1">
        <v>33451</v>
      </c>
    </row>
    <row r="34" spans="1:1" hidden="1" x14ac:dyDescent="0.25">
      <c r="A34" s="1">
        <v>33482</v>
      </c>
    </row>
    <row r="35" spans="1:1" hidden="1" x14ac:dyDescent="0.25">
      <c r="A35" s="1">
        <v>33512</v>
      </c>
    </row>
    <row r="36" spans="1:1" hidden="1" x14ac:dyDescent="0.25">
      <c r="A36" s="1">
        <v>33543</v>
      </c>
    </row>
    <row r="37" spans="1:1" hidden="1" x14ac:dyDescent="0.25">
      <c r="A37" s="1">
        <v>33573</v>
      </c>
    </row>
    <row r="38" spans="1:1" hidden="1" x14ac:dyDescent="0.25">
      <c r="A38" s="1">
        <v>33604</v>
      </c>
    </row>
    <row r="39" spans="1:1" hidden="1" x14ac:dyDescent="0.25">
      <c r="A39" s="1">
        <v>33635</v>
      </c>
    </row>
    <row r="40" spans="1:1" hidden="1" x14ac:dyDescent="0.25">
      <c r="A40" s="1">
        <v>33664</v>
      </c>
    </row>
    <row r="41" spans="1:1" hidden="1" x14ac:dyDescent="0.25">
      <c r="A41" s="1">
        <v>33695</v>
      </c>
    </row>
    <row r="42" spans="1:1" hidden="1" x14ac:dyDescent="0.25">
      <c r="A42" s="1">
        <v>33725</v>
      </c>
    </row>
    <row r="43" spans="1:1" hidden="1" x14ac:dyDescent="0.25">
      <c r="A43" s="1">
        <v>33756</v>
      </c>
    </row>
    <row r="44" spans="1:1" hidden="1" x14ac:dyDescent="0.25">
      <c r="A44" s="1">
        <v>33786</v>
      </c>
    </row>
    <row r="45" spans="1:1" hidden="1" x14ac:dyDescent="0.25">
      <c r="A45" s="1">
        <v>33817</v>
      </c>
    </row>
    <row r="46" spans="1:1" hidden="1" x14ac:dyDescent="0.25">
      <c r="A46" s="1">
        <v>33848</v>
      </c>
    </row>
    <row r="47" spans="1:1" hidden="1" x14ac:dyDescent="0.25">
      <c r="A47" s="1">
        <v>33878</v>
      </c>
    </row>
    <row r="48" spans="1:1" hidden="1" x14ac:dyDescent="0.25">
      <c r="A48" s="1">
        <v>33909</v>
      </c>
    </row>
    <row r="49" spans="1:1" hidden="1" x14ac:dyDescent="0.25">
      <c r="A49" s="1">
        <v>33939</v>
      </c>
    </row>
    <row r="50" spans="1:1" hidden="1" x14ac:dyDescent="0.25">
      <c r="A50" s="1">
        <v>33970</v>
      </c>
    </row>
    <row r="51" spans="1:1" hidden="1" x14ac:dyDescent="0.25">
      <c r="A51" s="1">
        <v>34001</v>
      </c>
    </row>
    <row r="52" spans="1:1" hidden="1" x14ac:dyDescent="0.25">
      <c r="A52" s="1">
        <v>34029</v>
      </c>
    </row>
    <row r="53" spans="1:1" hidden="1" x14ac:dyDescent="0.25">
      <c r="A53" s="1">
        <v>34060</v>
      </c>
    </row>
    <row r="54" spans="1:1" hidden="1" x14ac:dyDescent="0.25">
      <c r="A54" s="1">
        <v>34090</v>
      </c>
    </row>
    <row r="55" spans="1:1" hidden="1" x14ac:dyDescent="0.25">
      <c r="A55" s="1">
        <v>34121</v>
      </c>
    </row>
    <row r="56" spans="1:1" hidden="1" x14ac:dyDescent="0.25">
      <c r="A56" s="1">
        <v>34151</v>
      </c>
    </row>
    <row r="57" spans="1:1" hidden="1" x14ac:dyDescent="0.25">
      <c r="A57" s="1">
        <v>34182</v>
      </c>
    </row>
    <row r="58" spans="1:1" hidden="1" x14ac:dyDescent="0.25">
      <c r="A58" s="1">
        <v>34213</v>
      </c>
    </row>
    <row r="59" spans="1:1" hidden="1" x14ac:dyDescent="0.25">
      <c r="A59" s="1">
        <v>34243</v>
      </c>
    </row>
    <row r="60" spans="1:1" hidden="1" x14ac:dyDescent="0.25">
      <c r="A60" s="1">
        <v>34274</v>
      </c>
    </row>
    <row r="61" spans="1:1" hidden="1" x14ac:dyDescent="0.25">
      <c r="A61" s="1">
        <v>34304</v>
      </c>
    </row>
    <row r="62" spans="1:1" hidden="1" x14ac:dyDescent="0.25">
      <c r="A62" s="1">
        <v>34335</v>
      </c>
    </row>
    <row r="63" spans="1:1" hidden="1" x14ac:dyDescent="0.25">
      <c r="A63" s="1">
        <v>34366</v>
      </c>
    </row>
    <row r="64" spans="1:1" hidden="1" x14ac:dyDescent="0.25">
      <c r="A64" s="1">
        <v>34394</v>
      </c>
    </row>
    <row r="65" spans="1:1" hidden="1" x14ac:dyDescent="0.25">
      <c r="A65" s="1">
        <v>34425</v>
      </c>
    </row>
    <row r="66" spans="1:1" hidden="1" x14ac:dyDescent="0.25">
      <c r="A66" s="1">
        <v>34455</v>
      </c>
    </row>
    <row r="67" spans="1:1" hidden="1" x14ac:dyDescent="0.25">
      <c r="A67" s="1">
        <v>34486</v>
      </c>
    </row>
    <row r="68" spans="1:1" hidden="1" x14ac:dyDescent="0.25">
      <c r="A68" s="1">
        <v>34516</v>
      </c>
    </row>
    <row r="69" spans="1:1" hidden="1" x14ac:dyDescent="0.25">
      <c r="A69" s="1">
        <v>34547</v>
      </c>
    </row>
    <row r="70" spans="1:1" hidden="1" x14ac:dyDescent="0.25">
      <c r="A70" s="1">
        <v>34578</v>
      </c>
    </row>
    <row r="71" spans="1:1" hidden="1" x14ac:dyDescent="0.25">
      <c r="A71" s="1">
        <v>34608</v>
      </c>
    </row>
    <row r="72" spans="1:1" hidden="1" x14ac:dyDescent="0.25">
      <c r="A72" s="1">
        <v>34639</v>
      </c>
    </row>
    <row r="73" spans="1:1" hidden="1" x14ac:dyDescent="0.25">
      <c r="A73" s="1">
        <v>34669</v>
      </c>
    </row>
    <row r="74" spans="1:1" hidden="1" x14ac:dyDescent="0.25">
      <c r="A74" s="1">
        <v>34700</v>
      </c>
    </row>
    <row r="75" spans="1:1" hidden="1" x14ac:dyDescent="0.25">
      <c r="A75" s="1">
        <v>34731</v>
      </c>
    </row>
    <row r="76" spans="1:1" hidden="1" x14ac:dyDescent="0.25">
      <c r="A76" s="1">
        <v>34759</v>
      </c>
    </row>
    <row r="77" spans="1:1" hidden="1" x14ac:dyDescent="0.25">
      <c r="A77" s="1">
        <v>34790</v>
      </c>
    </row>
    <row r="78" spans="1:1" hidden="1" x14ac:dyDescent="0.25">
      <c r="A78" s="1">
        <v>34820</v>
      </c>
    </row>
    <row r="79" spans="1:1" hidden="1" x14ac:dyDescent="0.25">
      <c r="A79" s="1">
        <v>34851</v>
      </c>
    </row>
    <row r="80" spans="1:1" hidden="1" x14ac:dyDescent="0.25">
      <c r="A80" s="1">
        <v>34881</v>
      </c>
    </row>
    <row r="81" spans="1:1" hidden="1" x14ac:dyDescent="0.25">
      <c r="A81" s="1">
        <v>34912</v>
      </c>
    </row>
    <row r="82" spans="1:1" hidden="1" x14ac:dyDescent="0.25">
      <c r="A82" s="1">
        <v>34943</v>
      </c>
    </row>
    <row r="83" spans="1:1" hidden="1" x14ac:dyDescent="0.25">
      <c r="A83" s="1">
        <v>34973</v>
      </c>
    </row>
    <row r="84" spans="1:1" hidden="1" x14ac:dyDescent="0.25">
      <c r="A84" s="1">
        <v>35004</v>
      </c>
    </row>
    <row r="85" spans="1:1" hidden="1" x14ac:dyDescent="0.25">
      <c r="A85" s="1">
        <v>35034</v>
      </c>
    </row>
    <row r="86" spans="1:1" hidden="1" x14ac:dyDescent="0.25">
      <c r="A86" s="1">
        <v>35065</v>
      </c>
    </row>
    <row r="87" spans="1:1" hidden="1" x14ac:dyDescent="0.25">
      <c r="A87" s="1">
        <v>35096</v>
      </c>
    </row>
    <row r="88" spans="1:1" hidden="1" x14ac:dyDescent="0.25">
      <c r="A88" s="1">
        <v>35125</v>
      </c>
    </row>
    <row r="89" spans="1:1" hidden="1" x14ac:dyDescent="0.25">
      <c r="A89" s="1">
        <v>35156</v>
      </c>
    </row>
    <row r="90" spans="1:1" hidden="1" x14ac:dyDescent="0.25">
      <c r="A90" s="1">
        <v>35186</v>
      </c>
    </row>
    <row r="91" spans="1:1" hidden="1" x14ac:dyDescent="0.25">
      <c r="A91" s="1">
        <v>35217</v>
      </c>
    </row>
    <row r="92" spans="1:1" hidden="1" x14ac:dyDescent="0.25">
      <c r="A92" s="1">
        <v>35247</v>
      </c>
    </row>
    <row r="93" spans="1:1" hidden="1" x14ac:dyDescent="0.25">
      <c r="A93" s="1">
        <v>35278</v>
      </c>
    </row>
    <row r="94" spans="1:1" hidden="1" x14ac:dyDescent="0.25">
      <c r="A94" s="1">
        <v>35309</v>
      </c>
    </row>
    <row r="95" spans="1:1" hidden="1" x14ac:dyDescent="0.25">
      <c r="A95" s="1">
        <v>35339</v>
      </c>
    </row>
    <row r="96" spans="1:1" hidden="1" x14ac:dyDescent="0.25">
      <c r="A96" s="1">
        <v>35370</v>
      </c>
    </row>
    <row r="97" spans="1:1" hidden="1" x14ac:dyDescent="0.25">
      <c r="A97" s="1">
        <v>35400</v>
      </c>
    </row>
    <row r="98" spans="1:1" hidden="1" x14ac:dyDescent="0.25">
      <c r="A98" s="1">
        <v>35431</v>
      </c>
    </row>
    <row r="99" spans="1:1" hidden="1" x14ac:dyDescent="0.25">
      <c r="A99" s="1">
        <v>35462</v>
      </c>
    </row>
    <row r="100" spans="1:1" hidden="1" x14ac:dyDescent="0.25">
      <c r="A100" s="1">
        <v>35490</v>
      </c>
    </row>
    <row r="101" spans="1:1" hidden="1" x14ac:dyDescent="0.25">
      <c r="A101" s="1">
        <v>35521</v>
      </c>
    </row>
    <row r="102" spans="1:1" hidden="1" x14ac:dyDescent="0.25">
      <c r="A102" s="1">
        <v>35551</v>
      </c>
    </row>
    <row r="103" spans="1:1" hidden="1" x14ac:dyDescent="0.25">
      <c r="A103" s="1">
        <v>35582</v>
      </c>
    </row>
    <row r="104" spans="1:1" hidden="1" x14ac:dyDescent="0.25">
      <c r="A104" s="1">
        <v>35612</v>
      </c>
    </row>
    <row r="105" spans="1:1" hidden="1" x14ac:dyDescent="0.25">
      <c r="A105" s="1">
        <v>35643</v>
      </c>
    </row>
    <row r="106" spans="1:1" hidden="1" x14ac:dyDescent="0.25">
      <c r="A106" s="1">
        <v>35674</v>
      </c>
    </row>
    <row r="107" spans="1:1" hidden="1" x14ac:dyDescent="0.25">
      <c r="A107" s="1">
        <v>35704</v>
      </c>
    </row>
    <row r="108" spans="1:1" hidden="1" x14ac:dyDescent="0.25">
      <c r="A108" s="1">
        <v>35735</v>
      </c>
    </row>
    <row r="109" spans="1:1" hidden="1" x14ac:dyDescent="0.25">
      <c r="A109" s="1">
        <v>35765</v>
      </c>
    </row>
    <row r="110" spans="1:1" hidden="1" x14ac:dyDescent="0.25">
      <c r="A110" s="1">
        <v>35796</v>
      </c>
    </row>
    <row r="111" spans="1:1" hidden="1" x14ac:dyDescent="0.25">
      <c r="A111" s="1">
        <v>35827</v>
      </c>
    </row>
    <row r="112" spans="1:1" hidden="1" x14ac:dyDescent="0.25">
      <c r="A112" s="1">
        <v>35855</v>
      </c>
    </row>
    <row r="113" spans="1:1" hidden="1" x14ac:dyDescent="0.25">
      <c r="A113" s="1">
        <v>35886</v>
      </c>
    </row>
    <row r="114" spans="1:1" hidden="1" x14ac:dyDescent="0.25">
      <c r="A114" s="1">
        <v>35916</v>
      </c>
    </row>
    <row r="115" spans="1:1" hidden="1" x14ac:dyDescent="0.25">
      <c r="A115" s="1">
        <v>35947</v>
      </c>
    </row>
    <row r="116" spans="1:1" hidden="1" x14ac:dyDescent="0.25">
      <c r="A116" s="1">
        <v>35977</v>
      </c>
    </row>
    <row r="117" spans="1:1" hidden="1" x14ac:dyDescent="0.25">
      <c r="A117" s="1">
        <v>36008</v>
      </c>
    </row>
    <row r="118" spans="1:1" hidden="1" x14ac:dyDescent="0.25">
      <c r="A118" s="1">
        <v>36039</v>
      </c>
    </row>
    <row r="119" spans="1:1" hidden="1" x14ac:dyDescent="0.25">
      <c r="A119" s="1">
        <v>36069</v>
      </c>
    </row>
    <row r="120" spans="1:1" hidden="1" x14ac:dyDescent="0.25">
      <c r="A120" s="1">
        <v>36100</v>
      </c>
    </row>
    <row r="121" spans="1:1" hidden="1" x14ac:dyDescent="0.25">
      <c r="A121" s="1">
        <v>36130</v>
      </c>
    </row>
    <row r="122" spans="1:1" hidden="1" x14ac:dyDescent="0.25">
      <c r="A122" s="1">
        <v>36161</v>
      </c>
    </row>
    <row r="123" spans="1:1" hidden="1" x14ac:dyDescent="0.25">
      <c r="A123" s="1">
        <v>36192</v>
      </c>
    </row>
    <row r="124" spans="1:1" hidden="1" x14ac:dyDescent="0.25">
      <c r="A124" s="1">
        <v>36220</v>
      </c>
    </row>
    <row r="125" spans="1:1" hidden="1" x14ac:dyDescent="0.25">
      <c r="A125" s="1">
        <v>36251</v>
      </c>
    </row>
    <row r="126" spans="1:1" hidden="1" x14ac:dyDescent="0.25">
      <c r="A126" s="1">
        <v>36281</v>
      </c>
    </row>
    <row r="127" spans="1:1" hidden="1" x14ac:dyDescent="0.25">
      <c r="A127" s="1">
        <v>36312</v>
      </c>
    </row>
    <row r="128" spans="1:1" hidden="1" x14ac:dyDescent="0.25">
      <c r="A128" s="1">
        <v>36342</v>
      </c>
    </row>
    <row r="129" spans="1:1" hidden="1" x14ac:dyDescent="0.25">
      <c r="A129" s="1">
        <v>36373</v>
      </c>
    </row>
    <row r="130" spans="1:1" hidden="1" x14ac:dyDescent="0.25">
      <c r="A130" s="1">
        <v>36404</v>
      </c>
    </row>
    <row r="131" spans="1:1" hidden="1" x14ac:dyDescent="0.25">
      <c r="A131" s="1">
        <v>36434</v>
      </c>
    </row>
    <row r="132" spans="1:1" hidden="1" x14ac:dyDescent="0.25">
      <c r="A132" s="1">
        <v>36465</v>
      </c>
    </row>
    <row r="133" spans="1:1" hidden="1" x14ac:dyDescent="0.25">
      <c r="A133" s="1">
        <v>36495</v>
      </c>
    </row>
    <row r="134" spans="1:1" hidden="1" x14ac:dyDescent="0.25">
      <c r="A134" s="1">
        <v>36526</v>
      </c>
    </row>
    <row r="135" spans="1:1" hidden="1" x14ac:dyDescent="0.25">
      <c r="A135" s="1">
        <v>36557</v>
      </c>
    </row>
    <row r="136" spans="1:1" hidden="1" x14ac:dyDescent="0.25">
      <c r="A136" s="1">
        <v>36586</v>
      </c>
    </row>
    <row r="137" spans="1:1" hidden="1" x14ac:dyDescent="0.25">
      <c r="A137" s="1">
        <v>36617</v>
      </c>
    </row>
    <row r="138" spans="1:1" hidden="1" x14ac:dyDescent="0.25">
      <c r="A138" s="1">
        <v>36647</v>
      </c>
    </row>
    <row r="139" spans="1:1" hidden="1" x14ac:dyDescent="0.25">
      <c r="A139" s="1">
        <v>36678</v>
      </c>
    </row>
    <row r="140" spans="1:1" hidden="1" x14ac:dyDescent="0.25">
      <c r="A140" s="1">
        <v>36708</v>
      </c>
    </row>
    <row r="141" spans="1:1" hidden="1" x14ac:dyDescent="0.25">
      <c r="A141" s="1">
        <v>36739</v>
      </c>
    </row>
    <row r="142" spans="1:1" hidden="1" x14ac:dyDescent="0.25">
      <c r="A142" s="1">
        <v>36770</v>
      </c>
    </row>
    <row r="143" spans="1:1" hidden="1" x14ac:dyDescent="0.25">
      <c r="A143" s="1">
        <v>36800</v>
      </c>
    </row>
    <row r="144" spans="1:1" hidden="1" x14ac:dyDescent="0.25">
      <c r="A144" s="1">
        <v>36831</v>
      </c>
    </row>
    <row r="145" spans="1:1" hidden="1" x14ac:dyDescent="0.25">
      <c r="A145" s="1">
        <v>36861</v>
      </c>
    </row>
    <row r="146" spans="1:1" hidden="1" x14ac:dyDescent="0.25">
      <c r="A146" s="1">
        <v>36892</v>
      </c>
    </row>
    <row r="147" spans="1:1" hidden="1" x14ac:dyDescent="0.25">
      <c r="A147" s="1">
        <v>36923</v>
      </c>
    </row>
    <row r="148" spans="1:1" hidden="1" x14ac:dyDescent="0.25">
      <c r="A148" s="1">
        <v>36951</v>
      </c>
    </row>
    <row r="149" spans="1:1" hidden="1" x14ac:dyDescent="0.25">
      <c r="A149" s="1">
        <v>36982</v>
      </c>
    </row>
    <row r="150" spans="1:1" hidden="1" x14ac:dyDescent="0.25">
      <c r="A150" s="1">
        <v>37012</v>
      </c>
    </row>
    <row r="151" spans="1:1" hidden="1" x14ac:dyDescent="0.25">
      <c r="A151" s="1">
        <v>37043</v>
      </c>
    </row>
    <row r="152" spans="1:1" hidden="1" x14ac:dyDescent="0.25">
      <c r="A152" s="1">
        <v>37073</v>
      </c>
    </row>
    <row r="153" spans="1:1" hidden="1" x14ac:dyDescent="0.25">
      <c r="A153" s="1">
        <v>37104</v>
      </c>
    </row>
    <row r="154" spans="1:1" hidden="1" x14ac:dyDescent="0.25">
      <c r="A154" s="1">
        <v>37135</v>
      </c>
    </row>
    <row r="155" spans="1:1" hidden="1" x14ac:dyDescent="0.25">
      <c r="A155" s="1">
        <v>37165</v>
      </c>
    </row>
    <row r="156" spans="1:1" hidden="1" x14ac:dyDescent="0.25">
      <c r="A156" s="1">
        <v>37196</v>
      </c>
    </row>
    <row r="157" spans="1:1" hidden="1" x14ac:dyDescent="0.25">
      <c r="A157" s="1">
        <v>37226</v>
      </c>
    </row>
    <row r="158" spans="1:1" hidden="1" x14ac:dyDescent="0.25">
      <c r="A158" s="1">
        <v>37257</v>
      </c>
    </row>
    <row r="159" spans="1:1" hidden="1" x14ac:dyDescent="0.25">
      <c r="A159" s="1">
        <v>37288</v>
      </c>
    </row>
    <row r="160" spans="1:1" hidden="1" x14ac:dyDescent="0.25">
      <c r="A160" s="1">
        <v>37316</v>
      </c>
    </row>
    <row r="161" spans="1:3" hidden="1" x14ac:dyDescent="0.25">
      <c r="A161" s="1">
        <v>37347</v>
      </c>
    </row>
    <row r="162" spans="1:3" hidden="1" x14ac:dyDescent="0.25">
      <c r="A162" s="1">
        <v>37377</v>
      </c>
    </row>
    <row r="163" spans="1:3" hidden="1" x14ac:dyDescent="0.25">
      <c r="A163" s="1">
        <v>37408</v>
      </c>
    </row>
    <row r="164" spans="1:3" hidden="1" x14ac:dyDescent="0.25">
      <c r="A164" s="1">
        <v>37438</v>
      </c>
    </row>
    <row r="165" spans="1:3" hidden="1" x14ac:dyDescent="0.25">
      <c r="A165" s="1">
        <v>37469</v>
      </c>
    </row>
    <row r="166" spans="1:3" hidden="1" x14ac:dyDescent="0.25">
      <c r="A166" s="1">
        <v>37500</v>
      </c>
    </row>
    <row r="167" spans="1:3" hidden="1" x14ac:dyDescent="0.25">
      <c r="A167" s="1">
        <v>37530</v>
      </c>
    </row>
    <row r="168" spans="1:3" hidden="1" x14ac:dyDescent="0.25">
      <c r="A168" s="1">
        <v>37561</v>
      </c>
    </row>
    <row r="169" spans="1:3" hidden="1" x14ac:dyDescent="0.25">
      <c r="A169" s="1">
        <v>37591</v>
      </c>
    </row>
    <row r="170" spans="1:3" x14ac:dyDescent="0.25">
      <c r="A170" s="1">
        <v>37622</v>
      </c>
      <c r="B170">
        <v>67.092150000000004</v>
      </c>
      <c r="C170">
        <v>70.117230000000006</v>
      </c>
    </row>
    <row r="171" spans="1:3" x14ac:dyDescent="0.25">
      <c r="A171" s="1">
        <f>EOMONTH(A170,1)</f>
        <v>37680</v>
      </c>
      <c r="B171">
        <v>68.845799999999997</v>
      </c>
      <c r="C171">
        <v>71.300330000000002</v>
      </c>
    </row>
    <row r="172" spans="1:3" x14ac:dyDescent="0.25">
      <c r="A172" s="1">
        <f t="shared" ref="A172:A235" si="0">EOMONTH(A171,1)</f>
        <v>37711</v>
      </c>
      <c r="B172">
        <v>72.156350000000003</v>
      </c>
      <c r="C172">
        <v>70.947190000000006</v>
      </c>
    </row>
    <row r="173" spans="1:3" x14ac:dyDescent="0.25">
      <c r="A173" s="1">
        <f t="shared" si="0"/>
        <v>37741</v>
      </c>
      <c r="B173">
        <v>71.300979999999996</v>
      </c>
      <c r="C173">
        <v>70.445740000000001</v>
      </c>
    </row>
    <row r="174" spans="1:3" x14ac:dyDescent="0.25">
      <c r="A174" s="1">
        <f t="shared" si="0"/>
        <v>37772</v>
      </c>
      <c r="B174">
        <v>69.982410000000002</v>
      </c>
      <c r="C174">
        <v>69.747990000000001</v>
      </c>
    </row>
    <row r="175" spans="1:3" x14ac:dyDescent="0.25">
      <c r="A175" s="1">
        <f t="shared" si="0"/>
        <v>37802</v>
      </c>
      <c r="B175">
        <v>68.785790000000006</v>
      </c>
      <c r="C175">
        <v>69.89179</v>
      </c>
    </row>
    <row r="176" spans="1:3" x14ac:dyDescent="0.25">
      <c r="A176" s="1">
        <f t="shared" si="0"/>
        <v>37833</v>
      </c>
      <c r="B176">
        <v>71.906369999999995</v>
      </c>
      <c r="C176">
        <v>69.019800000000004</v>
      </c>
    </row>
    <row r="177" spans="1:3" x14ac:dyDescent="0.25">
      <c r="A177" s="1">
        <f t="shared" si="0"/>
        <v>37864</v>
      </c>
      <c r="B177">
        <v>70.804040000000001</v>
      </c>
      <c r="C177">
        <v>69.578940000000003</v>
      </c>
    </row>
    <row r="178" spans="1:3" x14ac:dyDescent="0.25">
      <c r="A178" s="1">
        <f t="shared" si="0"/>
        <v>37894</v>
      </c>
      <c r="B178">
        <v>71.780559999999994</v>
      </c>
      <c r="C178">
        <v>71.082040000000006</v>
      </c>
    </row>
    <row r="179" spans="1:3" x14ac:dyDescent="0.25">
      <c r="A179" s="1">
        <f t="shared" si="0"/>
        <v>37925</v>
      </c>
      <c r="B179">
        <v>73.304389999999998</v>
      </c>
      <c r="C179">
        <v>71.11</v>
      </c>
    </row>
    <row r="180" spans="1:3" x14ac:dyDescent="0.25">
      <c r="A180" s="1">
        <f t="shared" si="0"/>
        <v>37955</v>
      </c>
      <c r="B180">
        <v>71.13897</v>
      </c>
      <c r="C180">
        <v>71.187960000000004</v>
      </c>
    </row>
    <row r="181" spans="1:3" x14ac:dyDescent="0.25">
      <c r="A181" s="1">
        <f t="shared" si="0"/>
        <v>37986</v>
      </c>
      <c r="B181">
        <v>69.591380000000001</v>
      </c>
      <c r="C181">
        <v>70.982810000000001</v>
      </c>
    </row>
    <row r="182" spans="1:3" x14ac:dyDescent="0.25">
      <c r="A182" s="1">
        <f t="shared" si="0"/>
        <v>38017</v>
      </c>
      <c r="B182">
        <v>68.789529999999999</v>
      </c>
      <c r="C182">
        <v>72.335639999999998</v>
      </c>
    </row>
    <row r="183" spans="1:3" x14ac:dyDescent="0.25">
      <c r="A183" s="1">
        <f t="shared" si="0"/>
        <v>38046</v>
      </c>
      <c r="B183">
        <v>69.393619999999999</v>
      </c>
      <c r="C183">
        <v>73.045339999999996</v>
      </c>
    </row>
    <row r="184" spans="1:3" x14ac:dyDescent="0.25">
      <c r="A184" s="1">
        <f t="shared" si="0"/>
        <v>38077</v>
      </c>
      <c r="B184">
        <v>78.134460000000004</v>
      </c>
      <c r="C184">
        <v>73.857420000000005</v>
      </c>
    </row>
    <row r="185" spans="1:3" x14ac:dyDescent="0.25">
      <c r="A185" s="1">
        <f t="shared" si="0"/>
        <v>38107</v>
      </c>
      <c r="B185">
        <v>74.911929999999998</v>
      </c>
      <c r="C185">
        <v>74.273240000000001</v>
      </c>
    </row>
    <row r="186" spans="1:3" x14ac:dyDescent="0.25">
      <c r="A186" s="1">
        <f t="shared" si="0"/>
        <v>38138</v>
      </c>
      <c r="B186">
        <v>73.98227</v>
      </c>
      <c r="C186">
        <v>74.198369999999997</v>
      </c>
    </row>
    <row r="187" spans="1:3" x14ac:dyDescent="0.25">
      <c r="A187" s="1">
        <f t="shared" si="0"/>
        <v>38168</v>
      </c>
      <c r="B187">
        <v>74.660439999999994</v>
      </c>
      <c r="C187">
        <v>74.804169999999999</v>
      </c>
    </row>
    <row r="188" spans="1:3" x14ac:dyDescent="0.25">
      <c r="A188" s="1">
        <f t="shared" si="0"/>
        <v>38199</v>
      </c>
      <c r="B188">
        <v>77.782169999999994</v>
      </c>
      <c r="C188">
        <v>75.110349999999997</v>
      </c>
    </row>
    <row r="189" spans="1:3" x14ac:dyDescent="0.25">
      <c r="A189" s="1">
        <f t="shared" si="0"/>
        <v>38230</v>
      </c>
      <c r="B189">
        <v>77.209360000000004</v>
      </c>
      <c r="C189">
        <v>75.46369</v>
      </c>
    </row>
    <row r="190" spans="1:3" x14ac:dyDescent="0.25">
      <c r="A190" s="1">
        <f t="shared" si="0"/>
        <v>38260</v>
      </c>
      <c r="B190">
        <v>76.203810000000004</v>
      </c>
      <c r="C190">
        <v>76.252030000000005</v>
      </c>
    </row>
    <row r="191" spans="1:3" x14ac:dyDescent="0.25">
      <c r="A191" s="1">
        <f t="shared" si="0"/>
        <v>38291</v>
      </c>
      <c r="B191">
        <v>75.979159999999993</v>
      </c>
      <c r="C191">
        <v>75.838369999999998</v>
      </c>
    </row>
    <row r="192" spans="1:3" x14ac:dyDescent="0.25">
      <c r="A192" s="1">
        <f t="shared" si="0"/>
        <v>38321</v>
      </c>
      <c r="B192">
        <v>76.464759999999998</v>
      </c>
      <c r="C192">
        <v>76.535889999999995</v>
      </c>
    </row>
    <row r="193" spans="1:3" x14ac:dyDescent="0.25">
      <c r="A193" s="1">
        <f t="shared" si="0"/>
        <v>38352</v>
      </c>
      <c r="B193">
        <v>75.052059999999997</v>
      </c>
      <c r="C193">
        <v>75.945650000000001</v>
      </c>
    </row>
    <row r="194" spans="1:3" x14ac:dyDescent="0.25">
      <c r="A194" s="1">
        <f t="shared" si="0"/>
        <v>38383</v>
      </c>
      <c r="B194">
        <v>72.234549999999999</v>
      </c>
      <c r="C194">
        <v>76.461830000000006</v>
      </c>
    </row>
    <row r="195" spans="1:3" x14ac:dyDescent="0.25">
      <c r="A195" s="1">
        <f t="shared" si="0"/>
        <v>38411</v>
      </c>
      <c r="B195">
        <v>72.569419999999994</v>
      </c>
      <c r="C195">
        <v>76.932199999999995</v>
      </c>
    </row>
    <row r="196" spans="1:3" x14ac:dyDescent="0.25">
      <c r="A196" s="1">
        <f t="shared" si="0"/>
        <v>38442</v>
      </c>
      <c r="B196">
        <v>80.537220000000005</v>
      </c>
      <c r="C196">
        <v>76.999309999999994</v>
      </c>
    </row>
    <row r="197" spans="1:3" x14ac:dyDescent="0.25">
      <c r="A197" s="1">
        <f t="shared" si="0"/>
        <v>38472</v>
      </c>
      <c r="B197">
        <v>78.394040000000004</v>
      </c>
      <c r="C197">
        <v>77.527230000000003</v>
      </c>
    </row>
    <row r="198" spans="1:3" x14ac:dyDescent="0.25">
      <c r="A198" s="1">
        <f t="shared" si="0"/>
        <v>38503</v>
      </c>
      <c r="B198">
        <v>77.353769999999997</v>
      </c>
      <c r="C198">
        <v>77.467429999999993</v>
      </c>
    </row>
    <row r="199" spans="1:3" x14ac:dyDescent="0.25">
      <c r="A199" s="1">
        <f t="shared" si="0"/>
        <v>38533</v>
      </c>
      <c r="B199">
        <v>77.79701</v>
      </c>
      <c r="C199">
        <v>77.04271</v>
      </c>
    </row>
    <row r="200" spans="1:3" x14ac:dyDescent="0.25">
      <c r="A200" s="1">
        <f t="shared" si="0"/>
        <v>38564</v>
      </c>
      <c r="B200">
        <v>78.953059999999994</v>
      </c>
      <c r="C200">
        <v>77.012659999999997</v>
      </c>
    </row>
    <row r="201" spans="1:3" x14ac:dyDescent="0.25">
      <c r="A201" s="1">
        <f t="shared" si="0"/>
        <v>38595</v>
      </c>
      <c r="B201">
        <v>80.347909999999999</v>
      </c>
      <c r="C201">
        <v>77.590900000000005</v>
      </c>
    </row>
    <row r="202" spans="1:3" x14ac:dyDescent="0.25">
      <c r="A202" s="1">
        <f t="shared" si="0"/>
        <v>38625</v>
      </c>
      <c r="B202">
        <v>77.418199999999999</v>
      </c>
      <c r="C202">
        <v>77.387529999999998</v>
      </c>
    </row>
    <row r="203" spans="1:3" x14ac:dyDescent="0.25">
      <c r="A203" s="1">
        <f t="shared" si="0"/>
        <v>38656</v>
      </c>
      <c r="B203">
        <v>77.680760000000006</v>
      </c>
      <c r="C203">
        <v>77.532179999999997</v>
      </c>
    </row>
    <row r="204" spans="1:3" x14ac:dyDescent="0.25">
      <c r="A204" s="1">
        <f t="shared" si="0"/>
        <v>38686</v>
      </c>
      <c r="B204">
        <v>77.962339999999998</v>
      </c>
      <c r="C204">
        <v>78.055880000000002</v>
      </c>
    </row>
    <row r="205" spans="1:3" x14ac:dyDescent="0.25">
      <c r="A205" s="1">
        <f t="shared" si="0"/>
        <v>38717</v>
      </c>
      <c r="B205">
        <v>77.626220000000004</v>
      </c>
      <c r="C205">
        <v>78.643690000000007</v>
      </c>
    </row>
    <row r="206" spans="1:3" x14ac:dyDescent="0.25">
      <c r="A206" s="1">
        <f t="shared" si="0"/>
        <v>38748</v>
      </c>
      <c r="B206">
        <v>75.744110000000006</v>
      </c>
      <c r="C206">
        <v>79.277590000000004</v>
      </c>
    </row>
    <row r="207" spans="1:3" x14ac:dyDescent="0.25">
      <c r="A207" s="1">
        <f t="shared" si="0"/>
        <v>38776</v>
      </c>
      <c r="B207">
        <v>75.216449999999995</v>
      </c>
      <c r="C207">
        <v>79.354339999999993</v>
      </c>
    </row>
    <row r="208" spans="1:3" x14ac:dyDescent="0.25">
      <c r="A208" s="1">
        <f t="shared" si="0"/>
        <v>38807</v>
      </c>
      <c r="B208">
        <v>83.098269999999999</v>
      </c>
      <c r="C208">
        <v>79.202079999999995</v>
      </c>
    </row>
    <row r="209" spans="1:3" x14ac:dyDescent="0.25">
      <c r="A209" s="1">
        <f t="shared" si="0"/>
        <v>38837</v>
      </c>
      <c r="B209">
        <v>78.575749999999999</v>
      </c>
      <c r="C209">
        <v>79.712959999999995</v>
      </c>
    </row>
    <row r="210" spans="1:3" x14ac:dyDescent="0.25">
      <c r="A210" s="1">
        <f t="shared" si="0"/>
        <v>38868</v>
      </c>
      <c r="B210">
        <v>81.770129999999995</v>
      </c>
      <c r="C210">
        <v>80.713980000000006</v>
      </c>
    </row>
    <row r="211" spans="1:3" x14ac:dyDescent="0.25">
      <c r="A211" s="1">
        <f t="shared" si="0"/>
        <v>38898</v>
      </c>
      <c r="B211">
        <v>79.82347</v>
      </c>
      <c r="C211">
        <v>79.870829999999998</v>
      </c>
    </row>
    <row r="212" spans="1:3" x14ac:dyDescent="0.25">
      <c r="A212" s="1">
        <f t="shared" si="0"/>
        <v>38929</v>
      </c>
      <c r="B212">
        <v>83.315799999999996</v>
      </c>
      <c r="C212">
        <v>81.317610000000002</v>
      </c>
    </row>
    <row r="213" spans="1:3" x14ac:dyDescent="0.25">
      <c r="A213" s="1">
        <f t="shared" si="0"/>
        <v>38960</v>
      </c>
      <c r="B213">
        <v>84.472660000000005</v>
      </c>
      <c r="C213">
        <v>81.309399999999997</v>
      </c>
    </row>
    <row r="214" spans="1:3" x14ac:dyDescent="0.25">
      <c r="A214" s="1">
        <f t="shared" si="0"/>
        <v>38990</v>
      </c>
      <c r="B214">
        <v>81.089550000000003</v>
      </c>
      <c r="C214">
        <v>81.496960000000001</v>
      </c>
    </row>
    <row r="215" spans="1:3" x14ac:dyDescent="0.25">
      <c r="A215" s="1">
        <f t="shared" si="0"/>
        <v>39021</v>
      </c>
      <c r="B215">
        <v>83.26276</v>
      </c>
      <c r="C215">
        <v>82.426839999999999</v>
      </c>
    </row>
    <row r="216" spans="1:3" x14ac:dyDescent="0.25">
      <c r="A216" s="1">
        <f t="shared" si="0"/>
        <v>39051</v>
      </c>
      <c r="B216">
        <v>82.803510000000003</v>
      </c>
      <c r="C216">
        <v>82.970320000000001</v>
      </c>
    </row>
    <row r="217" spans="1:3" x14ac:dyDescent="0.25">
      <c r="A217" s="1">
        <f t="shared" si="0"/>
        <v>39082</v>
      </c>
      <c r="B217">
        <v>81.151960000000003</v>
      </c>
      <c r="C217">
        <v>84.010230000000007</v>
      </c>
    </row>
    <row r="218" spans="1:3" x14ac:dyDescent="0.25">
      <c r="A218" s="1">
        <f t="shared" si="0"/>
        <v>39113</v>
      </c>
      <c r="B218">
        <v>80.092479999999995</v>
      </c>
      <c r="C218">
        <v>83.730050000000006</v>
      </c>
    </row>
    <row r="219" spans="1:3" x14ac:dyDescent="0.25">
      <c r="A219" s="1">
        <f t="shared" si="0"/>
        <v>39141</v>
      </c>
      <c r="B219">
        <v>79.074749999999995</v>
      </c>
      <c r="C219">
        <v>83.960509999999999</v>
      </c>
    </row>
    <row r="220" spans="1:3" x14ac:dyDescent="0.25">
      <c r="A220" s="1">
        <f t="shared" si="0"/>
        <v>39172</v>
      </c>
      <c r="B220">
        <v>87.294399999999996</v>
      </c>
      <c r="C220">
        <v>83.389160000000004</v>
      </c>
    </row>
    <row r="221" spans="1:3" x14ac:dyDescent="0.25">
      <c r="A221" s="1">
        <f t="shared" si="0"/>
        <v>39202</v>
      </c>
      <c r="B221">
        <v>83.935500000000005</v>
      </c>
      <c r="C221">
        <v>84.489530000000002</v>
      </c>
    </row>
    <row r="222" spans="1:3" x14ac:dyDescent="0.25">
      <c r="A222" s="1">
        <f t="shared" si="0"/>
        <v>39233</v>
      </c>
      <c r="B222">
        <v>86.452520000000007</v>
      </c>
      <c r="C222">
        <v>85.271109999999993</v>
      </c>
    </row>
    <row r="223" spans="1:3" x14ac:dyDescent="0.25">
      <c r="A223" s="1">
        <f t="shared" si="0"/>
        <v>39263</v>
      </c>
      <c r="B223">
        <v>85.387990000000002</v>
      </c>
      <c r="C223">
        <v>85.905010000000004</v>
      </c>
    </row>
    <row r="224" spans="1:3" x14ac:dyDescent="0.25">
      <c r="A224" s="1">
        <f t="shared" si="0"/>
        <v>39294</v>
      </c>
      <c r="B224">
        <v>89.209029999999998</v>
      </c>
      <c r="C224">
        <v>86.406450000000007</v>
      </c>
    </row>
    <row r="225" spans="1:3" x14ac:dyDescent="0.25">
      <c r="A225" s="1">
        <f t="shared" si="0"/>
        <v>39325</v>
      </c>
      <c r="B225">
        <v>90.046459999999996</v>
      </c>
      <c r="C225">
        <v>86.58511</v>
      </c>
    </row>
    <row r="226" spans="1:3" x14ac:dyDescent="0.25">
      <c r="A226" s="1">
        <f t="shared" si="0"/>
        <v>39355</v>
      </c>
      <c r="B226">
        <v>85.990099999999998</v>
      </c>
      <c r="C226">
        <v>87.275599999999997</v>
      </c>
    </row>
    <row r="227" spans="1:3" x14ac:dyDescent="0.25">
      <c r="A227" s="1">
        <f t="shared" si="0"/>
        <v>39386</v>
      </c>
      <c r="B227">
        <v>90.128550000000004</v>
      </c>
      <c r="C227">
        <v>88.122349999999997</v>
      </c>
    </row>
    <row r="228" spans="1:3" x14ac:dyDescent="0.25">
      <c r="A228" s="1">
        <f t="shared" si="0"/>
        <v>39416</v>
      </c>
      <c r="B228">
        <v>87.832750000000004</v>
      </c>
      <c r="C228">
        <v>88.067620000000005</v>
      </c>
    </row>
    <row r="229" spans="1:3" x14ac:dyDescent="0.25">
      <c r="A229" s="1">
        <f t="shared" si="0"/>
        <v>39447</v>
      </c>
      <c r="B229">
        <v>85.425600000000003</v>
      </c>
      <c r="C229">
        <v>88.874049999999997</v>
      </c>
    </row>
    <row r="230" spans="1:3" x14ac:dyDescent="0.25">
      <c r="A230" s="1">
        <f t="shared" si="0"/>
        <v>39478</v>
      </c>
      <c r="B230">
        <v>85.025490000000005</v>
      </c>
      <c r="C230">
        <v>88.999619999999993</v>
      </c>
    </row>
    <row r="231" spans="1:3" x14ac:dyDescent="0.25">
      <c r="A231" s="1">
        <f t="shared" si="0"/>
        <v>39507</v>
      </c>
      <c r="B231">
        <v>85.060959999999994</v>
      </c>
      <c r="C231">
        <v>88.749189999999999</v>
      </c>
    </row>
    <row r="232" spans="1:3" x14ac:dyDescent="0.25">
      <c r="A232" s="1">
        <f t="shared" si="0"/>
        <v>39538</v>
      </c>
      <c r="B232">
        <v>90.003659999999996</v>
      </c>
      <c r="C232">
        <v>88.163619999999995</v>
      </c>
    </row>
    <row r="233" spans="1:3" x14ac:dyDescent="0.25">
      <c r="A233" s="1">
        <f t="shared" si="0"/>
        <v>39568</v>
      </c>
      <c r="B233">
        <v>90.344539999999995</v>
      </c>
      <c r="C233">
        <v>89.317130000000006</v>
      </c>
    </row>
    <row r="234" spans="1:3" x14ac:dyDescent="0.25">
      <c r="A234" s="1">
        <f t="shared" si="0"/>
        <v>39599</v>
      </c>
      <c r="B234">
        <v>89.95635</v>
      </c>
      <c r="C234">
        <v>90.243129999999994</v>
      </c>
    </row>
    <row r="235" spans="1:3" x14ac:dyDescent="0.25">
      <c r="A235" s="1">
        <f t="shared" si="0"/>
        <v>39629</v>
      </c>
      <c r="B235">
        <v>91.117559999999997</v>
      </c>
      <c r="C235">
        <v>91.182029999999997</v>
      </c>
    </row>
    <row r="236" spans="1:3" x14ac:dyDescent="0.25">
      <c r="A236" s="1">
        <f t="shared" ref="A236:A299" si="1">EOMONTH(A235,1)</f>
        <v>39660</v>
      </c>
      <c r="B236">
        <v>95.267020000000002</v>
      </c>
      <c r="C236">
        <v>91.079589999999996</v>
      </c>
    </row>
    <row r="237" spans="1:3" x14ac:dyDescent="0.25">
      <c r="A237" s="1">
        <f t="shared" si="1"/>
        <v>39691</v>
      </c>
      <c r="B237">
        <v>93.409180000000006</v>
      </c>
      <c r="C237">
        <v>91.289019999999994</v>
      </c>
    </row>
    <row r="238" spans="1:3" x14ac:dyDescent="0.25">
      <c r="A238" s="1">
        <f t="shared" si="1"/>
        <v>39721</v>
      </c>
      <c r="B238">
        <v>92.522919999999999</v>
      </c>
      <c r="C238">
        <v>91.211870000000005</v>
      </c>
    </row>
    <row r="239" spans="1:3" x14ac:dyDescent="0.25">
      <c r="A239" s="1">
        <f t="shared" si="1"/>
        <v>39752</v>
      </c>
      <c r="B239">
        <v>92.659319999999994</v>
      </c>
      <c r="C239">
        <v>89.420100000000005</v>
      </c>
    </row>
    <row r="240" spans="1:3" x14ac:dyDescent="0.25">
      <c r="A240" s="1">
        <f t="shared" si="1"/>
        <v>39782</v>
      </c>
      <c r="B240">
        <v>86.928830000000005</v>
      </c>
      <c r="C240">
        <v>87.227779999999996</v>
      </c>
    </row>
    <row r="241" spans="1:3" x14ac:dyDescent="0.25">
      <c r="A241" s="1">
        <f t="shared" si="1"/>
        <v>39813</v>
      </c>
      <c r="B241">
        <v>82.963509999999999</v>
      </c>
      <c r="C241">
        <v>84.823509999999999</v>
      </c>
    </row>
    <row r="242" spans="1:3" x14ac:dyDescent="0.25">
      <c r="A242" s="1">
        <f t="shared" si="1"/>
        <v>39844</v>
      </c>
      <c r="B242">
        <v>80.37997</v>
      </c>
      <c r="C242">
        <v>84.678650000000005</v>
      </c>
    </row>
    <row r="243" spans="1:3" x14ac:dyDescent="0.25">
      <c r="A243" s="1">
        <f t="shared" si="1"/>
        <v>39872</v>
      </c>
      <c r="B243">
        <v>80.420259999999999</v>
      </c>
      <c r="C243">
        <v>85.362639999999999</v>
      </c>
    </row>
    <row r="244" spans="1:3" x14ac:dyDescent="0.25">
      <c r="A244" s="1">
        <f t="shared" si="1"/>
        <v>39903</v>
      </c>
      <c r="B244">
        <v>89.180359999999993</v>
      </c>
      <c r="C244">
        <v>85.827780000000004</v>
      </c>
    </row>
    <row r="245" spans="1:3" x14ac:dyDescent="0.25">
      <c r="A245" s="1">
        <f t="shared" si="1"/>
        <v>39933</v>
      </c>
      <c r="B245">
        <v>85.8887</v>
      </c>
      <c r="C245">
        <v>86.189620000000005</v>
      </c>
    </row>
    <row r="246" spans="1:3" x14ac:dyDescent="0.25">
      <c r="A246" s="1">
        <f t="shared" si="1"/>
        <v>39964</v>
      </c>
      <c r="B246">
        <v>86.805679999999995</v>
      </c>
      <c r="C246">
        <v>87.04562</v>
      </c>
    </row>
    <row r="247" spans="1:3" x14ac:dyDescent="0.25">
      <c r="A247" s="1">
        <f t="shared" si="1"/>
        <v>39994</v>
      </c>
      <c r="B247">
        <v>87.64573</v>
      </c>
      <c r="C247">
        <v>87.659499999999994</v>
      </c>
    </row>
    <row r="248" spans="1:3" x14ac:dyDescent="0.25">
      <c r="A248" s="1">
        <f t="shared" si="1"/>
        <v>40025</v>
      </c>
      <c r="B248">
        <v>91.709879999999998</v>
      </c>
      <c r="C248">
        <v>87.789720000000003</v>
      </c>
    </row>
    <row r="249" spans="1:3" x14ac:dyDescent="0.25">
      <c r="A249" s="1">
        <f t="shared" si="1"/>
        <v>40056</v>
      </c>
      <c r="B249">
        <v>91.19717</v>
      </c>
      <c r="C249">
        <v>89.220879999999994</v>
      </c>
    </row>
    <row r="250" spans="1:3" x14ac:dyDescent="0.25">
      <c r="A250" s="1">
        <f t="shared" si="1"/>
        <v>40086</v>
      </c>
      <c r="B250">
        <v>90.574830000000006</v>
      </c>
      <c r="C250">
        <v>89.925290000000004</v>
      </c>
    </row>
    <row r="251" spans="1:3" x14ac:dyDescent="0.25">
      <c r="A251" s="1">
        <f t="shared" si="1"/>
        <v>40117</v>
      </c>
      <c r="B251">
        <v>92.44153</v>
      </c>
      <c r="C251">
        <v>90.650549999999996</v>
      </c>
    </row>
    <row r="252" spans="1:3" x14ac:dyDescent="0.25">
      <c r="A252" s="1">
        <f t="shared" si="1"/>
        <v>40147</v>
      </c>
      <c r="B252">
        <v>90.444379999999995</v>
      </c>
      <c r="C252">
        <v>90.75085</v>
      </c>
    </row>
    <row r="253" spans="1:3" x14ac:dyDescent="0.25">
      <c r="A253" s="1">
        <f t="shared" si="1"/>
        <v>40178</v>
      </c>
      <c r="B253">
        <v>90.170599999999993</v>
      </c>
      <c r="C253">
        <v>92.097859999999997</v>
      </c>
    </row>
    <row r="254" spans="1:3" x14ac:dyDescent="0.25">
      <c r="A254" s="1">
        <f t="shared" si="1"/>
        <v>40209</v>
      </c>
      <c r="B254">
        <v>87.78416</v>
      </c>
      <c r="C254">
        <v>93.483260000000001</v>
      </c>
    </row>
    <row r="255" spans="1:3" x14ac:dyDescent="0.25">
      <c r="A255" s="1">
        <f t="shared" si="1"/>
        <v>40237</v>
      </c>
      <c r="B255">
        <v>89.039249999999996</v>
      </c>
      <c r="C255">
        <v>94.380380000000002</v>
      </c>
    </row>
    <row r="256" spans="1:3" x14ac:dyDescent="0.25">
      <c r="A256" s="1">
        <f t="shared" si="1"/>
        <v>40268</v>
      </c>
      <c r="B256">
        <v>100.0855</v>
      </c>
      <c r="C256">
        <v>95.30077</v>
      </c>
    </row>
    <row r="257" spans="1:3" x14ac:dyDescent="0.25">
      <c r="A257" s="1">
        <f t="shared" si="1"/>
        <v>40298</v>
      </c>
      <c r="B257">
        <v>95.499870000000001</v>
      </c>
      <c r="C257">
        <v>95.756879999999995</v>
      </c>
    </row>
    <row r="258" spans="1:3" x14ac:dyDescent="0.25">
      <c r="A258" s="1">
        <f t="shared" si="1"/>
        <v>40329</v>
      </c>
      <c r="B258">
        <v>95.256190000000004</v>
      </c>
      <c r="C258">
        <v>95.045240000000007</v>
      </c>
    </row>
    <row r="259" spans="1:3" x14ac:dyDescent="0.25">
      <c r="A259" s="1">
        <f t="shared" si="1"/>
        <v>40359</v>
      </c>
      <c r="B259">
        <v>94.956969999999998</v>
      </c>
      <c r="C259">
        <v>94.868759999999995</v>
      </c>
    </row>
    <row r="260" spans="1:3" x14ac:dyDescent="0.25">
      <c r="A260" s="1">
        <f t="shared" si="1"/>
        <v>40390</v>
      </c>
      <c r="B260">
        <v>98.829300000000003</v>
      </c>
      <c r="C260">
        <v>95.384119999999996</v>
      </c>
    </row>
    <row r="261" spans="1:3" x14ac:dyDescent="0.25">
      <c r="A261" s="1">
        <f t="shared" si="1"/>
        <v>40421</v>
      </c>
      <c r="B261">
        <v>98.764269999999996</v>
      </c>
      <c r="C261">
        <v>95.975970000000004</v>
      </c>
    </row>
    <row r="262" spans="1:3" x14ac:dyDescent="0.25">
      <c r="A262" s="1">
        <f t="shared" si="1"/>
        <v>40451</v>
      </c>
      <c r="B262">
        <v>97.308850000000007</v>
      </c>
      <c r="C262">
        <v>96.860150000000004</v>
      </c>
    </row>
    <row r="263" spans="1:3" x14ac:dyDescent="0.25">
      <c r="A263" s="1">
        <f t="shared" si="1"/>
        <v>40482</v>
      </c>
      <c r="B263">
        <v>97.216610000000003</v>
      </c>
      <c r="C263">
        <v>96.706280000000007</v>
      </c>
    </row>
    <row r="264" spans="1:3" x14ac:dyDescent="0.25">
      <c r="A264" s="1">
        <f t="shared" si="1"/>
        <v>40512</v>
      </c>
      <c r="B264">
        <v>97.462239999999994</v>
      </c>
      <c r="C264">
        <v>97.776979999999995</v>
      </c>
    </row>
    <row r="265" spans="1:3" x14ac:dyDescent="0.25">
      <c r="A265" s="1">
        <f t="shared" si="1"/>
        <v>40543</v>
      </c>
      <c r="B265">
        <v>95.374480000000005</v>
      </c>
      <c r="C265">
        <v>96.750470000000007</v>
      </c>
    </row>
    <row r="266" spans="1:3" x14ac:dyDescent="0.25">
      <c r="A266" s="1">
        <f t="shared" si="1"/>
        <v>40574</v>
      </c>
      <c r="B266">
        <v>92.566460000000006</v>
      </c>
      <c r="C266">
        <v>97.96584</v>
      </c>
    </row>
    <row r="267" spans="1:3" x14ac:dyDescent="0.25">
      <c r="A267" s="1">
        <f t="shared" si="1"/>
        <v>40602</v>
      </c>
      <c r="B267">
        <v>95.021169999999998</v>
      </c>
      <c r="C267">
        <v>98.342699999999994</v>
      </c>
    </row>
    <row r="268" spans="1:3" x14ac:dyDescent="0.25">
      <c r="A268" s="1">
        <f t="shared" si="1"/>
        <v>40633</v>
      </c>
      <c r="B268">
        <v>101.1289</v>
      </c>
      <c r="C268">
        <v>98.364779999999996</v>
      </c>
    </row>
    <row r="269" spans="1:3" x14ac:dyDescent="0.25">
      <c r="A269" s="1">
        <f t="shared" si="1"/>
        <v>40663</v>
      </c>
      <c r="B269">
        <v>97.605810000000005</v>
      </c>
      <c r="C269">
        <v>98.400570000000002</v>
      </c>
    </row>
    <row r="270" spans="1:3" x14ac:dyDescent="0.25">
      <c r="A270" s="1">
        <f t="shared" si="1"/>
        <v>40694</v>
      </c>
      <c r="B270">
        <v>99.940860000000001</v>
      </c>
      <c r="C270">
        <v>98.56456</v>
      </c>
    </row>
    <row r="271" spans="1:3" x14ac:dyDescent="0.25">
      <c r="A271" s="1">
        <f t="shared" si="1"/>
        <v>40724</v>
      </c>
      <c r="B271">
        <v>98.906009999999995</v>
      </c>
      <c r="C271">
        <v>98.989909999999995</v>
      </c>
    </row>
    <row r="272" spans="1:3" x14ac:dyDescent="0.25">
      <c r="A272" s="1">
        <f t="shared" si="1"/>
        <v>40755</v>
      </c>
      <c r="B272">
        <v>101.31055000000001</v>
      </c>
      <c r="C272">
        <v>99.095669999999998</v>
      </c>
    </row>
    <row r="273" spans="1:3" x14ac:dyDescent="0.25">
      <c r="A273" s="1">
        <f t="shared" si="1"/>
        <v>40786</v>
      </c>
      <c r="B273">
        <v>102.92413000000001</v>
      </c>
      <c r="C273">
        <v>98.993520000000004</v>
      </c>
    </row>
    <row r="274" spans="1:3" x14ac:dyDescent="0.25">
      <c r="A274" s="1">
        <f t="shared" si="1"/>
        <v>40816</v>
      </c>
      <c r="B274">
        <v>99.294110000000003</v>
      </c>
      <c r="C274">
        <v>98.839759999999998</v>
      </c>
    </row>
    <row r="275" spans="1:3" x14ac:dyDescent="0.25">
      <c r="A275" s="1">
        <f t="shared" si="1"/>
        <v>40847</v>
      </c>
      <c r="B275">
        <v>99.093609999999998</v>
      </c>
      <c r="C275">
        <v>98.820769999999996</v>
      </c>
    </row>
    <row r="276" spans="1:3" x14ac:dyDescent="0.25">
      <c r="A276" s="1">
        <f t="shared" si="1"/>
        <v>40877</v>
      </c>
      <c r="B276">
        <v>98.989949999999993</v>
      </c>
      <c r="C276">
        <v>99.292850000000001</v>
      </c>
    </row>
    <row r="277" spans="1:3" x14ac:dyDescent="0.25">
      <c r="A277" s="1">
        <f t="shared" si="1"/>
        <v>40908</v>
      </c>
      <c r="B277">
        <v>97.150419999999997</v>
      </c>
      <c r="C277">
        <v>98.333699999999993</v>
      </c>
    </row>
    <row r="278" spans="1:3" x14ac:dyDescent="0.25">
      <c r="A278" s="1">
        <f t="shared" si="1"/>
        <v>40939</v>
      </c>
      <c r="B278">
        <v>93.037509999999997</v>
      </c>
      <c r="C278">
        <v>97.112650000000002</v>
      </c>
    </row>
    <row r="279" spans="1:3" x14ac:dyDescent="0.25">
      <c r="A279" s="1">
        <f t="shared" si="1"/>
        <v>40968</v>
      </c>
      <c r="B279">
        <v>94.441140000000004</v>
      </c>
      <c r="C279">
        <v>98.043319999999994</v>
      </c>
    </row>
    <row r="280" spans="1:3" x14ac:dyDescent="0.25">
      <c r="A280" s="1">
        <f t="shared" si="1"/>
        <v>40999</v>
      </c>
      <c r="B280">
        <v>102.11562000000001</v>
      </c>
      <c r="C280">
        <v>97.817930000000004</v>
      </c>
    </row>
    <row r="281" spans="1:3" x14ac:dyDescent="0.25">
      <c r="A281" s="1">
        <f t="shared" si="1"/>
        <v>41029</v>
      </c>
      <c r="B281">
        <v>97.581180000000003</v>
      </c>
      <c r="C281">
        <v>98.304450000000003</v>
      </c>
    </row>
    <row r="282" spans="1:3" x14ac:dyDescent="0.25">
      <c r="A282" s="1">
        <f t="shared" si="1"/>
        <v>41060</v>
      </c>
      <c r="B282">
        <v>100.86723000000001</v>
      </c>
      <c r="C282">
        <v>99.441360000000003</v>
      </c>
    </row>
    <row r="283" spans="1:3" x14ac:dyDescent="0.25">
      <c r="A283" s="1">
        <f t="shared" si="1"/>
        <v>41090</v>
      </c>
      <c r="B283">
        <v>99.274789999999996</v>
      </c>
      <c r="C283">
        <v>100.15412999999999</v>
      </c>
    </row>
    <row r="284" spans="1:3" x14ac:dyDescent="0.25">
      <c r="A284" s="1">
        <f t="shared" si="1"/>
        <v>41121</v>
      </c>
      <c r="B284">
        <v>102.89084</v>
      </c>
      <c r="C284">
        <v>100.31877</v>
      </c>
    </row>
    <row r="285" spans="1:3" x14ac:dyDescent="0.25">
      <c r="A285" s="1">
        <f t="shared" si="1"/>
        <v>41152</v>
      </c>
      <c r="B285">
        <v>104.59941000000001</v>
      </c>
      <c r="C285">
        <v>100.65595</v>
      </c>
    </row>
    <row r="286" spans="1:3" x14ac:dyDescent="0.25">
      <c r="A286" s="1">
        <f t="shared" si="1"/>
        <v>41182</v>
      </c>
      <c r="B286">
        <v>98.800280000000001</v>
      </c>
      <c r="C286">
        <v>100.19889000000001</v>
      </c>
    </row>
    <row r="287" spans="1:3" x14ac:dyDescent="0.25">
      <c r="A287" s="1">
        <f t="shared" si="1"/>
        <v>41213</v>
      </c>
      <c r="B287">
        <v>103.06384</v>
      </c>
      <c r="C287">
        <v>101.05351</v>
      </c>
    </row>
    <row r="288" spans="1:3" x14ac:dyDescent="0.25">
      <c r="A288" s="1">
        <f t="shared" si="1"/>
        <v>41243</v>
      </c>
      <c r="B288">
        <v>100.58481</v>
      </c>
      <c r="C288">
        <v>100.93241</v>
      </c>
    </row>
    <row r="289" spans="1:3" x14ac:dyDescent="0.25">
      <c r="A289" s="1">
        <f t="shared" si="1"/>
        <v>41274</v>
      </c>
      <c r="B289">
        <v>97.348690000000005</v>
      </c>
      <c r="C289">
        <v>100.51900999999999</v>
      </c>
    </row>
    <row r="290" spans="1:3" x14ac:dyDescent="0.25">
      <c r="A290" s="1">
        <f t="shared" si="1"/>
        <v>41305</v>
      </c>
      <c r="B290">
        <v>97.212010000000006</v>
      </c>
      <c r="C290">
        <v>101.13597</v>
      </c>
    </row>
    <row r="291" spans="1:3" x14ac:dyDescent="0.25">
      <c r="A291" s="1">
        <f t="shared" si="1"/>
        <v>41333</v>
      </c>
      <c r="B291">
        <v>94.99051</v>
      </c>
      <c r="C291">
        <v>100.23847000000001</v>
      </c>
    </row>
    <row r="292" spans="1:3" x14ac:dyDescent="0.25">
      <c r="A292" s="1">
        <f t="shared" si="1"/>
        <v>41364</v>
      </c>
      <c r="B292">
        <v>103.27524</v>
      </c>
      <c r="C292">
        <v>101.16552</v>
      </c>
    </row>
    <row r="293" spans="1:3" x14ac:dyDescent="0.25">
      <c r="A293" s="1">
        <f t="shared" si="1"/>
        <v>41394</v>
      </c>
      <c r="B293">
        <v>104.51904999999999</v>
      </c>
      <c r="C293">
        <v>102.25143</v>
      </c>
    </row>
    <row r="294" spans="1:3" x14ac:dyDescent="0.25">
      <c r="A294" s="1">
        <f t="shared" si="1"/>
        <v>41425</v>
      </c>
      <c r="B294">
        <v>102.58956999999999</v>
      </c>
      <c r="C294">
        <v>102.46805999999999</v>
      </c>
    </row>
    <row r="295" spans="1:3" x14ac:dyDescent="0.25">
      <c r="A295" s="1">
        <f t="shared" si="1"/>
        <v>41455</v>
      </c>
      <c r="B295">
        <v>101.08698</v>
      </c>
      <c r="C295">
        <v>102.12936999999999</v>
      </c>
    </row>
    <row r="296" spans="1:3" x14ac:dyDescent="0.25">
      <c r="A296" s="1">
        <f t="shared" si="1"/>
        <v>41486</v>
      </c>
      <c r="B296">
        <v>106.14718999999999</v>
      </c>
      <c r="C296">
        <v>102.46653000000001</v>
      </c>
    </row>
    <row r="297" spans="1:3" x14ac:dyDescent="0.25">
      <c r="A297" s="1">
        <f t="shared" si="1"/>
        <v>41517</v>
      </c>
      <c r="B297">
        <v>105.92524</v>
      </c>
      <c r="C297">
        <v>102.77761</v>
      </c>
    </row>
    <row r="298" spans="1:3" x14ac:dyDescent="0.25">
      <c r="A298" s="1">
        <f t="shared" si="1"/>
        <v>41547</v>
      </c>
      <c r="B298">
        <v>102.75763000000001</v>
      </c>
      <c r="C298">
        <v>103.21307</v>
      </c>
    </row>
    <row r="299" spans="1:3" x14ac:dyDescent="0.25">
      <c r="A299" s="1">
        <f t="shared" si="1"/>
        <v>41578</v>
      </c>
      <c r="B299">
        <v>105.99206</v>
      </c>
      <c r="C299">
        <v>103.22201</v>
      </c>
    </row>
    <row r="300" spans="1:3" x14ac:dyDescent="0.25">
      <c r="A300" s="1">
        <f t="shared" ref="A300:A363" si="2">EOMONTH(A299,1)</f>
        <v>41608</v>
      </c>
      <c r="B300">
        <v>103.12145</v>
      </c>
      <c r="C300">
        <v>103.53310999999999</v>
      </c>
    </row>
    <row r="301" spans="1:3" x14ac:dyDescent="0.25">
      <c r="A301" s="1">
        <f t="shared" si="2"/>
        <v>41639</v>
      </c>
      <c r="B301">
        <v>101.71337</v>
      </c>
      <c r="C301">
        <v>103.77374</v>
      </c>
    </row>
    <row r="302" spans="1:3" x14ac:dyDescent="0.25">
      <c r="A302" s="1">
        <f t="shared" si="2"/>
        <v>41670</v>
      </c>
      <c r="B302">
        <v>99.581580000000002</v>
      </c>
      <c r="C302">
        <v>103.43295999999999</v>
      </c>
    </row>
    <row r="303" spans="1:3" x14ac:dyDescent="0.25">
      <c r="A303" s="1">
        <f t="shared" si="2"/>
        <v>41698</v>
      </c>
      <c r="B303">
        <v>100.14796</v>
      </c>
      <c r="C303">
        <v>103.22704</v>
      </c>
    </row>
    <row r="304" spans="1:3" x14ac:dyDescent="0.25">
      <c r="A304" s="1">
        <f t="shared" si="2"/>
        <v>41729</v>
      </c>
      <c r="B304">
        <v>103.98593</v>
      </c>
      <c r="C304">
        <v>103.05647</v>
      </c>
    </row>
    <row r="305" spans="1:3" x14ac:dyDescent="0.25">
      <c r="A305" s="1">
        <f t="shared" si="2"/>
        <v>41759</v>
      </c>
      <c r="B305">
        <v>103.05408</v>
      </c>
      <c r="C305">
        <v>102.6456</v>
      </c>
    </row>
    <row r="306" spans="1:3" x14ac:dyDescent="0.25">
      <c r="A306" s="1">
        <f t="shared" si="2"/>
        <v>41790</v>
      </c>
      <c r="B306">
        <v>102.67026</v>
      </c>
      <c r="C306">
        <v>102.25539000000001</v>
      </c>
    </row>
    <row r="307" spans="1:3" x14ac:dyDescent="0.25">
      <c r="A307" s="1">
        <f t="shared" si="2"/>
        <v>41820</v>
      </c>
      <c r="B307">
        <v>98.302199999999999</v>
      </c>
      <c r="C307">
        <v>100.11655</v>
      </c>
    </row>
    <row r="308" spans="1:3" x14ac:dyDescent="0.25">
      <c r="A308" s="1">
        <f t="shared" si="2"/>
        <v>41851</v>
      </c>
      <c r="B308">
        <v>104.55808</v>
      </c>
      <c r="C308">
        <v>100.85511</v>
      </c>
    </row>
    <row r="309" spans="1:3" x14ac:dyDescent="0.25">
      <c r="A309" s="1">
        <f t="shared" si="2"/>
        <v>41882</v>
      </c>
      <c r="B309">
        <v>103.45896</v>
      </c>
      <c r="C309">
        <v>101.72396000000001</v>
      </c>
    </row>
    <row r="310" spans="1:3" x14ac:dyDescent="0.25">
      <c r="A310" s="1">
        <f t="shared" si="2"/>
        <v>41912</v>
      </c>
      <c r="B310">
        <v>103.35298</v>
      </c>
      <c r="C310">
        <v>102.16973</v>
      </c>
    </row>
    <row r="311" spans="1:3" x14ac:dyDescent="0.25">
      <c r="A311" s="1">
        <f t="shared" si="2"/>
        <v>41943</v>
      </c>
      <c r="B311">
        <v>104.45717</v>
      </c>
      <c r="C311">
        <v>101.38112</v>
      </c>
    </row>
    <row r="312" spans="1:3" x14ac:dyDescent="0.25">
      <c r="A312" s="1">
        <f t="shared" si="2"/>
        <v>41973</v>
      </c>
      <c r="B312">
        <v>101.11933999999999</v>
      </c>
      <c r="C312">
        <v>101.60924</v>
      </c>
    </row>
    <row r="313" spans="1:3" x14ac:dyDescent="0.25">
      <c r="A313" s="1">
        <f t="shared" si="2"/>
        <v>42004</v>
      </c>
      <c r="B313">
        <v>101.50718000000001</v>
      </c>
      <c r="C313">
        <v>101.95805</v>
      </c>
    </row>
    <row r="314" spans="1:3" x14ac:dyDescent="0.25">
      <c r="A314" s="1">
        <f t="shared" si="2"/>
        <v>42035</v>
      </c>
      <c r="B314">
        <v>96.979380000000006</v>
      </c>
      <c r="C314">
        <v>101.23617</v>
      </c>
    </row>
    <row r="315" spans="1:3" x14ac:dyDescent="0.25">
      <c r="A315" s="1">
        <f t="shared" si="2"/>
        <v>42063</v>
      </c>
      <c r="B315">
        <v>95.436930000000004</v>
      </c>
      <c r="C315">
        <v>100.50855</v>
      </c>
    </row>
    <row r="316" spans="1:3" x14ac:dyDescent="0.25">
      <c r="A316" s="1">
        <f t="shared" si="2"/>
        <v>42094</v>
      </c>
      <c r="B316">
        <v>104.35680000000001</v>
      </c>
      <c r="C316">
        <v>100.34814</v>
      </c>
    </row>
    <row r="317" spans="1:3" x14ac:dyDescent="0.25">
      <c r="A317" s="1">
        <f t="shared" si="2"/>
        <v>42124</v>
      </c>
      <c r="B317">
        <v>99.296369999999996</v>
      </c>
      <c r="C317">
        <v>99.038880000000006</v>
      </c>
    </row>
    <row r="318" spans="1:3" x14ac:dyDescent="0.25">
      <c r="A318" s="1">
        <f t="shared" si="2"/>
        <v>42155</v>
      </c>
      <c r="B318">
        <v>97.424909999999997</v>
      </c>
      <c r="C318">
        <v>98.384289999999993</v>
      </c>
    </row>
    <row r="319" spans="1:3" x14ac:dyDescent="0.25">
      <c r="A319" s="1">
        <f t="shared" si="2"/>
        <v>42185</v>
      </c>
      <c r="B319">
        <v>96.681209999999993</v>
      </c>
      <c r="C319">
        <v>97.396330000000006</v>
      </c>
    </row>
    <row r="320" spans="1:3" x14ac:dyDescent="0.25">
      <c r="A320" s="1">
        <f t="shared" si="2"/>
        <v>42216</v>
      </c>
      <c r="B320">
        <v>99.787480000000002</v>
      </c>
      <c r="C320">
        <v>96.340400000000002</v>
      </c>
    </row>
    <row r="321" spans="1:3" x14ac:dyDescent="0.25">
      <c r="A321" s="1">
        <f t="shared" si="2"/>
        <v>42247</v>
      </c>
      <c r="B321">
        <v>98.119079999999997</v>
      </c>
      <c r="C321">
        <v>96.779839999999993</v>
      </c>
    </row>
    <row r="322" spans="1:3" x14ac:dyDescent="0.25">
      <c r="A322" s="1">
        <f t="shared" si="2"/>
        <v>42277</v>
      </c>
      <c r="B322">
        <v>96.340860000000006</v>
      </c>
      <c r="C322">
        <v>96.029139999999998</v>
      </c>
    </row>
    <row r="323" spans="1:3" x14ac:dyDescent="0.25">
      <c r="A323" s="1">
        <f t="shared" si="2"/>
        <v>42308</v>
      </c>
      <c r="B323">
        <v>97.697720000000004</v>
      </c>
      <c r="C323">
        <v>96.479169999999996</v>
      </c>
    </row>
    <row r="324" spans="1:3" x14ac:dyDescent="0.25">
      <c r="A324" s="1">
        <f t="shared" si="2"/>
        <v>42338</v>
      </c>
      <c r="B324">
        <v>94.956100000000006</v>
      </c>
      <c r="C324">
        <v>95.471350000000001</v>
      </c>
    </row>
    <row r="325" spans="1:3" x14ac:dyDescent="0.25">
      <c r="A325" s="1">
        <f t="shared" si="2"/>
        <v>42369</v>
      </c>
      <c r="B325">
        <v>95.37903</v>
      </c>
      <c r="C325">
        <v>95.288619999999995</v>
      </c>
    </row>
    <row r="326" spans="1:3" x14ac:dyDescent="0.25">
      <c r="A326" s="1">
        <f t="shared" si="2"/>
        <v>42400</v>
      </c>
      <c r="B326">
        <v>89.766059999999996</v>
      </c>
      <c r="C326">
        <v>94.67841</v>
      </c>
    </row>
    <row r="327" spans="1:3" x14ac:dyDescent="0.25">
      <c r="A327" s="1">
        <f t="shared" si="2"/>
        <v>42429</v>
      </c>
      <c r="B327">
        <v>91.344329999999999</v>
      </c>
      <c r="C327">
        <v>94.643270000000001</v>
      </c>
    </row>
    <row r="328" spans="1:3" x14ac:dyDescent="0.25">
      <c r="A328" s="1">
        <f t="shared" si="2"/>
        <v>42460</v>
      </c>
      <c r="B328">
        <v>97.931160000000006</v>
      </c>
      <c r="C328">
        <v>93.928629999999998</v>
      </c>
    </row>
    <row r="329" spans="1:3" x14ac:dyDescent="0.25">
      <c r="A329" s="1">
        <f t="shared" si="2"/>
        <v>42490</v>
      </c>
      <c r="B329">
        <v>94.730220000000003</v>
      </c>
      <c r="C329">
        <v>93.876940000000005</v>
      </c>
    </row>
    <row r="330" spans="1:3" x14ac:dyDescent="0.25">
      <c r="A330" s="1">
        <f t="shared" si="2"/>
        <v>42521</v>
      </c>
      <c r="B330">
        <v>92.906419999999997</v>
      </c>
      <c r="C330">
        <v>93.580600000000004</v>
      </c>
    </row>
    <row r="331" spans="1:3" x14ac:dyDescent="0.25">
      <c r="A331" s="1">
        <f t="shared" si="2"/>
        <v>42551</v>
      </c>
      <c r="B331">
        <v>94.229100000000003</v>
      </c>
      <c r="C331">
        <v>93.776259999999994</v>
      </c>
    </row>
    <row r="332" spans="1:3" x14ac:dyDescent="0.25">
      <c r="A332" s="1">
        <f t="shared" si="2"/>
        <v>42582</v>
      </c>
      <c r="B332">
        <v>95.198830000000001</v>
      </c>
      <c r="C332">
        <v>93.52028</v>
      </c>
    </row>
    <row r="333" spans="1:3" x14ac:dyDescent="0.25">
      <c r="A333" s="1">
        <f t="shared" si="2"/>
        <v>42613</v>
      </c>
      <c r="B333">
        <v>96.169780000000003</v>
      </c>
      <c r="C333">
        <v>93.230969999999999</v>
      </c>
    </row>
    <row r="334" spans="1:3" x14ac:dyDescent="0.25">
      <c r="A334" s="1">
        <f t="shared" si="2"/>
        <v>42643</v>
      </c>
      <c r="B334">
        <v>93.376069999999999</v>
      </c>
      <c r="C334">
        <v>93.289850000000001</v>
      </c>
    </row>
    <row r="335" spans="1:3" x14ac:dyDescent="0.25">
      <c r="A335" s="1">
        <f t="shared" si="2"/>
        <v>42674</v>
      </c>
      <c r="B335">
        <v>92.605559999999997</v>
      </c>
      <c r="C335">
        <v>92.905460000000005</v>
      </c>
    </row>
    <row r="336" spans="1:3" x14ac:dyDescent="0.25">
      <c r="A336" s="1">
        <f t="shared" si="2"/>
        <v>42704</v>
      </c>
      <c r="B336">
        <v>92.402739999999994</v>
      </c>
      <c r="C336">
        <v>92.94744</v>
      </c>
    </row>
    <row r="337" spans="1:9" x14ac:dyDescent="0.25">
      <c r="A337" s="1">
        <f t="shared" si="2"/>
        <v>42735</v>
      </c>
      <c r="B337">
        <v>93.431060000000002</v>
      </c>
      <c r="C337">
        <v>92.694360000000003</v>
      </c>
    </row>
    <row r="338" spans="1:9" x14ac:dyDescent="0.25">
      <c r="A338" s="1">
        <f t="shared" si="2"/>
        <v>42766</v>
      </c>
      <c r="B338">
        <v>90.017420000000001</v>
      </c>
      <c r="C338">
        <v>93.377700000000004</v>
      </c>
    </row>
    <row r="339" spans="1:9" x14ac:dyDescent="0.25">
      <c r="A339" s="1">
        <f t="shared" si="2"/>
        <v>42794</v>
      </c>
      <c r="B339">
        <v>90.356999999999999</v>
      </c>
      <c r="C339">
        <v>94.579790000000003</v>
      </c>
    </row>
    <row r="340" spans="1:9" x14ac:dyDescent="0.25">
      <c r="A340" s="1">
        <f t="shared" si="2"/>
        <v>42825</v>
      </c>
      <c r="B340">
        <v>99.051910000000007</v>
      </c>
      <c r="C340">
        <v>94.540610000000001</v>
      </c>
    </row>
    <row r="341" spans="1:9" x14ac:dyDescent="0.25">
      <c r="A341" s="1">
        <f t="shared" si="2"/>
        <v>42855</v>
      </c>
      <c r="B341">
        <v>93.201759999999993</v>
      </c>
      <c r="C341">
        <v>94.404629999999997</v>
      </c>
    </row>
    <row r="342" spans="1:9" x14ac:dyDescent="0.25">
      <c r="A342" s="1">
        <f t="shared" si="2"/>
        <v>42886</v>
      </c>
      <c r="B342">
        <v>94.633099999999999</v>
      </c>
      <c r="C342">
        <v>94.255399999999995</v>
      </c>
    </row>
    <row r="343" spans="1:9" x14ac:dyDescent="0.25">
      <c r="A343" s="1">
        <f t="shared" si="2"/>
        <v>42916</v>
      </c>
      <c r="B343">
        <v>94.174340000000001</v>
      </c>
      <c r="C343">
        <v>94.771850000000001</v>
      </c>
    </row>
    <row r="344" spans="1:9" x14ac:dyDescent="0.25">
      <c r="A344" s="1">
        <f t="shared" si="2"/>
        <v>42947</v>
      </c>
      <c r="B344">
        <v>96.45872</v>
      </c>
      <c r="C344">
        <v>94.842650000000006</v>
      </c>
    </row>
    <row r="345" spans="1:9" x14ac:dyDescent="0.25">
      <c r="A345" s="1">
        <f t="shared" si="2"/>
        <v>42978</v>
      </c>
      <c r="B345">
        <v>97.704459999999997</v>
      </c>
      <c r="C345">
        <v>94.558250000000001</v>
      </c>
    </row>
    <row r="346" spans="1:9" x14ac:dyDescent="0.25">
      <c r="A346" s="1">
        <f t="shared" si="2"/>
        <v>43008</v>
      </c>
      <c r="B346">
        <v>94.058629999999994</v>
      </c>
      <c r="C346">
        <v>94.528909999999996</v>
      </c>
    </row>
    <row r="347" spans="1:9" x14ac:dyDescent="0.25">
      <c r="A347" s="1">
        <f t="shared" si="2"/>
        <v>43039</v>
      </c>
      <c r="B347">
        <v>95.01952</v>
      </c>
      <c r="C347">
        <v>94.796679999999995</v>
      </c>
      <c r="I347" s="2"/>
    </row>
    <row r="348" spans="1:9" x14ac:dyDescent="0.25">
      <c r="A348" s="1">
        <f t="shared" si="2"/>
        <v>43069</v>
      </c>
      <c r="B348">
        <v>94.401610000000005</v>
      </c>
      <c r="C348">
        <v>94.959220000000002</v>
      </c>
    </row>
    <row r="349" spans="1:9" x14ac:dyDescent="0.25">
      <c r="A349" s="1">
        <f t="shared" si="2"/>
        <v>43100</v>
      </c>
      <c r="B349">
        <v>95.098070000000007</v>
      </c>
      <c r="C349">
        <v>96.277940000000001</v>
      </c>
    </row>
    <row r="350" spans="1:9" x14ac:dyDescent="0.25">
      <c r="A350" s="1">
        <f t="shared" si="2"/>
        <v>43131</v>
      </c>
      <c r="B350">
        <v>92.363870000000006</v>
      </c>
      <c r="C350">
        <v>95.731309999999993</v>
      </c>
    </row>
    <row r="351" spans="1:9" x14ac:dyDescent="0.25">
      <c r="A351" s="1">
        <f t="shared" si="2"/>
        <v>43159</v>
      </c>
      <c r="B351">
        <v>90.654349999999994</v>
      </c>
      <c r="C351">
        <v>95.420060000000007</v>
      </c>
    </row>
    <row r="352" spans="1:9" x14ac:dyDescent="0.25">
      <c r="A352" s="1">
        <f t="shared" si="2"/>
        <v>43190</v>
      </c>
      <c r="B352">
        <v>98.81568</v>
      </c>
      <c r="C352">
        <v>95.443969999999993</v>
      </c>
    </row>
    <row r="353" spans="1:3" x14ac:dyDescent="0.25">
      <c r="A353" s="1">
        <f t="shared" si="2"/>
        <v>43220</v>
      </c>
      <c r="B353">
        <v>96.915949999999995</v>
      </c>
      <c r="C353">
        <v>95.964410000000001</v>
      </c>
    </row>
    <row r="354" spans="1:3" x14ac:dyDescent="0.25">
      <c r="A354" s="1">
        <f t="shared" si="2"/>
        <v>43251</v>
      </c>
      <c r="B354">
        <v>92.230829999999997</v>
      </c>
      <c r="C354">
        <v>93.055940000000007</v>
      </c>
    </row>
    <row r="355" spans="1:3" x14ac:dyDescent="0.25">
      <c r="A355" s="1">
        <f t="shared" si="2"/>
        <v>43281</v>
      </c>
      <c r="B355">
        <v>95.611909999999995</v>
      </c>
      <c r="C355">
        <v>95.68383</v>
      </c>
    </row>
    <row r="356" spans="1:3" x14ac:dyDescent="0.25">
      <c r="A356" s="1">
        <f t="shared" si="2"/>
        <v>43312</v>
      </c>
      <c r="B356">
        <v>98.395750000000007</v>
      </c>
      <c r="C356">
        <v>96.008049999999997</v>
      </c>
    </row>
    <row r="357" spans="1:3" x14ac:dyDescent="0.25">
      <c r="A357" s="1">
        <f t="shared" si="2"/>
        <v>43343</v>
      </c>
      <c r="B357">
        <v>99.980829999999997</v>
      </c>
      <c r="C357">
        <v>96.742369999999994</v>
      </c>
    </row>
    <row r="358" spans="1:3" x14ac:dyDescent="0.25">
      <c r="A358" s="1">
        <f t="shared" si="2"/>
        <v>43373</v>
      </c>
      <c r="B358">
        <v>94.738</v>
      </c>
      <c r="C358">
        <v>96.226079999999996</v>
      </c>
    </row>
    <row r="359" spans="1:3" x14ac:dyDescent="0.25">
      <c r="A359" s="1">
        <f t="shared" si="2"/>
        <v>43404</v>
      </c>
      <c r="B359">
        <v>97.734260000000006</v>
      </c>
      <c r="C359">
        <v>96.531030000000001</v>
      </c>
    </row>
    <row r="360" spans="1:3" x14ac:dyDescent="0.25">
      <c r="A360" s="1">
        <f t="shared" si="2"/>
        <v>43434</v>
      </c>
      <c r="B360">
        <v>96.246409999999997</v>
      </c>
      <c r="C360">
        <v>96.857470000000006</v>
      </c>
    </row>
    <row r="361" spans="1:3" x14ac:dyDescent="0.25">
      <c r="A361" s="1">
        <f t="shared" si="2"/>
        <v>43465</v>
      </c>
      <c r="B361">
        <v>95.597650000000002</v>
      </c>
      <c r="C361">
        <v>97.19314</v>
      </c>
    </row>
    <row r="362" spans="1:3" x14ac:dyDescent="0.25">
      <c r="A362" s="1">
        <f t="shared" si="2"/>
        <v>43496</v>
      </c>
      <c r="B362">
        <v>93.366159999999994</v>
      </c>
      <c r="C362">
        <v>97.00215</v>
      </c>
    </row>
    <row r="363" spans="1:3" x14ac:dyDescent="0.25">
      <c r="A363" s="1">
        <f t="shared" si="2"/>
        <v>43524</v>
      </c>
      <c r="B363">
        <v>93.57029</v>
      </c>
      <c r="C363">
        <v>96.321849999999998</v>
      </c>
    </row>
    <row r="364" spans="1:3" x14ac:dyDescent="0.25">
      <c r="A364" s="1">
        <f t="shared" ref="A364:A438" si="3">EOMONTH(A363,1)</f>
        <v>43555</v>
      </c>
      <c r="B364">
        <v>97.055509999999998</v>
      </c>
      <c r="C364">
        <v>95.754980000000003</v>
      </c>
    </row>
    <row r="365" spans="1:3" x14ac:dyDescent="0.25">
      <c r="A365" s="1">
        <f t="shared" si="3"/>
        <v>43585</v>
      </c>
      <c r="B365">
        <v>97.435119999999998</v>
      </c>
      <c r="C365">
        <v>95.849350000000001</v>
      </c>
    </row>
    <row r="366" spans="1:3" x14ac:dyDescent="0.25">
      <c r="A366" s="1">
        <f t="shared" si="3"/>
        <v>43616</v>
      </c>
      <c r="B366">
        <v>97.352890000000002</v>
      </c>
      <c r="C366">
        <v>97.169319999999999</v>
      </c>
    </row>
    <row r="367" spans="1:3" x14ac:dyDescent="0.25">
      <c r="A367" s="1">
        <f t="shared" si="3"/>
        <v>43646</v>
      </c>
      <c r="B367">
        <v>94.360200000000006</v>
      </c>
      <c r="C367">
        <v>96.540270000000007</v>
      </c>
    </row>
    <row r="368" spans="1:3" x14ac:dyDescent="0.25">
      <c r="A368" s="1">
        <f t="shared" si="3"/>
        <v>43677</v>
      </c>
      <c r="B368">
        <v>99.950599999999994</v>
      </c>
      <c r="C368">
        <v>96.310929999999999</v>
      </c>
    </row>
    <row r="369" spans="1:7" x14ac:dyDescent="0.25">
      <c r="A369" s="1">
        <f t="shared" si="3"/>
        <v>43708</v>
      </c>
      <c r="B369">
        <v>99.284710000000004</v>
      </c>
      <c r="C369">
        <v>96.575370000000007</v>
      </c>
    </row>
    <row r="370" spans="1:7" x14ac:dyDescent="0.25">
      <c r="A370" s="1">
        <f t="shared" si="3"/>
        <v>43738</v>
      </c>
      <c r="B370">
        <v>96.520409999999998</v>
      </c>
      <c r="C370">
        <v>96.930260000000004</v>
      </c>
    </row>
    <row r="371" spans="1:7" x14ac:dyDescent="0.25">
      <c r="A371" s="1">
        <f t="shared" si="3"/>
        <v>43769</v>
      </c>
      <c r="B371">
        <v>99.92756</v>
      </c>
      <c r="C371">
        <v>98.066040000000001</v>
      </c>
    </row>
    <row r="372" spans="1:7" x14ac:dyDescent="0.25">
      <c r="A372" s="1">
        <f t="shared" si="3"/>
        <v>43799</v>
      </c>
      <c r="B372">
        <v>97.13382</v>
      </c>
      <c r="C372">
        <v>97.861040000000003</v>
      </c>
    </row>
    <row r="373" spans="1:7" x14ac:dyDescent="0.25">
      <c r="A373" s="1">
        <f t="shared" si="3"/>
        <v>43830</v>
      </c>
      <c r="B373">
        <v>96.429789999999997</v>
      </c>
      <c r="C373">
        <v>97.51876</v>
      </c>
    </row>
    <row r="374" spans="1:7" x14ac:dyDescent="0.25">
      <c r="A374" s="1">
        <f t="shared" si="3"/>
        <v>43861</v>
      </c>
      <c r="B374">
        <v>93.669250000000005</v>
      </c>
      <c r="C374">
        <v>97.574020000000004</v>
      </c>
    </row>
    <row r="375" spans="1:7" x14ac:dyDescent="0.25">
      <c r="A375" s="1">
        <f t="shared" si="3"/>
        <v>43890</v>
      </c>
      <c r="B375">
        <v>93.959609999999998</v>
      </c>
      <c r="C375">
        <v>97.746279999999999</v>
      </c>
    </row>
    <row r="376" spans="1:7" x14ac:dyDescent="0.25">
      <c r="A376" s="1">
        <f t="shared" si="3"/>
        <v>43921</v>
      </c>
      <c r="B376">
        <v>95.294370000000001</v>
      </c>
      <c r="C376">
        <v>91.169359999999998</v>
      </c>
      <c r="G376" s="3"/>
    </row>
    <row r="377" spans="1:7" x14ac:dyDescent="0.25">
      <c r="A377" s="1">
        <f t="shared" si="3"/>
        <v>43951</v>
      </c>
      <c r="B377">
        <v>83.567719999999994</v>
      </c>
      <c r="C377">
        <v>82.995609999999999</v>
      </c>
    </row>
    <row r="378" spans="1:7" x14ac:dyDescent="0.25">
      <c r="A378" s="1">
        <f t="shared" si="3"/>
        <v>43982</v>
      </c>
      <c r="B378">
        <v>84.257530000000003</v>
      </c>
      <c r="C378">
        <v>85.608860000000007</v>
      </c>
    </row>
    <row r="379" spans="1:7" x14ac:dyDescent="0.25">
      <c r="A379" s="1">
        <f t="shared" si="3"/>
        <v>44012</v>
      </c>
      <c r="B379">
        <v>88.889799999999994</v>
      </c>
      <c r="C379">
        <v>89.399979999999999</v>
      </c>
    </row>
    <row r="380" spans="1:7" x14ac:dyDescent="0.25">
      <c r="A380" s="1">
        <f t="shared" si="3"/>
        <v>44043</v>
      </c>
      <c r="B380">
        <v>95.488849999999999</v>
      </c>
      <c r="C380">
        <v>91.761499999999998</v>
      </c>
      <c r="G380" s="2"/>
    </row>
    <row r="381" spans="1:7" x14ac:dyDescent="0.25">
      <c r="A381" s="1">
        <f t="shared" si="3"/>
        <v>44074</v>
      </c>
      <c r="B381">
        <v>94.957819999999998</v>
      </c>
      <c r="C381">
        <v>93.485550000000003</v>
      </c>
    </row>
    <row r="382" spans="1:7" x14ac:dyDescent="0.25">
      <c r="A382" s="1">
        <f t="shared" si="3"/>
        <v>44104</v>
      </c>
      <c r="B382">
        <v>95.81532</v>
      </c>
      <c r="C382">
        <v>95.392960000000002</v>
      </c>
    </row>
    <row r="383" spans="1:7" x14ac:dyDescent="0.25">
      <c r="A383" s="1">
        <f t="shared" si="3"/>
        <v>44135</v>
      </c>
      <c r="B383">
        <v>97.814229999999995</v>
      </c>
      <c r="C383">
        <v>97.256910000000005</v>
      </c>
    </row>
    <row r="384" spans="1:7" x14ac:dyDescent="0.25">
      <c r="A384" s="1">
        <f t="shared" si="3"/>
        <v>44165</v>
      </c>
      <c r="B384">
        <v>96.501109999999997</v>
      </c>
      <c r="C384">
        <v>97.455520000000007</v>
      </c>
    </row>
    <row r="385" spans="1:3" x14ac:dyDescent="0.25">
      <c r="A385" s="1">
        <f t="shared" si="3"/>
        <v>44196</v>
      </c>
      <c r="B385">
        <v>97.507599999999996</v>
      </c>
      <c r="C385">
        <v>97.612589999999997</v>
      </c>
    </row>
    <row r="386" spans="1:3" x14ac:dyDescent="0.25">
      <c r="A386" s="1">
        <f t="shared" si="3"/>
        <v>44227</v>
      </c>
      <c r="B386">
        <v>91.899270000000001</v>
      </c>
      <c r="C386">
        <v>97.724199999999996</v>
      </c>
    </row>
    <row r="387" spans="1:3" x14ac:dyDescent="0.25">
      <c r="A387" s="1">
        <f t="shared" si="3"/>
        <v>44255</v>
      </c>
      <c r="B387">
        <v>93.883240000000001</v>
      </c>
      <c r="C387">
        <v>98.674930000000003</v>
      </c>
    </row>
    <row r="388" spans="1:3" x14ac:dyDescent="0.25">
      <c r="A388" s="1">
        <f t="shared" si="3"/>
        <v>44286</v>
      </c>
      <c r="B388">
        <v>101.1157</v>
      </c>
      <c r="C388">
        <v>95.198260000000005</v>
      </c>
    </row>
    <row r="389" spans="1:3" x14ac:dyDescent="0.25">
      <c r="A389" s="1">
        <f t="shared" si="3"/>
        <v>44316</v>
      </c>
      <c r="B389">
        <v>97.221360000000004</v>
      </c>
      <c r="C389">
        <v>96.348169999999996</v>
      </c>
    </row>
    <row r="390" spans="1:3" x14ac:dyDescent="0.25">
      <c r="A390" s="1">
        <f t="shared" si="3"/>
        <v>44347</v>
      </c>
      <c r="B390">
        <v>96.028480000000002</v>
      </c>
      <c r="C390">
        <v>97.126890000000003</v>
      </c>
    </row>
    <row r="391" spans="1:3" x14ac:dyDescent="0.25">
      <c r="A391" s="1">
        <f t="shared" si="3"/>
        <v>44377</v>
      </c>
      <c r="B391">
        <v>96.357060000000004</v>
      </c>
      <c r="C391">
        <v>96.651240000000001</v>
      </c>
    </row>
    <row r="392" spans="1:3" x14ac:dyDescent="0.25">
      <c r="A392" s="1">
        <f t="shared" si="3"/>
        <v>44408</v>
      </c>
      <c r="B392">
        <v>99.781090000000006</v>
      </c>
      <c r="C392">
        <v>96.316890000000001</v>
      </c>
    </row>
    <row r="393" spans="1:3" x14ac:dyDescent="0.25">
      <c r="A393" s="1">
        <f t="shared" si="3"/>
        <v>44439</v>
      </c>
      <c r="B393">
        <v>99.149299999999997</v>
      </c>
      <c r="C393">
        <v>96.937950000000001</v>
      </c>
    </row>
    <row r="394" spans="1:3" x14ac:dyDescent="0.25">
      <c r="A394" s="1">
        <f t="shared" si="3"/>
        <v>44469</v>
      </c>
      <c r="B394">
        <v>97.018770000000004</v>
      </c>
      <c r="C394">
        <v>96.909660000000002</v>
      </c>
    </row>
    <row r="395" spans="1:3" x14ac:dyDescent="0.25">
      <c r="A395" s="1">
        <f t="shared" si="3"/>
        <v>44500</v>
      </c>
      <c r="B395">
        <v>96.445830000000001</v>
      </c>
      <c r="C395">
        <v>97.383240000000001</v>
      </c>
    </row>
    <row r="396" spans="1:3" x14ac:dyDescent="0.25">
      <c r="A396" s="1">
        <f t="shared" si="3"/>
        <v>44530</v>
      </c>
      <c r="B396">
        <v>97.783649999999994</v>
      </c>
      <c r="C396">
        <v>99.046409999999995</v>
      </c>
    </row>
    <row r="397" spans="1:3" x14ac:dyDescent="0.25">
      <c r="A397" s="1">
        <f t="shared" si="3"/>
        <v>44561</v>
      </c>
      <c r="B397">
        <v>99.319320000000005</v>
      </c>
      <c r="C397">
        <v>99.248260000000002</v>
      </c>
    </row>
    <row r="398" spans="1:3" x14ac:dyDescent="0.25">
      <c r="A398" s="1">
        <f t="shared" si="3"/>
        <v>44592</v>
      </c>
      <c r="B398">
        <v>91.803399999999996</v>
      </c>
      <c r="C398">
        <v>97.471869999999996</v>
      </c>
    </row>
    <row r="399" spans="1:3" x14ac:dyDescent="0.25">
      <c r="A399" s="1">
        <f t="shared" si="3"/>
        <v>44620</v>
      </c>
      <c r="B399">
        <v>95.570620000000005</v>
      </c>
      <c r="C399">
        <v>98.50873</v>
      </c>
    </row>
    <row r="400" spans="1:3" x14ac:dyDescent="0.25">
      <c r="A400" s="1">
        <f t="shared" si="3"/>
        <v>44651</v>
      </c>
      <c r="B400">
        <v>104.63647</v>
      </c>
      <c r="C400">
        <v>99.470569999999995</v>
      </c>
    </row>
    <row r="401" spans="1:3" x14ac:dyDescent="0.25">
      <c r="A401" s="1">
        <f t="shared" si="3"/>
        <v>44681</v>
      </c>
      <c r="B401">
        <v>100.12281</v>
      </c>
      <c r="C401">
        <v>99.683269999999993</v>
      </c>
    </row>
    <row r="402" spans="1:3" x14ac:dyDescent="0.25">
      <c r="A402" s="1">
        <f t="shared" si="3"/>
        <v>44712</v>
      </c>
      <c r="B402">
        <v>99.740440000000007</v>
      </c>
      <c r="C402">
        <v>99.684110000000004</v>
      </c>
    </row>
    <row r="403" spans="1:3" x14ac:dyDescent="0.25">
      <c r="A403" s="1">
        <f t="shared" si="3"/>
        <v>44742</v>
      </c>
      <c r="B403">
        <v>99.252529999999993</v>
      </c>
      <c r="C403">
        <v>99.483000000000004</v>
      </c>
    </row>
    <row r="404" spans="1:3" x14ac:dyDescent="0.25">
      <c r="A404" s="1">
        <f t="shared" si="3"/>
        <v>44773</v>
      </c>
      <c r="B404">
        <v>104.00342999999999</v>
      </c>
      <c r="C404">
        <v>101.40967000000001</v>
      </c>
    </row>
    <row r="405" spans="1:3" x14ac:dyDescent="0.25">
      <c r="A405" s="1">
        <f t="shared" si="3"/>
        <v>44804</v>
      </c>
      <c r="B405">
        <v>104.53075</v>
      </c>
      <c r="C405">
        <v>101.06383</v>
      </c>
    </row>
    <row r="406" spans="1:3" x14ac:dyDescent="0.25">
      <c r="A406" s="1">
        <f t="shared" si="3"/>
        <v>44834</v>
      </c>
      <c r="B406">
        <v>101.12855</v>
      </c>
      <c r="C406">
        <v>101.08479</v>
      </c>
    </row>
    <row r="407" spans="1:3" x14ac:dyDescent="0.25">
      <c r="A407" s="1">
        <f t="shared" si="3"/>
        <v>44865</v>
      </c>
      <c r="B407">
        <v>100.17021</v>
      </c>
      <c r="C407">
        <v>101.48981000000001</v>
      </c>
    </row>
    <row r="408" spans="1:3" x14ac:dyDescent="0.25">
      <c r="A408" s="1">
        <f t="shared" si="3"/>
        <v>44895</v>
      </c>
      <c r="B408">
        <v>99.048940000000002</v>
      </c>
      <c r="C408">
        <v>100.67072</v>
      </c>
    </row>
    <row r="409" spans="1:3" x14ac:dyDescent="0.25">
      <c r="A409" s="1">
        <f t="shared" si="3"/>
        <v>44926</v>
      </c>
      <c r="B409">
        <v>99.991849999999999</v>
      </c>
      <c r="C409">
        <v>100.41405</v>
      </c>
    </row>
    <row r="410" spans="1:3" x14ac:dyDescent="0.25">
      <c r="A410" s="1">
        <f t="shared" si="3"/>
        <v>44957</v>
      </c>
      <c r="B410">
        <v>95.24127</v>
      </c>
      <c r="C410">
        <v>100.17352</v>
      </c>
    </row>
    <row r="411" spans="1:3" x14ac:dyDescent="0.25">
      <c r="A411" s="1">
        <f t="shared" si="3"/>
        <v>44985</v>
      </c>
      <c r="B411">
        <v>98.632670000000005</v>
      </c>
      <c r="C411">
        <v>103.22615999999999</v>
      </c>
    </row>
    <row r="412" spans="1:3" x14ac:dyDescent="0.25">
      <c r="A412" s="1">
        <f t="shared" si="3"/>
        <v>45016</v>
      </c>
      <c r="B412">
        <v>110.76553</v>
      </c>
      <c r="C412">
        <v>102.92946000000001</v>
      </c>
    </row>
    <row r="413" spans="1:3" x14ac:dyDescent="0.25">
      <c r="A413" s="1">
        <f t="shared" si="3"/>
        <v>45046</v>
      </c>
      <c r="B413">
        <v>103.93595000000001</v>
      </c>
      <c r="C413">
        <v>104.36829</v>
      </c>
    </row>
    <row r="414" spans="1:3" x14ac:dyDescent="0.25">
      <c r="A414" s="1">
        <f t="shared" si="3"/>
        <v>45077</v>
      </c>
      <c r="B414">
        <v>102.76781</v>
      </c>
      <c r="C414">
        <v>102.51595</v>
      </c>
    </row>
    <row r="415" spans="1:3" x14ac:dyDescent="0.25">
      <c r="A415" s="1">
        <f t="shared" si="3"/>
        <v>45107</v>
      </c>
      <c r="B415">
        <v>102.22735</v>
      </c>
      <c r="C415">
        <v>102.37609999999999</v>
      </c>
    </row>
    <row r="416" spans="1:3" x14ac:dyDescent="0.25">
      <c r="A416" s="1">
        <f t="shared" si="3"/>
        <v>45138</v>
      </c>
      <c r="B416">
        <v>105.37272</v>
      </c>
      <c r="C416">
        <v>102.84178</v>
      </c>
    </row>
    <row r="417" spans="1:3" x14ac:dyDescent="0.25">
      <c r="A417" s="1">
        <f t="shared" si="3"/>
        <v>45169</v>
      </c>
      <c r="B417">
        <v>106.06159</v>
      </c>
      <c r="C417">
        <v>102.43837000000001</v>
      </c>
    </row>
    <row r="418" spans="1:3" x14ac:dyDescent="0.25">
      <c r="A418" s="1">
        <f t="shared" si="3"/>
        <v>45199</v>
      </c>
      <c r="B418">
        <v>101.75502</v>
      </c>
      <c r="C418">
        <v>102.4931</v>
      </c>
    </row>
    <row r="419" spans="1:3" x14ac:dyDescent="0.25">
      <c r="A419" s="1">
        <f t="shared" si="3"/>
        <v>45230</v>
      </c>
      <c r="B419">
        <v>101.96173</v>
      </c>
      <c r="C419">
        <v>102.80146999999999</v>
      </c>
    </row>
    <row r="420" spans="1:3" x14ac:dyDescent="0.25">
      <c r="A420" s="1">
        <f t="shared" si="3"/>
        <v>45260</v>
      </c>
      <c r="B420">
        <v>101.6656</v>
      </c>
      <c r="C420">
        <v>103.63195</v>
      </c>
    </row>
    <row r="421" spans="1:3" x14ac:dyDescent="0.25">
      <c r="A421" s="1">
        <f t="shared" si="3"/>
        <v>45291</v>
      </c>
      <c r="B421">
        <v>101.70523</v>
      </c>
      <c r="C421">
        <v>104.6737</v>
      </c>
    </row>
    <row r="422" spans="1:3" x14ac:dyDescent="0.25">
      <c r="A422" s="1">
        <f t="shared" si="3"/>
        <v>45322</v>
      </c>
      <c r="B422">
        <v>99.300659999999993</v>
      </c>
      <c r="C422">
        <v>104.42182</v>
      </c>
    </row>
    <row r="423" spans="1:3" x14ac:dyDescent="0.25">
      <c r="A423" s="1">
        <f t="shared" si="3"/>
        <v>45351</v>
      </c>
      <c r="B423">
        <v>102.15689</v>
      </c>
      <c r="C423">
        <v>104.76922</v>
      </c>
    </row>
    <row r="424" spans="1:3" x14ac:dyDescent="0.25">
      <c r="A424" s="1">
        <f t="shared" si="3"/>
        <v>45382</v>
      </c>
      <c r="B424">
        <v>109.67639</v>
      </c>
      <c r="C424">
        <v>104.41947999999999</v>
      </c>
    </row>
    <row r="425" spans="1:3" x14ac:dyDescent="0.25">
      <c r="A425" s="1">
        <f t="shared" si="3"/>
        <v>45412</v>
      </c>
      <c r="B425">
        <v>109.22726</v>
      </c>
      <c r="C425">
        <v>105.26969</v>
      </c>
    </row>
    <row r="426" spans="1:3" x14ac:dyDescent="0.25">
      <c r="A426" s="1">
        <f t="shared" si="3"/>
        <v>45443</v>
      </c>
      <c r="B426">
        <v>104.70502</v>
      </c>
      <c r="C426">
        <v>105.66086</v>
      </c>
    </row>
    <row r="427" spans="1:3" x14ac:dyDescent="0.25">
      <c r="A427" s="1">
        <f t="shared" si="3"/>
        <v>45473</v>
      </c>
      <c r="B427">
        <v>105.75608</v>
      </c>
      <c r="C427">
        <v>106.50181000000001</v>
      </c>
    </row>
    <row r="428" spans="1:3" x14ac:dyDescent="0.25">
      <c r="A428" s="1">
        <f t="shared" si="3"/>
        <v>45504</v>
      </c>
      <c r="B428">
        <v>111.57008</v>
      </c>
      <c r="C428">
        <v>106.92867</v>
      </c>
    </row>
    <row r="429" spans="1:3" x14ac:dyDescent="0.25">
      <c r="A429" s="1">
        <f t="shared" ref="A429" si="4">EOMONTH(A428,1)</f>
        <v>45535</v>
      </c>
      <c r="B429">
        <v>110.08601</v>
      </c>
      <c r="C429">
        <v>107.11857000000001</v>
      </c>
    </row>
    <row r="430" spans="1:3" x14ac:dyDescent="0.25">
      <c r="A430" s="1">
        <f t="shared" si="3"/>
        <v>45565</v>
      </c>
      <c r="B430">
        <v>107.09712</v>
      </c>
      <c r="C430">
        <v>108.03395999999999</v>
      </c>
    </row>
    <row r="431" spans="1:3" x14ac:dyDescent="0.25">
      <c r="A431" s="1">
        <f t="shared" ref="A431" si="5">EOMONTH(A430,1)</f>
        <v>45596</v>
      </c>
      <c r="B431">
        <v>109.21392</v>
      </c>
      <c r="C431">
        <v>108.19846</v>
      </c>
    </row>
    <row r="432" spans="1:3" x14ac:dyDescent="0.25">
      <c r="A432" s="1">
        <f t="shared" si="3"/>
        <v>45626</v>
      </c>
      <c r="B432">
        <v>105.44529</v>
      </c>
      <c r="C432">
        <v>107.99158</v>
      </c>
    </row>
    <row r="433" spans="1:4" x14ac:dyDescent="0.25">
      <c r="A433" s="1">
        <f t="shared" ref="A433" si="6">EOMONTH(A432,1)</f>
        <v>45657</v>
      </c>
      <c r="B433">
        <v>104.15929</v>
      </c>
      <c r="C433">
        <v>107.08369999999999</v>
      </c>
    </row>
    <row r="434" spans="1:4" x14ac:dyDescent="0.25">
      <c r="A434" s="1">
        <f t="shared" si="3"/>
        <v>45688</v>
      </c>
      <c r="B434">
        <v>102.86958</v>
      </c>
      <c r="C434">
        <v>108.32040000000001</v>
      </c>
    </row>
    <row r="435" spans="1:4" x14ac:dyDescent="0.25">
      <c r="A435" s="1">
        <f t="shared" si="3"/>
        <v>45716</v>
      </c>
      <c r="B435">
        <v>106.93425999999999</v>
      </c>
      <c r="C435">
        <v>108.9195</v>
      </c>
    </row>
    <row r="436" spans="1:4" x14ac:dyDescent="0.25">
      <c r="A436" s="1">
        <f t="shared" si="3"/>
        <v>45747</v>
      </c>
      <c r="B436">
        <v>114.20256999999999</v>
      </c>
      <c r="C436">
        <v>109.83266999999999</v>
      </c>
      <c r="D436" s="2"/>
    </row>
    <row r="437" spans="1:4" x14ac:dyDescent="0.25">
      <c r="A437" s="1">
        <f t="shared" si="3"/>
        <v>45777</v>
      </c>
      <c r="B437">
        <v>112.63181</v>
      </c>
      <c r="C437">
        <v>110.45243000000001</v>
      </c>
    </row>
    <row r="438" spans="1:4" x14ac:dyDescent="0.25">
      <c r="A438" s="1">
        <f t="shared" si="3"/>
        <v>45808</v>
      </c>
      <c r="B438">
        <v>108.63003</v>
      </c>
      <c r="C438">
        <v>109.03852000000001</v>
      </c>
    </row>
    <row r="439" spans="1:4" x14ac:dyDescent="0.25">
      <c r="A439" s="1">
        <f t="shared" ref="A439:A447" si="7">EOMONTH(A438,1)</f>
        <v>45838</v>
      </c>
      <c r="B439">
        <v>107.41998</v>
      </c>
      <c r="C439">
        <v>108.87217</v>
      </c>
    </row>
    <row r="440" spans="1:4" x14ac:dyDescent="0.25">
      <c r="A440" s="1">
        <f t="shared" si="7"/>
        <v>45869</v>
      </c>
      <c r="B440">
        <v>113.26837</v>
      </c>
      <c r="C440">
        <v>108.39055999999999</v>
      </c>
    </row>
    <row r="441" spans="1:4" x14ac:dyDescent="0.25">
      <c r="A441" s="1">
        <f t="shared" si="7"/>
        <v>45900</v>
      </c>
      <c r="B441">
        <v>110.49838</v>
      </c>
      <c r="C441">
        <v>108.82974</v>
      </c>
    </row>
    <row r="442" spans="1:4" x14ac:dyDescent="0.25">
      <c r="A442" s="1">
        <f t="shared" si="7"/>
        <v>45930</v>
      </c>
      <c r="B442">
        <v>109.53515</v>
      </c>
      <c r="C442">
        <v>108.69114999999999</v>
      </c>
    </row>
    <row r="443" spans="1:4" x14ac:dyDescent="0.25">
      <c r="A443" s="1">
        <f t="shared" si="7"/>
        <v>45961</v>
      </c>
      <c r="B443">
        <v>110.16513999999999</v>
      </c>
      <c r="C443">
        <v>108.75556</v>
      </c>
    </row>
    <row r="444" spans="1:4" x14ac:dyDescent="0.25">
      <c r="A444" s="1">
        <f t="shared" si="7"/>
        <v>45991</v>
      </c>
      <c r="B444">
        <v>106.60299000000001</v>
      </c>
      <c r="C444">
        <v>109.28228</v>
      </c>
    </row>
    <row r="445" spans="1:4" x14ac:dyDescent="0.25">
      <c r="A445" s="1">
        <f t="shared" si="7"/>
        <v>46022</v>
      </c>
      <c r="B445">
        <v>107.35732</v>
      </c>
      <c r="C445">
        <v>109.29356</v>
      </c>
    </row>
    <row r="446" spans="1:4" x14ac:dyDescent="0.25">
      <c r="A446" s="1">
        <f t="shared" si="7"/>
        <v>46053</v>
      </c>
      <c r="B446">
        <v>103.97084</v>
      </c>
      <c r="C446">
        <v>110.22869</v>
      </c>
    </row>
    <row r="447" spans="1:4" x14ac:dyDescent="0.25">
      <c r="A447" s="1">
        <f t="shared" si="7"/>
        <v>46081</v>
      </c>
      <c r="B447">
        <v>106.6502</v>
      </c>
      <c r="C447">
        <v>110.89057</v>
      </c>
    </row>
    <row r="449" spans="3:3" x14ac:dyDescent="0.25">
      <c r="C44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C4D5-1BEA-440E-9189-212FA68834A3}">
  <dimension ref="A1:K281"/>
  <sheetViews>
    <sheetView workbookViewId="0">
      <pane xSplit="1" ySplit="1" topLeftCell="B255" activePane="bottomRight" state="frozen"/>
      <selection pane="topRight" activeCell="B1" sqref="B1"/>
      <selection pane="bottomLeft" activeCell="A2" sqref="A2"/>
      <selection pane="bottomRight" activeCell="A278" sqref="A278:A279"/>
    </sheetView>
  </sheetViews>
  <sheetFormatPr defaultRowHeight="15" x14ac:dyDescent="0.25"/>
  <cols>
    <col min="2" max="2" width="16.140625" bestFit="1" customWidth="1"/>
    <col min="3" max="3" width="19.140625" bestFit="1" customWidth="1"/>
    <col min="4" max="4" width="12.42578125" bestFit="1" customWidth="1"/>
    <col min="5" max="5" width="15.42578125" bestFit="1" customWidth="1"/>
    <col min="6" max="6" width="11.7109375" bestFit="1" customWidth="1"/>
    <col min="7" max="7" width="14.7109375" bestFit="1" customWidth="1"/>
    <col min="8" max="8" width="11.5703125" bestFit="1" customWidth="1"/>
    <col min="9" max="9" width="14.5703125" bestFit="1" customWidth="1"/>
    <col min="10" max="10" width="12.7109375" bestFit="1" customWidth="1"/>
    <col min="11" max="11" width="15.7109375" bestFit="1" customWidth="1"/>
  </cols>
  <sheetData>
    <row r="1" spans="1:11" x14ac:dyDescent="0.25"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 x14ac:dyDescent="0.25">
      <c r="A2" s="1">
        <v>37622</v>
      </c>
      <c r="B2">
        <v>41.733110000000003</v>
      </c>
      <c r="C2">
        <v>54.74532</v>
      </c>
      <c r="D2">
        <v>86.725380000000001</v>
      </c>
      <c r="E2">
        <v>91.633340000000004</v>
      </c>
      <c r="F2">
        <v>64.611019999999996</v>
      </c>
      <c r="G2">
        <v>66.084689999999995</v>
      </c>
      <c r="H2">
        <v>68.691500000000005</v>
      </c>
      <c r="I2">
        <v>71.020269999999996</v>
      </c>
      <c r="J2">
        <v>62.280290000000001</v>
      </c>
      <c r="K2">
        <v>65.570009999999996</v>
      </c>
    </row>
    <row r="3" spans="1:11" x14ac:dyDescent="0.25">
      <c r="A3" s="1">
        <v>37653</v>
      </c>
      <c r="B3">
        <v>69.366749999999996</v>
      </c>
      <c r="C3">
        <v>57.637599999999999</v>
      </c>
      <c r="D3">
        <v>85.603830000000002</v>
      </c>
      <c r="E3">
        <v>93.299899999999994</v>
      </c>
      <c r="F3">
        <v>64.607330000000005</v>
      </c>
      <c r="G3">
        <v>66.182900000000004</v>
      </c>
      <c r="H3">
        <v>68.377499999999998</v>
      </c>
      <c r="I3">
        <v>71.855950000000007</v>
      </c>
      <c r="J3">
        <v>61.640619999999998</v>
      </c>
      <c r="K3">
        <v>66.610680000000002</v>
      </c>
    </row>
    <row r="4" spans="1:11" x14ac:dyDescent="0.25">
      <c r="A4" s="1">
        <v>37681</v>
      </c>
      <c r="B4">
        <v>89.805809999999994</v>
      </c>
      <c r="C4">
        <v>56.815100000000001</v>
      </c>
      <c r="D4">
        <v>88.956649999999996</v>
      </c>
      <c r="E4">
        <v>91.122</v>
      </c>
      <c r="F4">
        <v>65.722750000000005</v>
      </c>
      <c r="G4">
        <v>66.461190000000002</v>
      </c>
      <c r="H4">
        <v>70.306259999999995</v>
      </c>
      <c r="I4">
        <v>71.434610000000006</v>
      </c>
      <c r="J4">
        <v>65.166849999999997</v>
      </c>
      <c r="K4">
        <v>66.743279999999999</v>
      </c>
    </row>
    <row r="5" spans="1:11" x14ac:dyDescent="0.25">
      <c r="A5" s="1">
        <v>37712</v>
      </c>
      <c r="B5">
        <v>80.556870000000004</v>
      </c>
      <c r="C5">
        <v>57.618600000000001</v>
      </c>
      <c r="D5">
        <v>88.325050000000005</v>
      </c>
      <c r="E5">
        <v>90.632300000000001</v>
      </c>
      <c r="F5">
        <v>65.450550000000007</v>
      </c>
      <c r="G5">
        <v>65.812719999999999</v>
      </c>
      <c r="H5">
        <v>70.123270000000005</v>
      </c>
      <c r="I5">
        <v>71.012979999999999</v>
      </c>
      <c r="J5">
        <v>65.857230000000001</v>
      </c>
      <c r="K5">
        <v>66.66019</v>
      </c>
    </row>
    <row r="6" spans="1:11" x14ac:dyDescent="0.25">
      <c r="A6" s="1">
        <v>37742</v>
      </c>
      <c r="B6">
        <v>50.411430000000003</v>
      </c>
      <c r="C6">
        <v>54.935720000000003</v>
      </c>
      <c r="D6">
        <v>91.288169999999994</v>
      </c>
      <c r="E6">
        <v>89.444389999999999</v>
      </c>
      <c r="F6">
        <v>65.755989999999997</v>
      </c>
      <c r="G6">
        <v>65.498490000000004</v>
      </c>
      <c r="H6">
        <v>71.103840000000005</v>
      </c>
      <c r="I6">
        <v>70.473820000000003</v>
      </c>
      <c r="J6">
        <v>67.280519999999996</v>
      </c>
      <c r="K6">
        <v>66.079340000000002</v>
      </c>
    </row>
    <row r="7" spans="1:11" x14ac:dyDescent="0.25">
      <c r="A7" s="1">
        <v>37773</v>
      </c>
      <c r="B7">
        <v>53.530819999999999</v>
      </c>
      <c r="C7">
        <v>52.715429999999998</v>
      </c>
      <c r="D7">
        <v>86.685820000000007</v>
      </c>
      <c r="E7">
        <v>88.879199999999997</v>
      </c>
      <c r="F7">
        <v>65.480069999999998</v>
      </c>
      <c r="G7">
        <v>66.205820000000003</v>
      </c>
      <c r="H7">
        <v>69.571629999999999</v>
      </c>
      <c r="I7">
        <v>70.639809999999997</v>
      </c>
      <c r="J7">
        <v>64.213849999999994</v>
      </c>
      <c r="K7">
        <v>65.901939999999996</v>
      </c>
    </row>
    <row r="8" spans="1:11" x14ac:dyDescent="0.25">
      <c r="A8" s="1">
        <v>37803</v>
      </c>
      <c r="B8">
        <v>65.986400000000003</v>
      </c>
      <c r="C8">
        <v>51.487580000000001</v>
      </c>
      <c r="D8">
        <v>92.299769999999995</v>
      </c>
      <c r="E8">
        <v>89.236770000000007</v>
      </c>
      <c r="F8">
        <v>66.486339999999998</v>
      </c>
      <c r="G8">
        <v>65.164079999999998</v>
      </c>
      <c r="H8">
        <v>71.930970000000002</v>
      </c>
      <c r="I8">
        <v>70.050120000000007</v>
      </c>
      <c r="J8">
        <v>68.259450000000001</v>
      </c>
      <c r="K8">
        <v>65.365390000000005</v>
      </c>
    </row>
    <row r="9" spans="1:11" x14ac:dyDescent="0.25">
      <c r="A9" s="1">
        <v>37834</v>
      </c>
      <c r="B9">
        <v>54.88505</v>
      </c>
      <c r="C9">
        <v>56.614190000000001</v>
      </c>
      <c r="D9">
        <v>92.691580000000002</v>
      </c>
      <c r="E9">
        <v>88.721490000000003</v>
      </c>
      <c r="F9">
        <v>66.162210000000002</v>
      </c>
      <c r="G9">
        <v>65.597719999999995</v>
      </c>
      <c r="H9">
        <v>71.630139999999997</v>
      </c>
      <c r="I9">
        <v>70.087850000000003</v>
      </c>
      <c r="J9">
        <v>67.279750000000007</v>
      </c>
      <c r="K9">
        <v>65.19256</v>
      </c>
    </row>
    <row r="10" spans="1:11" x14ac:dyDescent="0.25">
      <c r="A10" s="1">
        <v>37865</v>
      </c>
      <c r="B10">
        <v>44.607860000000002</v>
      </c>
      <c r="C10">
        <v>58.186190000000003</v>
      </c>
      <c r="D10">
        <v>96.160259999999994</v>
      </c>
      <c r="E10">
        <v>91.217669999999998</v>
      </c>
      <c r="F10">
        <v>67.069860000000006</v>
      </c>
      <c r="G10">
        <v>66.132459999999995</v>
      </c>
      <c r="H10">
        <v>73.494969999999995</v>
      </c>
      <c r="I10">
        <v>71.605320000000006</v>
      </c>
      <c r="J10">
        <v>71.120509999999996</v>
      </c>
      <c r="K10">
        <v>68.373069999999998</v>
      </c>
    </row>
    <row r="11" spans="1:11" x14ac:dyDescent="0.25">
      <c r="A11" s="1">
        <v>37895</v>
      </c>
      <c r="B11">
        <v>37.980890000000002</v>
      </c>
      <c r="C11">
        <v>59.213290000000001</v>
      </c>
      <c r="D11">
        <v>101.13373</v>
      </c>
      <c r="E11">
        <v>91.806079999999994</v>
      </c>
      <c r="F11">
        <v>67.989859999999993</v>
      </c>
      <c r="G11">
        <v>66.221459999999993</v>
      </c>
      <c r="H11">
        <v>75.657120000000006</v>
      </c>
      <c r="I11">
        <v>71.765770000000003</v>
      </c>
      <c r="J11">
        <v>75.030379999999994</v>
      </c>
      <c r="K11">
        <v>69.143460000000005</v>
      </c>
    </row>
    <row r="12" spans="1:11" x14ac:dyDescent="0.25">
      <c r="A12" s="1">
        <v>37926</v>
      </c>
      <c r="B12">
        <v>39.757100000000001</v>
      </c>
      <c r="C12">
        <v>57.758189999999999</v>
      </c>
      <c r="D12">
        <v>96.093040000000002</v>
      </c>
      <c r="E12">
        <v>93.114789999999999</v>
      </c>
      <c r="F12">
        <v>66.962599999999995</v>
      </c>
      <c r="G12">
        <v>66.556299999999993</v>
      </c>
      <c r="H12">
        <v>73.191879999999998</v>
      </c>
      <c r="I12">
        <v>71.897350000000003</v>
      </c>
      <c r="J12">
        <v>69.772379999999998</v>
      </c>
      <c r="K12">
        <v>68.033569999999997</v>
      </c>
    </row>
    <row r="13" spans="1:11" x14ac:dyDescent="0.25">
      <c r="A13" s="1">
        <v>37956</v>
      </c>
      <c r="B13">
        <v>43.747750000000003</v>
      </c>
      <c r="C13">
        <v>56.333019999999998</v>
      </c>
      <c r="D13">
        <v>87.609539999999996</v>
      </c>
      <c r="E13">
        <v>92.379109999999997</v>
      </c>
      <c r="F13">
        <v>67.239919999999998</v>
      </c>
      <c r="G13">
        <v>66.630660000000006</v>
      </c>
      <c r="H13">
        <v>71.213740000000001</v>
      </c>
      <c r="I13">
        <v>71.999979999999994</v>
      </c>
      <c r="J13">
        <v>66.135490000000004</v>
      </c>
      <c r="K13">
        <v>67.75215</v>
      </c>
    </row>
    <row r="14" spans="1:11" x14ac:dyDescent="0.25">
      <c r="A14" s="1">
        <v>37987</v>
      </c>
      <c r="B14">
        <v>45.529600000000002</v>
      </c>
      <c r="C14">
        <v>59.364840000000001</v>
      </c>
      <c r="D14">
        <v>87.59966</v>
      </c>
      <c r="E14">
        <v>93.437560000000005</v>
      </c>
      <c r="F14">
        <v>66.010339999999999</v>
      </c>
      <c r="G14">
        <v>67.835430000000002</v>
      </c>
      <c r="H14">
        <v>70.249129999999994</v>
      </c>
      <c r="I14">
        <v>73.107150000000004</v>
      </c>
      <c r="J14">
        <v>65.351190000000003</v>
      </c>
      <c r="K14">
        <v>69.33126</v>
      </c>
    </row>
    <row r="15" spans="1:11" x14ac:dyDescent="0.25">
      <c r="A15" s="1">
        <v>38018</v>
      </c>
      <c r="B15">
        <v>71.748310000000004</v>
      </c>
      <c r="C15">
        <v>59.791580000000003</v>
      </c>
      <c r="D15">
        <v>85.024720000000002</v>
      </c>
      <c r="E15">
        <v>94.038640000000001</v>
      </c>
      <c r="F15">
        <v>65.134420000000006</v>
      </c>
      <c r="G15">
        <v>67.629890000000003</v>
      </c>
      <c r="H15">
        <v>68.707409999999996</v>
      </c>
      <c r="I15">
        <v>73.335989999999995</v>
      </c>
      <c r="J15">
        <v>62.413690000000003</v>
      </c>
      <c r="K15">
        <v>69.246799999999993</v>
      </c>
    </row>
    <row r="16" spans="1:11" x14ac:dyDescent="0.25">
      <c r="A16" s="1">
        <v>38047</v>
      </c>
      <c r="B16">
        <v>95.830160000000006</v>
      </c>
      <c r="C16">
        <v>60.951390000000004</v>
      </c>
      <c r="D16">
        <v>98.646280000000004</v>
      </c>
      <c r="E16">
        <v>95.652559999999994</v>
      </c>
      <c r="F16">
        <v>69.434510000000003</v>
      </c>
      <c r="G16">
        <v>68.109129999999993</v>
      </c>
      <c r="H16">
        <v>76.103999999999999</v>
      </c>
      <c r="I16">
        <v>74.169479999999993</v>
      </c>
      <c r="J16">
        <v>74.623580000000004</v>
      </c>
      <c r="K16">
        <v>71.441730000000007</v>
      </c>
    </row>
    <row r="17" spans="1:11" x14ac:dyDescent="0.25">
      <c r="A17" s="1">
        <v>38078</v>
      </c>
      <c r="B17">
        <v>84.098050000000001</v>
      </c>
      <c r="C17">
        <v>60.507399999999997</v>
      </c>
      <c r="D17">
        <v>93.303120000000007</v>
      </c>
      <c r="E17">
        <v>95.759119999999996</v>
      </c>
      <c r="F17">
        <v>68.112819999999999</v>
      </c>
      <c r="G17">
        <v>68.595500000000001</v>
      </c>
      <c r="H17">
        <v>73.615660000000005</v>
      </c>
      <c r="I17">
        <v>74.696200000000005</v>
      </c>
      <c r="J17">
        <v>70.917289999999994</v>
      </c>
      <c r="K17">
        <v>72.143219999999999</v>
      </c>
    </row>
    <row r="18" spans="1:11" x14ac:dyDescent="0.25">
      <c r="A18" s="1">
        <v>38108</v>
      </c>
      <c r="B18">
        <v>54.236849999999997</v>
      </c>
      <c r="C18">
        <v>58.92924</v>
      </c>
      <c r="D18">
        <v>97.223960000000005</v>
      </c>
      <c r="E18">
        <v>96.26782</v>
      </c>
      <c r="F18">
        <v>68.790610000000001</v>
      </c>
      <c r="G18">
        <v>68.819410000000005</v>
      </c>
      <c r="H18">
        <v>75.111410000000006</v>
      </c>
      <c r="I18">
        <v>74.961569999999995</v>
      </c>
      <c r="J18">
        <v>72.771889999999999</v>
      </c>
      <c r="K18">
        <v>72.492549999999994</v>
      </c>
    </row>
    <row r="19" spans="1:11" x14ac:dyDescent="0.25">
      <c r="A19" s="1">
        <v>38139</v>
      </c>
      <c r="B19">
        <v>59.950139999999998</v>
      </c>
      <c r="C19">
        <v>58.82047</v>
      </c>
      <c r="D19">
        <v>96.884900000000002</v>
      </c>
      <c r="E19">
        <v>97.519180000000006</v>
      </c>
      <c r="F19">
        <v>69.212479999999999</v>
      </c>
      <c r="G19">
        <v>69.283820000000006</v>
      </c>
      <c r="H19">
        <v>75.363829999999993</v>
      </c>
      <c r="I19">
        <v>75.468450000000004</v>
      </c>
      <c r="J19">
        <v>73.044970000000006</v>
      </c>
      <c r="K19">
        <v>73.24888</v>
      </c>
    </row>
    <row r="20" spans="1:11" x14ac:dyDescent="0.25">
      <c r="A20" s="1">
        <v>38169</v>
      </c>
      <c r="B20">
        <v>75.232810000000001</v>
      </c>
      <c r="C20">
        <v>58.557740000000003</v>
      </c>
      <c r="D20">
        <v>100.83229</v>
      </c>
      <c r="E20">
        <v>97.959220000000002</v>
      </c>
      <c r="F20">
        <v>70.529640000000001</v>
      </c>
      <c r="G20">
        <v>69.480779999999996</v>
      </c>
      <c r="H20">
        <v>77.446820000000002</v>
      </c>
      <c r="I20">
        <v>75.860839999999996</v>
      </c>
      <c r="J20">
        <v>75.930790000000002</v>
      </c>
      <c r="K20">
        <v>73.325990000000004</v>
      </c>
    </row>
    <row r="21" spans="1:11" x14ac:dyDescent="0.25">
      <c r="A21" s="1">
        <v>38200</v>
      </c>
      <c r="B21">
        <v>56.998649999999998</v>
      </c>
      <c r="C21">
        <v>58.569090000000003</v>
      </c>
      <c r="D21">
        <v>104.03603</v>
      </c>
      <c r="E21">
        <v>99.151380000000003</v>
      </c>
      <c r="F21">
        <v>70.927750000000003</v>
      </c>
      <c r="G21">
        <v>69.950590000000005</v>
      </c>
      <c r="H21">
        <v>78.354650000000007</v>
      </c>
      <c r="I21">
        <v>76.250569999999996</v>
      </c>
      <c r="J21">
        <v>76.137259999999998</v>
      </c>
      <c r="K21">
        <v>73.293840000000003</v>
      </c>
    </row>
    <row r="22" spans="1:11" x14ac:dyDescent="0.25">
      <c r="A22" s="1">
        <v>38231</v>
      </c>
      <c r="B22">
        <v>45.178739999999998</v>
      </c>
      <c r="C22">
        <v>58.826120000000003</v>
      </c>
      <c r="D22">
        <v>103.68922999999999</v>
      </c>
      <c r="E22">
        <v>99.476140000000001</v>
      </c>
      <c r="F22">
        <v>70.791659999999993</v>
      </c>
      <c r="G22">
        <v>70.54504</v>
      </c>
      <c r="H22">
        <v>78.260329999999996</v>
      </c>
      <c r="I22">
        <v>77.154920000000004</v>
      </c>
      <c r="J22">
        <v>76.508139999999997</v>
      </c>
      <c r="K22">
        <v>75.013189999999994</v>
      </c>
    </row>
    <row r="23" spans="1:11" x14ac:dyDescent="0.25">
      <c r="A23" s="1">
        <v>38261</v>
      </c>
      <c r="B23">
        <v>37.505650000000003</v>
      </c>
      <c r="C23">
        <v>58.19256</v>
      </c>
      <c r="D23">
        <v>104.81623999999999</v>
      </c>
      <c r="E23">
        <v>99.213530000000006</v>
      </c>
      <c r="F23">
        <v>70.924710000000005</v>
      </c>
      <c r="G23">
        <v>70.553020000000004</v>
      </c>
      <c r="H23">
        <v>78.66</v>
      </c>
      <c r="I23">
        <v>76.881190000000004</v>
      </c>
      <c r="J23">
        <v>77.100849999999994</v>
      </c>
      <c r="K23">
        <v>74.471819999999994</v>
      </c>
    </row>
    <row r="24" spans="1:11" x14ac:dyDescent="0.25">
      <c r="A24" s="1">
        <v>38292</v>
      </c>
      <c r="B24">
        <v>41.118819999999999</v>
      </c>
      <c r="C24">
        <v>59.593879999999999</v>
      </c>
      <c r="D24">
        <v>102.27311</v>
      </c>
      <c r="E24">
        <v>99.15258</v>
      </c>
      <c r="F24">
        <v>72.147620000000003</v>
      </c>
      <c r="G24">
        <v>71.725170000000006</v>
      </c>
      <c r="H24">
        <v>78.880700000000004</v>
      </c>
      <c r="I24">
        <v>77.539060000000006</v>
      </c>
      <c r="J24">
        <v>76.600380000000001</v>
      </c>
      <c r="K24">
        <v>74.717590000000001</v>
      </c>
    </row>
    <row r="25" spans="1:11" x14ac:dyDescent="0.25">
      <c r="A25" s="1">
        <v>38322</v>
      </c>
      <c r="B25">
        <v>46.359349999999999</v>
      </c>
      <c r="C25">
        <v>59.431150000000002</v>
      </c>
      <c r="D25">
        <v>95.041470000000004</v>
      </c>
      <c r="E25">
        <v>98.883409999999998</v>
      </c>
      <c r="F25">
        <v>72.015249999999995</v>
      </c>
      <c r="G25">
        <v>71.056749999999994</v>
      </c>
      <c r="H25">
        <v>76.921700000000001</v>
      </c>
      <c r="I25">
        <v>77.227119999999999</v>
      </c>
      <c r="J25">
        <v>73.646649999999994</v>
      </c>
      <c r="K25">
        <v>74.755870000000002</v>
      </c>
    </row>
    <row r="26" spans="1:11" x14ac:dyDescent="0.25">
      <c r="A26" s="1">
        <v>38353</v>
      </c>
      <c r="B26">
        <v>45.87912</v>
      </c>
      <c r="C26">
        <v>59.262169999999998</v>
      </c>
      <c r="D26">
        <v>92.048169999999999</v>
      </c>
      <c r="E26">
        <v>99.302149999999997</v>
      </c>
      <c r="F26">
        <v>69.319000000000003</v>
      </c>
      <c r="G26">
        <v>71.577269999999999</v>
      </c>
      <c r="H26">
        <v>73.845399999999998</v>
      </c>
      <c r="I26">
        <v>77.449290000000005</v>
      </c>
      <c r="J26">
        <v>69.320819999999998</v>
      </c>
      <c r="K26">
        <v>74.659610000000001</v>
      </c>
    </row>
    <row r="27" spans="1:11" x14ac:dyDescent="0.25">
      <c r="A27" s="1">
        <v>38384</v>
      </c>
      <c r="B27">
        <v>74.662729999999996</v>
      </c>
      <c r="C27">
        <v>62.488509999999998</v>
      </c>
      <c r="D27">
        <v>87.680120000000002</v>
      </c>
      <c r="E27">
        <v>98.605620000000002</v>
      </c>
      <c r="F27">
        <v>68.641480000000001</v>
      </c>
      <c r="G27">
        <v>71.590739999999997</v>
      </c>
      <c r="H27">
        <v>72.00582</v>
      </c>
      <c r="I27">
        <v>77.469329999999999</v>
      </c>
      <c r="J27">
        <v>66.090100000000007</v>
      </c>
      <c r="K27">
        <v>74.236720000000005</v>
      </c>
    </row>
    <row r="28" spans="1:11" x14ac:dyDescent="0.25">
      <c r="A28" s="1">
        <v>38412</v>
      </c>
      <c r="B28">
        <v>101.18002</v>
      </c>
      <c r="C28">
        <v>65.197819999999993</v>
      </c>
      <c r="D28">
        <v>99.942949999999996</v>
      </c>
      <c r="E28">
        <v>98.520560000000003</v>
      </c>
      <c r="F28">
        <v>72.518739999999994</v>
      </c>
      <c r="G28">
        <v>71.683149999999998</v>
      </c>
      <c r="H28">
        <v>78.512699999999995</v>
      </c>
      <c r="I28">
        <v>77.408749999999998</v>
      </c>
      <c r="J28">
        <v>75.707809999999995</v>
      </c>
      <c r="K28">
        <v>73.887799999999999</v>
      </c>
    </row>
    <row r="29" spans="1:11" x14ac:dyDescent="0.25">
      <c r="A29" s="1">
        <v>38443</v>
      </c>
      <c r="B29">
        <v>90.556439999999995</v>
      </c>
      <c r="C29">
        <v>65.984200000000001</v>
      </c>
      <c r="D29">
        <v>97.754859999999994</v>
      </c>
      <c r="E29">
        <v>99.729169999999996</v>
      </c>
      <c r="F29">
        <v>71.409509999999997</v>
      </c>
      <c r="G29">
        <v>71.6999</v>
      </c>
      <c r="H29">
        <v>77.029079999999993</v>
      </c>
      <c r="I29">
        <v>77.749579999999995</v>
      </c>
      <c r="J29">
        <v>73.641810000000007</v>
      </c>
      <c r="K29">
        <v>74.018780000000007</v>
      </c>
    </row>
    <row r="30" spans="1:11" x14ac:dyDescent="0.25">
      <c r="A30" s="1">
        <v>38473</v>
      </c>
      <c r="B30">
        <v>54.148130000000002</v>
      </c>
      <c r="C30">
        <v>58.491169999999997</v>
      </c>
      <c r="D30">
        <v>100.53179</v>
      </c>
      <c r="E30">
        <v>99.736130000000003</v>
      </c>
      <c r="F30">
        <v>72.20214</v>
      </c>
      <c r="G30">
        <v>72.113280000000003</v>
      </c>
      <c r="H30">
        <v>78.695599999999999</v>
      </c>
      <c r="I30">
        <v>78.439210000000003</v>
      </c>
      <c r="J30">
        <v>77.307370000000006</v>
      </c>
      <c r="K30">
        <v>76.844350000000006</v>
      </c>
    </row>
    <row r="31" spans="1:11" x14ac:dyDescent="0.25">
      <c r="A31" s="1">
        <v>38504</v>
      </c>
      <c r="B31">
        <v>59.723190000000002</v>
      </c>
      <c r="C31">
        <v>58.260339999999999</v>
      </c>
      <c r="D31">
        <v>100.83437000000001</v>
      </c>
      <c r="E31">
        <v>99.111689999999996</v>
      </c>
      <c r="F31">
        <v>72.372860000000003</v>
      </c>
      <c r="G31">
        <v>71.960449999999994</v>
      </c>
      <c r="H31">
        <v>78.744460000000004</v>
      </c>
      <c r="I31">
        <v>77.952820000000003</v>
      </c>
      <c r="J31">
        <v>76.586110000000005</v>
      </c>
      <c r="K31">
        <v>75.465249999999997</v>
      </c>
    </row>
    <row r="32" spans="1:11" x14ac:dyDescent="0.25">
      <c r="A32" s="1">
        <v>38534</v>
      </c>
      <c r="B32">
        <v>73.462469999999996</v>
      </c>
      <c r="C32">
        <v>56.87077</v>
      </c>
      <c r="D32">
        <v>100.02271</v>
      </c>
      <c r="E32">
        <v>98.644570000000002</v>
      </c>
      <c r="F32">
        <v>72.863110000000006</v>
      </c>
      <c r="G32">
        <v>72.293689999999998</v>
      </c>
      <c r="H32">
        <v>78.933120000000002</v>
      </c>
      <c r="I32">
        <v>78.140910000000005</v>
      </c>
      <c r="J32">
        <v>76.829099999999997</v>
      </c>
      <c r="K32">
        <v>75.593950000000007</v>
      </c>
    </row>
    <row r="33" spans="1:11" x14ac:dyDescent="0.25">
      <c r="A33" s="1">
        <v>38565</v>
      </c>
      <c r="B33">
        <v>55.56897</v>
      </c>
      <c r="C33">
        <v>56.636099999999999</v>
      </c>
      <c r="D33">
        <v>105.71308000000001</v>
      </c>
      <c r="E33">
        <v>98.979979999999998</v>
      </c>
      <c r="F33">
        <v>74.271739999999994</v>
      </c>
      <c r="G33">
        <v>72.660809999999998</v>
      </c>
      <c r="H33">
        <v>81.793239999999997</v>
      </c>
      <c r="I33">
        <v>78.624859999999998</v>
      </c>
      <c r="J33">
        <v>81.822730000000007</v>
      </c>
      <c r="K33">
        <v>77.134150000000005</v>
      </c>
    </row>
    <row r="34" spans="1:11" x14ac:dyDescent="0.25">
      <c r="A34" s="1">
        <v>38596</v>
      </c>
      <c r="B34">
        <v>43.705919999999999</v>
      </c>
      <c r="C34">
        <v>56.708860000000001</v>
      </c>
      <c r="D34">
        <v>102.73656</v>
      </c>
      <c r="E34">
        <v>98.951030000000003</v>
      </c>
      <c r="F34">
        <v>72.976179999999999</v>
      </c>
      <c r="G34">
        <v>72.551259999999999</v>
      </c>
      <c r="H34">
        <v>79.562060000000002</v>
      </c>
      <c r="I34">
        <v>78.373019999999997</v>
      </c>
      <c r="J34">
        <v>76.916529999999995</v>
      </c>
      <c r="K34">
        <v>75.417259999999999</v>
      </c>
    </row>
    <row r="35" spans="1:11" x14ac:dyDescent="0.25">
      <c r="A35" s="1">
        <v>38626</v>
      </c>
      <c r="B35">
        <v>36.291789999999999</v>
      </c>
      <c r="C35">
        <v>56.035429999999998</v>
      </c>
      <c r="D35">
        <v>104.31444999999999</v>
      </c>
      <c r="E35">
        <v>99.189700000000002</v>
      </c>
      <c r="F35">
        <v>73.547669999999997</v>
      </c>
      <c r="G35">
        <v>73.056880000000007</v>
      </c>
      <c r="H35">
        <v>80.409409999999994</v>
      </c>
      <c r="I35">
        <v>78.644559999999998</v>
      </c>
      <c r="J35">
        <v>77.937970000000007</v>
      </c>
      <c r="K35">
        <v>75.385379999999998</v>
      </c>
    </row>
    <row r="36" spans="1:11" x14ac:dyDescent="0.25">
      <c r="A36" s="1">
        <v>38657</v>
      </c>
      <c r="B36">
        <v>40.27543</v>
      </c>
      <c r="C36">
        <v>58.222540000000002</v>
      </c>
      <c r="D36">
        <v>103.23529000000001</v>
      </c>
      <c r="E36">
        <v>100.19206</v>
      </c>
      <c r="F36">
        <v>73.921800000000005</v>
      </c>
      <c r="G36">
        <v>73.512050000000002</v>
      </c>
      <c r="H36">
        <v>80.406700000000001</v>
      </c>
      <c r="I36">
        <v>79.117230000000006</v>
      </c>
      <c r="J36">
        <v>77.793949999999995</v>
      </c>
      <c r="K36">
        <v>75.954639999999998</v>
      </c>
    </row>
    <row r="37" spans="1:11" x14ac:dyDescent="0.25">
      <c r="A37" s="1">
        <v>38687</v>
      </c>
      <c r="B37">
        <v>46.755679999999998</v>
      </c>
      <c r="C37">
        <v>59.494869999999999</v>
      </c>
      <c r="D37">
        <v>97.498260000000002</v>
      </c>
      <c r="E37">
        <v>101.41766</v>
      </c>
      <c r="F37">
        <v>74.879480000000001</v>
      </c>
      <c r="G37">
        <v>73.986999999999995</v>
      </c>
      <c r="H37">
        <v>79.55189</v>
      </c>
      <c r="I37">
        <v>79.893109999999993</v>
      </c>
      <c r="J37">
        <v>75.902690000000007</v>
      </c>
      <c r="K37">
        <v>76.513279999999995</v>
      </c>
    </row>
    <row r="38" spans="1:11" x14ac:dyDescent="0.25">
      <c r="A38" s="1">
        <v>38718</v>
      </c>
      <c r="B38">
        <v>50.590739999999997</v>
      </c>
      <c r="C38">
        <v>64.883740000000003</v>
      </c>
      <c r="D38">
        <v>95.276210000000006</v>
      </c>
      <c r="E38">
        <v>101.2869</v>
      </c>
      <c r="F38">
        <v>72.424629999999993</v>
      </c>
      <c r="G38">
        <v>74.136669999999995</v>
      </c>
      <c r="H38">
        <v>77.136470000000003</v>
      </c>
      <c r="I38">
        <v>79.981979999999993</v>
      </c>
      <c r="J38">
        <v>73.370720000000006</v>
      </c>
      <c r="K38">
        <v>77.516679999999994</v>
      </c>
    </row>
    <row r="39" spans="1:11" x14ac:dyDescent="0.25">
      <c r="A39" s="1">
        <v>38749</v>
      </c>
      <c r="B39">
        <v>70.785179999999997</v>
      </c>
      <c r="C39">
        <v>59.620910000000002</v>
      </c>
      <c r="D39">
        <v>91.219729999999998</v>
      </c>
      <c r="E39">
        <v>101.6782</v>
      </c>
      <c r="F39">
        <v>71.595060000000004</v>
      </c>
      <c r="G39">
        <v>74.457480000000004</v>
      </c>
      <c r="H39">
        <v>75.295270000000002</v>
      </c>
      <c r="I39">
        <v>80.509990000000002</v>
      </c>
      <c r="J39">
        <v>70.306039999999996</v>
      </c>
      <c r="K39">
        <v>78.195350000000005</v>
      </c>
    </row>
    <row r="40" spans="1:11" x14ac:dyDescent="0.25">
      <c r="A40" s="1">
        <v>38777</v>
      </c>
      <c r="B40">
        <v>90.991370000000003</v>
      </c>
      <c r="C40">
        <v>59.479889999999997</v>
      </c>
      <c r="D40">
        <v>104.11269</v>
      </c>
      <c r="E40">
        <v>101.68553</v>
      </c>
      <c r="F40">
        <v>75.955799999999996</v>
      </c>
      <c r="G40">
        <v>74.851799999999997</v>
      </c>
      <c r="H40">
        <v>82.373819999999995</v>
      </c>
      <c r="I40">
        <v>80.792270000000002</v>
      </c>
      <c r="J40">
        <v>80.839799999999997</v>
      </c>
      <c r="K40">
        <v>78.245919999999998</v>
      </c>
    </row>
    <row r="41" spans="1:11" x14ac:dyDescent="0.25">
      <c r="A41" s="1">
        <v>38808</v>
      </c>
      <c r="B41">
        <v>80.842429999999993</v>
      </c>
      <c r="C41">
        <v>59.57884</v>
      </c>
      <c r="D41">
        <v>95.559730000000002</v>
      </c>
      <c r="E41">
        <v>101.02795</v>
      </c>
      <c r="F41">
        <v>73.67971</v>
      </c>
      <c r="G41">
        <v>75.275170000000003</v>
      </c>
      <c r="H41">
        <v>78.220500000000001</v>
      </c>
      <c r="I41">
        <v>80.991780000000006</v>
      </c>
      <c r="J41">
        <v>74.766900000000007</v>
      </c>
      <c r="K41">
        <v>78.494669999999999</v>
      </c>
    </row>
    <row r="42" spans="1:11" x14ac:dyDescent="0.25">
      <c r="A42" s="1">
        <v>38838</v>
      </c>
      <c r="B42">
        <v>61.507489999999997</v>
      </c>
      <c r="C42">
        <v>66.007829999999998</v>
      </c>
      <c r="D42">
        <v>104.43593</v>
      </c>
      <c r="E42">
        <v>101.37669</v>
      </c>
      <c r="F42">
        <v>76.641559999999998</v>
      </c>
      <c r="G42">
        <v>75.898359999999997</v>
      </c>
      <c r="H42">
        <v>82.835920000000002</v>
      </c>
      <c r="I42">
        <v>81.433369999999996</v>
      </c>
      <c r="J42">
        <v>80.605239999999995</v>
      </c>
      <c r="K42">
        <v>78.330179999999999</v>
      </c>
    </row>
    <row r="43" spans="1:11" x14ac:dyDescent="0.25">
      <c r="A43" s="1">
        <v>38869</v>
      </c>
      <c r="B43">
        <v>68.362089999999995</v>
      </c>
      <c r="C43">
        <v>66.373239999999996</v>
      </c>
      <c r="D43">
        <v>99.841319999999996</v>
      </c>
      <c r="E43">
        <v>99.657449999999997</v>
      </c>
      <c r="F43">
        <v>74.839550000000003</v>
      </c>
      <c r="G43">
        <v>74.907989999999998</v>
      </c>
      <c r="H43">
        <v>80.335999999999999</v>
      </c>
      <c r="I43">
        <v>80.410640000000001</v>
      </c>
      <c r="J43">
        <v>77.949219999999997</v>
      </c>
      <c r="K43">
        <v>78.283079999999998</v>
      </c>
    </row>
    <row r="44" spans="1:11" x14ac:dyDescent="0.25">
      <c r="A44" s="1">
        <v>38899</v>
      </c>
      <c r="B44">
        <v>85.374020000000002</v>
      </c>
      <c r="C44">
        <v>65.88767</v>
      </c>
      <c r="D44">
        <v>103.65741</v>
      </c>
      <c r="E44">
        <v>102.07979</v>
      </c>
      <c r="F44">
        <v>76.904150000000001</v>
      </c>
      <c r="G44">
        <v>76.329279999999997</v>
      </c>
      <c r="H44">
        <v>82.961020000000005</v>
      </c>
      <c r="I44">
        <v>82.131450000000001</v>
      </c>
      <c r="J44">
        <v>81.297169999999994</v>
      </c>
      <c r="K44">
        <v>80.166839999999993</v>
      </c>
    </row>
    <row r="45" spans="1:11" x14ac:dyDescent="0.25">
      <c r="A45" s="1">
        <v>38930</v>
      </c>
      <c r="B45">
        <v>65.063689999999994</v>
      </c>
      <c r="C45">
        <v>65.652209999999997</v>
      </c>
      <c r="D45">
        <v>108.94698</v>
      </c>
      <c r="E45">
        <v>101.65519</v>
      </c>
      <c r="F45">
        <v>78.201229999999995</v>
      </c>
      <c r="G45">
        <v>76.377920000000003</v>
      </c>
      <c r="H45">
        <v>85.477010000000007</v>
      </c>
      <c r="I45">
        <v>81.992530000000002</v>
      </c>
      <c r="J45">
        <v>85.160539999999997</v>
      </c>
      <c r="K45">
        <v>80.048839999999998</v>
      </c>
    </row>
    <row r="46" spans="1:11" x14ac:dyDescent="0.25">
      <c r="A46" s="1">
        <v>38961</v>
      </c>
      <c r="B46">
        <v>50.0627</v>
      </c>
      <c r="C46">
        <v>64.585710000000006</v>
      </c>
      <c r="D46">
        <v>104.18968</v>
      </c>
      <c r="E46">
        <v>101.55408</v>
      </c>
      <c r="F46">
        <v>76.635040000000004</v>
      </c>
      <c r="G46">
        <v>76.540130000000005</v>
      </c>
      <c r="H46">
        <v>82.840220000000002</v>
      </c>
      <c r="I46">
        <v>82.094819999999999</v>
      </c>
      <c r="J46">
        <v>80.956220000000002</v>
      </c>
      <c r="K46">
        <v>79.933880000000002</v>
      </c>
    </row>
    <row r="47" spans="1:11" x14ac:dyDescent="0.25">
      <c r="A47" s="1">
        <v>38991</v>
      </c>
      <c r="B47">
        <v>42.76576</v>
      </c>
      <c r="C47">
        <v>65.585179999999994</v>
      </c>
      <c r="D47">
        <v>109.29606</v>
      </c>
      <c r="E47">
        <v>103.48900999999999</v>
      </c>
      <c r="F47">
        <v>78.354259999999996</v>
      </c>
      <c r="G47">
        <v>77.313569999999999</v>
      </c>
      <c r="H47">
        <v>85.608530000000002</v>
      </c>
      <c r="I47">
        <v>83.163589999999999</v>
      </c>
      <c r="J47">
        <v>84.944329999999994</v>
      </c>
      <c r="K47">
        <v>81.337850000000003</v>
      </c>
    </row>
    <row r="48" spans="1:11" x14ac:dyDescent="0.25">
      <c r="A48" s="1">
        <v>39022</v>
      </c>
      <c r="B48">
        <v>44.839689999999997</v>
      </c>
      <c r="C48">
        <v>64.719579999999993</v>
      </c>
      <c r="D48">
        <v>107.69432999999999</v>
      </c>
      <c r="E48">
        <v>104.76327999999999</v>
      </c>
      <c r="F48">
        <v>78.108900000000006</v>
      </c>
      <c r="G48">
        <v>77.693770000000001</v>
      </c>
      <c r="H48">
        <v>84.989760000000004</v>
      </c>
      <c r="I48">
        <v>83.74203</v>
      </c>
      <c r="J48">
        <v>84.074960000000004</v>
      </c>
      <c r="K48">
        <v>82.221450000000004</v>
      </c>
    </row>
    <row r="49" spans="1:11" x14ac:dyDescent="0.25">
      <c r="A49" s="1">
        <v>39052</v>
      </c>
      <c r="B49">
        <v>52.227069999999998</v>
      </c>
      <c r="C49">
        <v>66.011200000000002</v>
      </c>
      <c r="D49">
        <v>100.00317</v>
      </c>
      <c r="E49">
        <v>107.68725000000001</v>
      </c>
      <c r="F49">
        <v>78.223960000000005</v>
      </c>
      <c r="G49">
        <v>78.539429999999996</v>
      </c>
      <c r="H49">
        <v>82.769080000000002</v>
      </c>
      <c r="I49">
        <v>85.06859</v>
      </c>
      <c r="J49">
        <v>79.463369999999998</v>
      </c>
      <c r="K49">
        <v>82.659930000000003</v>
      </c>
    </row>
    <row r="50" spans="1:11" x14ac:dyDescent="0.25">
      <c r="A50" s="1">
        <v>39083</v>
      </c>
      <c r="B50">
        <v>52.440579999999997</v>
      </c>
      <c r="C50">
        <v>67.058440000000004</v>
      </c>
      <c r="D50">
        <v>98.71508</v>
      </c>
      <c r="E50">
        <v>104.79345000000001</v>
      </c>
      <c r="F50">
        <v>77.00864</v>
      </c>
      <c r="G50">
        <v>78.870639999999995</v>
      </c>
      <c r="H50">
        <v>81.581519999999998</v>
      </c>
      <c r="I50">
        <v>84.567530000000005</v>
      </c>
      <c r="J50">
        <v>78.386330000000001</v>
      </c>
      <c r="K50">
        <v>82.714089999999999</v>
      </c>
    </row>
    <row r="51" spans="1:11" x14ac:dyDescent="0.25">
      <c r="A51" s="1">
        <v>39114</v>
      </c>
      <c r="B51">
        <v>74.919960000000003</v>
      </c>
      <c r="C51">
        <v>63.484119999999997</v>
      </c>
      <c r="D51">
        <v>94.286140000000003</v>
      </c>
      <c r="E51">
        <v>105.92846</v>
      </c>
      <c r="F51">
        <v>75.695070000000001</v>
      </c>
      <c r="G51">
        <v>79.103440000000006</v>
      </c>
      <c r="H51">
        <v>79.185929999999999</v>
      </c>
      <c r="I51">
        <v>85.143600000000006</v>
      </c>
      <c r="J51">
        <v>74.171859999999995</v>
      </c>
      <c r="K51">
        <v>83.304249999999996</v>
      </c>
    </row>
    <row r="52" spans="1:11" x14ac:dyDescent="0.25">
      <c r="A52" s="1">
        <v>39142</v>
      </c>
      <c r="B52">
        <v>91.826480000000004</v>
      </c>
      <c r="C52">
        <v>60.748010000000001</v>
      </c>
      <c r="D52">
        <v>108.18241999999999</v>
      </c>
      <c r="E52">
        <v>105.6082</v>
      </c>
      <c r="F52">
        <v>80.368589999999998</v>
      </c>
      <c r="G52">
        <v>79.257159999999999</v>
      </c>
      <c r="H52">
        <v>86.881739999999994</v>
      </c>
      <c r="I52">
        <v>85.209410000000005</v>
      </c>
      <c r="J52">
        <v>86.303089999999997</v>
      </c>
      <c r="K52">
        <v>83.469800000000006</v>
      </c>
    </row>
    <row r="53" spans="1:11" x14ac:dyDescent="0.25">
      <c r="A53" s="1">
        <v>39173</v>
      </c>
      <c r="B53">
        <v>82.724379999999996</v>
      </c>
      <c r="C53">
        <v>61.444200000000002</v>
      </c>
      <c r="D53">
        <v>101.71416000000001</v>
      </c>
      <c r="E53">
        <v>106.10276</v>
      </c>
      <c r="F53">
        <v>79.011989999999997</v>
      </c>
      <c r="G53">
        <v>80.032939999999996</v>
      </c>
      <c r="H53">
        <v>83.865690000000001</v>
      </c>
      <c r="I53">
        <v>85.97287</v>
      </c>
      <c r="J53">
        <v>80.903400000000005</v>
      </c>
      <c r="K53">
        <v>83.972899999999996</v>
      </c>
    </row>
    <row r="54" spans="1:11" x14ac:dyDescent="0.25">
      <c r="A54" s="1">
        <v>39203</v>
      </c>
      <c r="B54">
        <v>62.762120000000003</v>
      </c>
      <c r="C54">
        <v>67.102459999999994</v>
      </c>
      <c r="D54">
        <v>110.54239</v>
      </c>
      <c r="E54">
        <v>106.84729</v>
      </c>
      <c r="F54">
        <v>80.715699999999998</v>
      </c>
      <c r="G54">
        <v>80.040959999999998</v>
      </c>
      <c r="H54">
        <v>87.69829</v>
      </c>
      <c r="I54">
        <v>86.196299999999994</v>
      </c>
      <c r="J54">
        <v>87.098669999999998</v>
      </c>
      <c r="K54">
        <v>84.72269</v>
      </c>
    </row>
    <row r="55" spans="1:11" x14ac:dyDescent="0.25">
      <c r="A55" s="1">
        <v>39234</v>
      </c>
      <c r="B55">
        <v>71.422790000000006</v>
      </c>
      <c r="C55">
        <v>69.211190000000002</v>
      </c>
      <c r="D55">
        <v>107.10241000000001</v>
      </c>
      <c r="E55">
        <v>107.66504999999999</v>
      </c>
      <c r="F55">
        <v>79.966920000000002</v>
      </c>
      <c r="G55">
        <v>80.355099999999993</v>
      </c>
      <c r="H55">
        <v>86.06456</v>
      </c>
      <c r="I55">
        <v>86.634180000000001</v>
      </c>
      <c r="J55">
        <v>84.15128</v>
      </c>
      <c r="K55">
        <v>85.178719999999998</v>
      </c>
    </row>
    <row r="56" spans="1:11" x14ac:dyDescent="0.25">
      <c r="A56" s="1">
        <v>39264</v>
      </c>
      <c r="B56">
        <v>96.591819999999998</v>
      </c>
      <c r="C56">
        <v>74.381709999999998</v>
      </c>
      <c r="D56">
        <v>110.35472</v>
      </c>
      <c r="E56">
        <v>107.67167000000001</v>
      </c>
      <c r="F56">
        <v>82.103840000000005</v>
      </c>
      <c r="G56">
        <v>80.93347</v>
      </c>
      <c r="H56">
        <v>88.625780000000006</v>
      </c>
      <c r="I56">
        <v>87.045169999999999</v>
      </c>
      <c r="J56">
        <v>87.546970000000002</v>
      </c>
      <c r="K56">
        <v>85.562470000000005</v>
      </c>
    </row>
    <row r="57" spans="1:11" x14ac:dyDescent="0.25">
      <c r="A57" s="1">
        <v>39295</v>
      </c>
      <c r="B57">
        <v>72.934229999999999</v>
      </c>
      <c r="C57">
        <v>72.874750000000006</v>
      </c>
      <c r="D57">
        <v>116.12175999999999</v>
      </c>
      <c r="E57">
        <v>108.01929</v>
      </c>
      <c r="F57">
        <v>82.959019999999995</v>
      </c>
      <c r="G57">
        <v>81.031059999999997</v>
      </c>
      <c r="H57">
        <v>90.899979999999999</v>
      </c>
      <c r="I57">
        <v>87.151129999999995</v>
      </c>
      <c r="J57">
        <v>91.197569999999999</v>
      </c>
      <c r="K57">
        <v>85.691050000000004</v>
      </c>
    </row>
    <row r="58" spans="1:11" x14ac:dyDescent="0.25">
      <c r="A58" s="1">
        <v>39326</v>
      </c>
      <c r="B58">
        <v>55.229990000000001</v>
      </c>
      <c r="C58">
        <v>70.828749999999999</v>
      </c>
      <c r="D58">
        <v>109.3308</v>
      </c>
      <c r="E58">
        <v>108.55264</v>
      </c>
      <c r="F58">
        <v>81.235079999999996</v>
      </c>
      <c r="G58">
        <v>81.787419999999997</v>
      </c>
      <c r="H58">
        <v>87.651730000000001</v>
      </c>
      <c r="I58">
        <v>87.906300000000002</v>
      </c>
      <c r="J58">
        <v>86.218540000000004</v>
      </c>
      <c r="K58">
        <v>87.00779</v>
      </c>
    </row>
    <row r="59" spans="1:11" x14ac:dyDescent="0.25">
      <c r="A59" s="1">
        <v>39356</v>
      </c>
      <c r="B59">
        <v>47.095829999999999</v>
      </c>
      <c r="C59">
        <v>71.813789999999997</v>
      </c>
      <c r="D59">
        <v>117.73878999999999</v>
      </c>
      <c r="E59">
        <v>109.66531999999999</v>
      </c>
      <c r="F59">
        <v>84.296250000000001</v>
      </c>
      <c r="G59">
        <v>82.534239999999997</v>
      </c>
      <c r="H59">
        <v>92.503789999999995</v>
      </c>
      <c r="I59">
        <v>88.860780000000005</v>
      </c>
      <c r="J59">
        <v>93.842280000000002</v>
      </c>
      <c r="K59">
        <v>88.216790000000003</v>
      </c>
    </row>
    <row r="60" spans="1:11" x14ac:dyDescent="0.25">
      <c r="A60" s="1">
        <v>39387</v>
      </c>
      <c r="B60">
        <v>49.387239999999998</v>
      </c>
      <c r="C60">
        <v>71.294290000000004</v>
      </c>
      <c r="D60">
        <v>112.18313999999999</v>
      </c>
      <c r="E60">
        <v>109.34211000000001</v>
      </c>
      <c r="F60">
        <v>82.994600000000005</v>
      </c>
      <c r="G60">
        <v>82.556960000000004</v>
      </c>
      <c r="H60">
        <v>89.942520000000002</v>
      </c>
      <c r="I60">
        <v>88.711600000000004</v>
      </c>
      <c r="J60">
        <v>89.932060000000007</v>
      </c>
      <c r="K60">
        <v>88.073909999999998</v>
      </c>
    </row>
    <row r="61" spans="1:11" x14ac:dyDescent="0.25">
      <c r="A61" s="1">
        <v>39417</v>
      </c>
      <c r="B61">
        <v>55.979489999999998</v>
      </c>
      <c r="C61">
        <v>70.491280000000003</v>
      </c>
      <c r="D61">
        <v>103.58369999999999</v>
      </c>
      <c r="E61">
        <v>111.96420000000001</v>
      </c>
      <c r="F61">
        <v>82.470249999999993</v>
      </c>
      <c r="G61">
        <v>83.234489999999994</v>
      </c>
      <c r="H61">
        <v>87.011030000000005</v>
      </c>
      <c r="I61">
        <v>89.83184</v>
      </c>
      <c r="J61">
        <v>84.345089999999999</v>
      </c>
      <c r="K61">
        <v>87.630520000000004</v>
      </c>
    </row>
    <row r="62" spans="1:11" x14ac:dyDescent="0.25">
      <c r="A62" s="1">
        <v>39448</v>
      </c>
      <c r="B62">
        <v>55.526699999999998</v>
      </c>
      <c r="C62">
        <v>71.282300000000006</v>
      </c>
      <c r="D62">
        <v>106.16029</v>
      </c>
      <c r="E62">
        <v>112.47297</v>
      </c>
      <c r="F62">
        <v>80.7958</v>
      </c>
      <c r="G62">
        <v>82.94529</v>
      </c>
      <c r="H62">
        <v>86.6203</v>
      </c>
      <c r="I62">
        <v>89.937240000000003</v>
      </c>
      <c r="J62">
        <v>85.434200000000004</v>
      </c>
      <c r="K62">
        <v>90.409760000000006</v>
      </c>
    </row>
    <row r="63" spans="1:11" x14ac:dyDescent="0.25">
      <c r="A63" s="1">
        <v>39479</v>
      </c>
      <c r="B63">
        <v>81.951859999999996</v>
      </c>
      <c r="C63">
        <v>69.859620000000007</v>
      </c>
      <c r="D63">
        <v>102.53897000000001</v>
      </c>
      <c r="E63">
        <v>111.06389</v>
      </c>
      <c r="F63">
        <v>80.329939999999993</v>
      </c>
      <c r="G63">
        <v>83.010670000000005</v>
      </c>
      <c r="H63">
        <v>85.093469999999996</v>
      </c>
      <c r="I63">
        <v>89.611369999999994</v>
      </c>
      <c r="J63">
        <v>82.140190000000004</v>
      </c>
      <c r="K63">
        <v>89.251649999999998</v>
      </c>
    </row>
    <row r="64" spans="1:11" x14ac:dyDescent="0.25">
      <c r="A64" s="1">
        <v>39508</v>
      </c>
      <c r="B64">
        <v>101.02522</v>
      </c>
      <c r="C64">
        <v>67.158109999999994</v>
      </c>
      <c r="D64">
        <v>109.57791</v>
      </c>
      <c r="E64">
        <v>110.87415</v>
      </c>
      <c r="F64">
        <v>83.487870000000001</v>
      </c>
      <c r="G64">
        <v>83.760580000000004</v>
      </c>
      <c r="H64">
        <v>89.190849999999998</v>
      </c>
      <c r="I64">
        <v>89.643330000000006</v>
      </c>
      <c r="J64">
        <v>86.417289999999994</v>
      </c>
      <c r="K64">
        <v>87.215710000000001</v>
      </c>
    </row>
    <row r="65" spans="1:11" x14ac:dyDescent="0.25">
      <c r="A65" s="1">
        <v>39539</v>
      </c>
      <c r="B65">
        <v>92.899510000000006</v>
      </c>
      <c r="C65">
        <v>68.751230000000007</v>
      </c>
      <c r="D65">
        <v>110.82599999999999</v>
      </c>
      <c r="E65">
        <v>112.42346999999999</v>
      </c>
      <c r="F65">
        <v>83.897279999999995</v>
      </c>
      <c r="G65">
        <v>83.790210000000002</v>
      </c>
      <c r="H65">
        <v>90.032340000000005</v>
      </c>
      <c r="I65">
        <v>90.459670000000003</v>
      </c>
      <c r="J65">
        <v>88.532430000000005</v>
      </c>
      <c r="K65">
        <v>88.672219999999996</v>
      </c>
    </row>
    <row r="66" spans="1:11" x14ac:dyDescent="0.25">
      <c r="A66" s="1">
        <v>39569</v>
      </c>
      <c r="B66">
        <v>67.831469999999996</v>
      </c>
      <c r="C66">
        <v>72.52834</v>
      </c>
      <c r="D66">
        <v>113.48972000000001</v>
      </c>
      <c r="E66">
        <v>112.61483</v>
      </c>
      <c r="F66">
        <v>84.057469999999995</v>
      </c>
      <c r="G66">
        <v>84.354179999999999</v>
      </c>
      <c r="H66">
        <v>91.105850000000004</v>
      </c>
      <c r="I66">
        <v>91.099059999999994</v>
      </c>
      <c r="J66">
        <v>91.395150000000001</v>
      </c>
      <c r="K66">
        <v>91.257339999999999</v>
      </c>
    </row>
    <row r="67" spans="1:11" x14ac:dyDescent="0.25">
      <c r="A67" s="1">
        <v>39600</v>
      </c>
      <c r="B67">
        <v>75.950339999999997</v>
      </c>
      <c r="C67">
        <v>73.701419999999999</v>
      </c>
      <c r="D67">
        <v>114.1735</v>
      </c>
      <c r="E67">
        <v>113.90168</v>
      </c>
      <c r="F67">
        <v>84.940439999999995</v>
      </c>
      <c r="G67">
        <v>85.004499999999993</v>
      </c>
      <c r="H67">
        <v>91.853099999999998</v>
      </c>
      <c r="I67">
        <v>92.003559999999993</v>
      </c>
      <c r="J67">
        <v>91.6511</v>
      </c>
      <c r="K67">
        <v>92.398330000000001</v>
      </c>
    </row>
    <row r="68" spans="1:11" x14ac:dyDescent="0.25">
      <c r="A68" s="1">
        <v>39630</v>
      </c>
      <c r="B68">
        <v>97.785979999999995</v>
      </c>
      <c r="C68">
        <v>75.466790000000003</v>
      </c>
      <c r="D68">
        <v>119.60460999999999</v>
      </c>
      <c r="E68">
        <v>114.23139999999999</v>
      </c>
      <c r="F68">
        <v>87.068100000000001</v>
      </c>
      <c r="G68">
        <v>85.089879999999994</v>
      </c>
      <c r="H68">
        <v>94.948179999999994</v>
      </c>
      <c r="I68">
        <v>91.990700000000004</v>
      </c>
      <c r="J68">
        <v>95.807609999999997</v>
      </c>
      <c r="K68">
        <v>91.658140000000003</v>
      </c>
    </row>
    <row r="69" spans="1:11" x14ac:dyDescent="0.25">
      <c r="A69" s="1">
        <v>39661</v>
      </c>
      <c r="B69">
        <v>74.224680000000006</v>
      </c>
      <c r="C69">
        <v>73.777569999999997</v>
      </c>
      <c r="D69">
        <v>119.11864</v>
      </c>
      <c r="E69">
        <v>113.65967000000001</v>
      </c>
      <c r="F69">
        <v>86.543940000000006</v>
      </c>
      <c r="G69">
        <v>85.477810000000005</v>
      </c>
      <c r="H69">
        <v>94.378460000000004</v>
      </c>
      <c r="I69">
        <v>92.058199999999999</v>
      </c>
      <c r="J69">
        <v>94.951089999999994</v>
      </c>
      <c r="K69">
        <v>91.7119</v>
      </c>
    </row>
    <row r="70" spans="1:11" x14ac:dyDescent="0.25">
      <c r="A70" s="1">
        <v>39692</v>
      </c>
      <c r="B70">
        <v>57.298650000000002</v>
      </c>
      <c r="C70">
        <v>73.077479999999994</v>
      </c>
      <c r="D70">
        <v>118.83546</v>
      </c>
      <c r="E70">
        <v>113.56774</v>
      </c>
      <c r="F70">
        <v>86.731579999999994</v>
      </c>
      <c r="G70">
        <v>85.392060000000001</v>
      </c>
      <c r="H70">
        <v>94.443309999999997</v>
      </c>
      <c r="I70">
        <v>91.956500000000005</v>
      </c>
      <c r="J70">
        <v>94.940330000000003</v>
      </c>
      <c r="K70">
        <v>91.559669999999997</v>
      </c>
    </row>
    <row r="71" spans="1:11" x14ac:dyDescent="0.25">
      <c r="A71" s="1">
        <v>39722</v>
      </c>
      <c r="B71">
        <v>47.37209</v>
      </c>
      <c r="C71">
        <v>71.756320000000002</v>
      </c>
      <c r="D71">
        <v>120.92782</v>
      </c>
      <c r="E71">
        <v>110.34368000000001</v>
      </c>
      <c r="F71">
        <v>86.84366</v>
      </c>
      <c r="G71">
        <v>84.346000000000004</v>
      </c>
      <c r="H71">
        <v>95.175190000000001</v>
      </c>
      <c r="I71">
        <v>90.307940000000002</v>
      </c>
      <c r="J71">
        <v>96.535759999999996</v>
      </c>
      <c r="K71">
        <v>89.021829999999994</v>
      </c>
    </row>
    <row r="72" spans="1:11" x14ac:dyDescent="0.25">
      <c r="A72" s="1">
        <v>39753</v>
      </c>
      <c r="B72">
        <v>49.284239999999997</v>
      </c>
      <c r="C72">
        <v>71.28801</v>
      </c>
      <c r="D72">
        <v>108.14951000000001</v>
      </c>
      <c r="E72">
        <v>105.64276</v>
      </c>
      <c r="F72">
        <v>83.528049999999993</v>
      </c>
      <c r="G72">
        <v>83.066059999999993</v>
      </c>
      <c r="H72">
        <v>89.002470000000002</v>
      </c>
      <c r="I72">
        <v>87.840469999999996</v>
      </c>
      <c r="J72">
        <v>86.829740000000001</v>
      </c>
      <c r="K72">
        <v>85.123069999999998</v>
      </c>
    </row>
    <row r="73" spans="1:11" x14ac:dyDescent="0.25">
      <c r="A73" s="1">
        <v>39783</v>
      </c>
      <c r="B73">
        <v>56.032960000000003</v>
      </c>
      <c r="C73">
        <v>70.76258</v>
      </c>
      <c r="D73">
        <v>92.44744</v>
      </c>
      <c r="E73">
        <v>98.162239999999997</v>
      </c>
      <c r="F73">
        <v>82.984849999999994</v>
      </c>
      <c r="G73">
        <v>82.634889999999999</v>
      </c>
      <c r="H73">
        <v>84.409959999999998</v>
      </c>
      <c r="I73">
        <v>85.615729999999999</v>
      </c>
      <c r="J73">
        <v>79.361800000000002</v>
      </c>
      <c r="K73">
        <v>79.352279999999993</v>
      </c>
    </row>
    <row r="74" spans="1:11" x14ac:dyDescent="0.25">
      <c r="A74" s="1">
        <v>39814</v>
      </c>
      <c r="B74">
        <v>54.35866</v>
      </c>
      <c r="C74">
        <v>70.479640000000003</v>
      </c>
      <c r="D74">
        <v>91.02655</v>
      </c>
      <c r="E74">
        <v>97.348560000000006</v>
      </c>
      <c r="F74">
        <v>80.319540000000003</v>
      </c>
      <c r="G74">
        <v>82.826599999999999</v>
      </c>
      <c r="H74">
        <v>81.791349999999994</v>
      </c>
      <c r="I74">
        <v>85.424620000000004</v>
      </c>
      <c r="J74">
        <v>76.061760000000007</v>
      </c>
      <c r="K74">
        <v>81.060550000000006</v>
      </c>
    </row>
    <row r="75" spans="1:11" x14ac:dyDescent="0.25">
      <c r="A75" s="1">
        <v>39845</v>
      </c>
      <c r="B75">
        <v>81.838509999999999</v>
      </c>
      <c r="C75">
        <v>69.802539999999993</v>
      </c>
      <c r="D75">
        <v>88.299310000000006</v>
      </c>
      <c r="E75">
        <v>98.616529999999997</v>
      </c>
      <c r="F75">
        <v>79.498350000000002</v>
      </c>
      <c r="G75">
        <v>83.186440000000005</v>
      </c>
      <c r="H75">
        <v>80.167190000000005</v>
      </c>
      <c r="I75">
        <v>86.064800000000005</v>
      </c>
      <c r="J75">
        <v>72.646000000000001</v>
      </c>
      <c r="K75">
        <v>81.483050000000006</v>
      </c>
    </row>
    <row r="76" spans="1:11" x14ac:dyDescent="0.25">
      <c r="A76" s="1">
        <v>39873</v>
      </c>
      <c r="B76">
        <v>106.31771999999999</v>
      </c>
      <c r="C76">
        <v>70.551339999999996</v>
      </c>
      <c r="D76">
        <v>102.00257000000001</v>
      </c>
      <c r="E76">
        <v>100.57442</v>
      </c>
      <c r="F76">
        <v>84.493070000000003</v>
      </c>
      <c r="G76">
        <v>83.52919</v>
      </c>
      <c r="H76">
        <v>87.955640000000002</v>
      </c>
      <c r="I76">
        <v>86.664019999999994</v>
      </c>
      <c r="J76">
        <v>84.176490000000001</v>
      </c>
      <c r="K76">
        <v>82.61439</v>
      </c>
    </row>
    <row r="77" spans="1:11" x14ac:dyDescent="0.25">
      <c r="A77" s="1">
        <v>39904</v>
      </c>
      <c r="B77">
        <v>94.944119999999998</v>
      </c>
      <c r="C77">
        <v>69.512799999999999</v>
      </c>
      <c r="D77">
        <v>97.767380000000003</v>
      </c>
      <c r="E77">
        <v>100.54176</v>
      </c>
      <c r="F77">
        <v>82.399339999999995</v>
      </c>
      <c r="G77">
        <v>83.295150000000007</v>
      </c>
      <c r="H77">
        <v>85.161029999999997</v>
      </c>
      <c r="I77">
        <v>86.837590000000006</v>
      </c>
      <c r="J77">
        <v>80.39564</v>
      </c>
      <c r="K77">
        <v>82.624390000000005</v>
      </c>
    </row>
    <row r="78" spans="1:11" x14ac:dyDescent="0.25">
      <c r="A78" s="1">
        <v>39934</v>
      </c>
      <c r="B78">
        <v>64.422340000000005</v>
      </c>
      <c r="C78">
        <v>69.152370000000005</v>
      </c>
      <c r="D78">
        <v>103.16083</v>
      </c>
      <c r="E78">
        <v>102.27369</v>
      </c>
      <c r="F78">
        <v>84.242170000000002</v>
      </c>
      <c r="G78">
        <v>84.56568</v>
      </c>
      <c r="H78">
        <v>87.983059999999995</v>
      </c>
      <c r="I78">
        <v>87.991900000000001</v>
      </c>
      <c r="J78">
        <v>83.933729999999997</v>
      </c>
      <c r="K78">
        <v>83.934430000000006</v>
      </c>
    </row>
    <row r="79" spans="1:11" x14ac:dyDescent="0.25">
      <c r="A79" s="1">
        <v>39965</v>
      </c>
      <c r="B79">
        <v>68.846000000000004</v>
      </c>
      <c r="C79">
        <v>67.199290000000005</v>
      </c>
      <c r="D79">
        <v>102.96071999999999</v>
      </c>
      <c r="E79">
        <v>103.16701999999999</v>
      </c>
      <c r="F79">
        <v>85.181370000000001</v>
      </c>
      <c r="G79">
        <v>85.078159999999997</v>
      </c>
      <c r="H79">
        <v>88.603989999999996</v>
      </c>
      <c r="I79">
        <v>88.71369</v>
      </c>
      <c r="J79">
        <v>84.296539999999993</v>
      </c>
      <c r="K79">
        <v>84.957859999999997</v>
      </c>
    </row>
    <row r="80" spans="1:11" x14ac:dyDescent="0.25">
      <c r="A80" s="1">
        <v>39995</v>
      </c>
      <c r="B80">
        <v>85.138639999999995</v>
      </c>
      <c r="C80">
        <v>65.931719999999999</v>
      </c>
      <c r="D80">
        <v>109.3822</v>
      </c>
      <c r="E80">
        <v>104.20764</v>
      </c>
      <c r="F80">
        <v>87.044449999999998</v>
      </c>
      <c r="G80">
        <v>85.200040000000001</v>
      </c>
      <c r="H80">
        <v>91.917969999999997</v>
      </c>
      <c r="I80">
        <v>89.104020000000006</v>
      </c>
      <c r="J80">
        <v>89.514989999999997</v>
      </c>
      <c r="K80">
        <v>85.82253</v>
      </c>
    </row>
    <row r="81" spans="1:11" x14ac:dyDescent="0.25">
      <c r="A81" s="1">
        <v>40026</v>
      </c>
      <c r="B81">
        <v>69.231930000000006</v>
      </c>
      <c r="C81">
        <v>68.700810000000004</v>
      </c>
      <c r="D81">
        <v>111.62547000000001</v>
      </c>
      <c r="E81">
        <v>106.63583</v>
      </c>
      <c r="F81">
        <v>86.987549999999999</v>
      </c>
      <c r="G81">
        <v>85.950530000000001</v>
      </c>
      <c r="H81">
        <v>92.340059999999994</v>
      </c>
      <c r="I81">
        <v>90.195599999999999</v>
      </c>
      <c r="J81">
        <v>89.619489999999999</v>
      </c>
      <c r="K81">
        <v>86.912909999999997</v>
      </c>
    </row>
    <row r="82" spans="1:11" x14ac:dyDescent="0.25">
      <c r="A82" s="1">
        <v>40057</v>
      </c>
      <c r="B82">
        <v>54.658349999999999</v>
      </c>
      <c r="C82">
        <v>69.542829999999995</v>
      </c>
      <c r="D82">
        <v>111.04834</v>
      </c>
      <c r="E82">
        <v>107.57593</v>
      </c>
      <c r="F82">
        <v>87.333129999999997</v>
      </c>
      <c r="G82">
        <v>86.511399999999995</v>
      </c>
      <c r="H82">
        <v>92.565250000000006</v>
      </c>
      <c r="I82">
        <v>90.980090000000004</v>
      </c>
      <c r="J82">
        <v>90.334329999999994</v>
      </c>
      <c r="K82">
        <v>88.477909999999994</v>
      </c>
    </row>
    <row r="83" spans="1:11" x14ac:dyDescent="0.25">
      <c r="A83" s="1">
        <v>40087</v>
      </c>
      <c r="B83">
        <v>46.969850000000001</v>
      </c>
      <c r="C83">
        <v>70.95429</v>
      </c>
      <c r="D83">
        <v>116.73172</v>
      </c>
      <c r="E83">
        <v>109.23976</v>
      </c>
      <c r="F83">
        <v>88.37491</v>
      </c>
      <c r="G83">
        <v>86.837800000000001</v>
      </c>
      <c r="H83">
        <v>95.007649999999998</v>
      </c>
      <c r="I83">
        <v>91.749470000000002</v>
      </c>
      <c r="J83">
        <v>94.330969999999994</v>
      </c>
      <c r="K83">
        <v>89.524540000000002</v>
      </c>
    </row>
    <row r="84" spans="1:11" x14ac:dyDescent="0.25">
      <c r="A84" s="1">
        <v>40118</v>
      </c>
      <c r="B84">
        <v>49.011969999999998</v>
      </c>
      <c r="C84">
        <v>71.154589999999999</v>
      </c>
      <c r="D84">
        <v>113.25866000000001</v>
      </c>
      <c r="E84">
        <v>110.76217</v>
      </c>
      <c r="F84">
        <v>86.767780000000002</v>
      </c>
      <c r="G84">
        <v>86.233090000000004</v>
      </c>
      <c r="H84">
        <v>92.769639999999995</v>
      </c>
      <c r="I84">
        <v>91.546080000000003</v>
      </c>
      <c r="J84">
        <v>91.130219999999994</v>
      </c>
      <c r="K84">
        <v>89.381420000000006</v>
      </c>
    </row>
    <row r="85" spans="1:11" x14ac:dyDescent="0.25">
      <c r="A85" s="1">
        <v>40148</v>
      </c>
      <c r="B85">
        <v>57.608400000000003</v>
      </c>
      <c r="C85">
        <v>73.291449999999998</v>
      </c>
      <c r="D85">
        <v>106.74002</v>
      </c>
      <c r="E85">
        <v>113.38409</v>
      </c>
      <c r="F85">
        <v>88.098789999999994</v>
      </c>
      <c r="G85">
        <v>87.821250000000006</v>
      </c>
      <c r="H85">
        <v>91.958410000000001</v>
      </c>
      <c r="I85">
        <v>93.236990000000006</v>
      </c>
      <c r="J85">
        <v>88.822890000000001</v>
      </c>
      <c r="K85">
        <v>87.808419999999998</v>
      </c>
    </row>
    <row r="86" spans="1:11" x14ac:dyDescent="0.25">
      <c r="A86" s="1">
        <v>40179</v>
      </c>
      <c r="B86">
        <v>55.804209999999998</v>
      </c>
      <c r="C86">
        <v>73.241370000000003</v>
      </c>
      <c r="D86">
        <v>105.4983</v>
      </c>
      <c r="E86">
        <v>114.7771</v>
      </c>
      <c r="F86">
        <v>85.494680000000002</v>
      </c>
      <c r="G86">
        <v>88.859729999999999</v>
      </c>
      <c r="H86">
        <v>89.533799999999999</v>
      </c>
      <c r="I86">
        <v>94.579660000000004</v>
      </c>
      <c r="J86">
        <v>85.692120000000003</v>
      </c>
      <c r="K86">
        <v>92.963409999999996</v>
      </c>
    </row>
    <row r="87" spans="1:11" x14ac:dyDescent="0.25">
      <c r="A87" s="1">
        <v>40210</v>
      </c>
      <c r="B87">
        <v>88.896540000000002</v>
      </c>
      <c r="C87">
        <v>75.483599999999996</v>
      </c>
      <c r="D87">
        <v>103.76452</v>
      </c>
      <c r="E87">
        <v>115.37904</v>
      </c>
      <c r="F87">
        <v>85.305890000000005</v>
      </c>
      <c r="G87">
        <v>89.299040000000005</v>
      </c>
      <c r="H87">
        <v>88.873829999999998</v>
      </c>
      <c r="I87">
        <v>95.304239999999993</v>
      </c>
      <c r="J87">
        <v>84.431479999999993</v>
      </c>
      <c r="K87">
        <v>94.609650000000002</v>
      </c>
    </row>
    <row r="88" spans="1:11" x14ac:dyDescent="0.25">
      <c r="A88" s="1">
        <v>40238</v>
      </c>
      <c r="B88">
        <v>117.5647</v>
      </c>
      <c r="C88">
        <v>77.373490000000004</v>
      </c>
      <c r="D88">
        <v>120.69125</v>
      </c>
      <c r="E88">
        <v>116.6561</v>
      </c>
      <c r="F88">
        <v>92.13749</v>
      </c>
      <c r="G88">
        <v>90.370750000000001</v>
      </c>
      <c r="H88">
        <v>98.839849999999998</v>
      </c>
      <c r="I88">
        <v>96.173230000000004</v>
      </c>
      <c r="J88">
        <v>98.575100000000006</v>
      </c>
      <c r="K88">
        <v>94.932109999999994</v>
      </c>
    </row>
    <row r="89" spans="1:11" x14ac:dyDescent="0.25">
      <c r="A89" s="1">
        <v>40269</v>
      </c>
      <c r="B89">
        <v>105.55410999999999</v>
      </c>
      <c r="C89">
        <v>75.937179999999998</v>
      </c>
      <c r="D89">
        <v>113.24290000000001</v>
      </c>
      <c r="E89">
        <v>116.56318</v>
      </c>
      <c r="F89">
        <v>89.386009999999999</v>
      </c>
      <c r="G89">
        <v>90.154120000000006</v>
      </c>
      <c r="H89">
        <v>94.709239999999994</v>
      </c>
      <c r="I89">
        <v>96.492549999999994</v>
      </c>
      <c r="J89">
        <v>92.918999999999997</v>
      </c>
      <c r="K89">
        <v>95.601100000000002</v>
      </c>
    </row>
    <row r="90" spans="1:11" x14ac:dyDescent="0.25">
      <c r="A90" s="1">
        <v>40299</v>
      </c>
      <c r="B90">
        <v>67.718050000000005</v>
      </c>
      <c r="C90">
        <v>73.046539999999993</v>
      </c>
      <c r="D90">
        <v>118.11781000000001</v>
      </c>
      <c r="E90">
        <v>116.34424</v>
      </c>
      <c r="F90">
        <v>90.356870000000001</v>
      </c>
      <c r="G90">
        <v>90.301789999999997</v>
      </c>
      <c r="H90">
        <v>96.72439</v>
      </c>
      <c r="I90">
        <v>96.24924</v>
      </c>
      <c r="J90">
        <v>95.669160000000005</v>
      </c>
      <c r="K90">
        <v>95.239739999999998</v>
      </c>
    </row>
    <row r="91" spans="1:11" x14ac:dyDescent="0.25">
      <c r="A91" s="1">
        <v>40330</v>
      </c>
      <c r="B91">
        <v>73.404949999999999</v>
      </c>
      <c r="C91">
        <v>72.390100000000004</v>
      </c>
      <c r="D91">
        <v>115.38245999999999</v>
      </c>
      <c r="E91">
        <v>115.64687000000001</v>
      </c>
      <c r="F91">
        <v>90.347880000000004</v>
      </c>
      <c r="G91">
        <v>90.2196</v>
      </c>
      <c r="H91">
        <v>96.066140000000004</v>
      </c>
      <c r="I91">
        <v>96.136340000000004</v>
      </c>
      <c r="J91">
        <v>94.918329999999997</v>
      </c>
      <c r="K91">
        <v>95.580619999999996</v>
      </c>
    </row>
    <row r="92" spans="1:11" x14ac:dyDescent="0.25">
      <c r="A92" s="1">
        <v>40360</v>
      </c>
      <c r="B92">
        <v>91.273759999999996</v>
      </c>
      <c r="C92">
        <v>71.270269999999996</v>
      </c>
      <c r="D92">
        <v>119.97973</v>
      </c>
      <c r="E92">
        <v>115.44074000000001</v>
      </c>
      <c r="F92">
        <v>92.438220000000001</v>
      </c>
      <c r="G92">
        <v>90.977400000000003</v>
      </c>
      <c r="H92">
        <v>99.090069999999997</v>
      </c>
      <c r="I92">
        <v>96.772300000000001</v>
      </c>
      <c r="J92">
        <v>99.802869999999999</v>
      </c>
      <c r="K92">
        <v>96.67304</v>
      </c>
    </row>
    <row r="93" spans="1:11" x14ac:dyDescent="0.25">
      <c r="A93" s="1">
        <v>40391</v>
      </c>
      <c r="B93">
        <v>71.800079999999994</v>
      </c>
      <c r="C93">
        <v>71.403419999999997</v>
      </c>
      <c r="D93">
        <v>122.06629</v>
      </c>
      <c r="E93">
        <v>115.90658999999999</v>
      </c>
      <c r="F93">
        <v>93.298730000000006</v>
      </c>
      <c r="G93">
        <v>91.602559999999997</v>
      </c>
      <c r="H93">
        <v>100.19113</v>
      </c>
      <c r="I93">
        <v>97.262299999999996</v>
      </c>
      <c r="J93">
        <v>100.66517</v>
      </c>
      <c r="K93">
        <v>97.008260000000007</v>
      </c>
    </row>
    <row r="94" spans="1:11" x14ac:dyDescent="0.25">
      <c r="A94" s="1">
        <v>40422</v>
      </c>
      <c r="B94">
        <v>56.893709999999999</v>
      </c>
      <c r="C94">
        <v>72.506079999999997</v>
      </c>
      <c r="D94">
        <v>120.67382000000001</v>
      </c>
      <c r="E94">
        <v>116.48023000000001</v>
      </c>
      <c r="F94">
        <v>92.807140000000004</v>
      </c>
      <c r="G94">
        <v>92.276750000000007</v>
      </c>
      <c r="H94">
        <v>99.546620000000004</v>
      </c>
      <c r="I94">
        <v>98.119280000000003</v>
      </c>
      <c r="J94">
        <v>100.3218</v>
      </c>
      <c r="K94">
        <v>98.855840000000001</v>
      </c>
    </row>
    <row r="95" spans="1:11" x14ac:dyDescent="0.25">
      <c r="A95" s="1">
        <v>40452</v>
      </c>
      <c r="B95">
        <v>47.981050000000003</v>
      </c>
      <c r="C95">
        <v>72.404300000000006</v>
      </c>
      <c r="D95">
        <v>122.12495</v>
      </c>
      <c r="E95">
        <v>116.45677999999999</v>
      </c>
      <c r="F95">
        <v>93.054289999999995</v>
      </c>
      <c r="G95">
        <v>92.400570000000002</v>
      </c>
      <c r="H95">
        <v>99.984440000000006</v>
      </c>
      <c r="I95">
        <v>97.973280000000003</v>
      </c>
      <c r="J95">
        <v>100.28739</v>
      </c>
      <c r="K95">
        <v>97.671300000000002</v>
      </c>
    </row>
    <row r="96" spans="1:11" x14ac:dyDescent="0.25">
      <c r="A96" s="1">
        <v>40483</v>
      </c>
      <c r="B96">
        <v>52.234670000000001</v>
      </c>
      <c r="C96">
        <v>76.229320000000001</v>
      </c>
      <c r="D96">
        <v>120.81422000000001</v>
      </c>
      <c r="E96">
        <v>118.22588</v>
      </c>
      <c r="F96">
        <v>93.435370000000006</v>
      </c>
      <c r="G96">
        <v>92.800229999999999</v>
      </c>
      <c r="H96">
        <v>99.988820000000004</v>
      </c>
      <c r="I96">
        <v>98.646990000000002</v>
      </c>
      <c r="J96">
        <v>100.37074</v>
      </c>
      <c r="K96">
        <v>98.472629999999995</v>
      </c>
    </row>
    <row r="97" spans="1:11" x14ac:dyDescent="0.25">
      <c r="A97" s="1">
        <v>40513</v>
      </c>
      <c r="B97">
        <v>59.584789999999998</v>
      </c>
      <c r="C97">
        <v>76.647130000000004</v>
      </c>
      <c r="D97">
        <v>111.99508</v>
      </c>
      <c r="E97">
        <v>118.14973999999999</v>
      </c>
      <c r="F97">
        <v>93.332409999999996</v>
      </c>
      <c r="G97">
        <v>92.600149999999999</v>
      </c>
      <c r="H97">
        <v>97.338149999999999</v>
      </c>
      <c r="I97">
        <v>97.924400000000006</v>
      </c>
      <c r="J97">
        <v>94.912210000000002</v>
      </c>
      <c r="K97">
        <v>92.005459999999999</v>
      </c>
    </row>
    <row r="98" spans="1:11" x14ac:dyDescent="0.25">
      <c r="A98" s="1">
        <v>40544</v>
      </c>
      <c r="B98">
        <v>61.32188</v>
      </c>
      <c r="C98">
        <v>81.201549999999997</v>
      </c>
      <c r="D98">
        <v>109.52276999999999</v>
      </c>
      <c r="E98">
        <v>118.24542</v>
      </c>
      <c r="F98">
        <v>90.135840000000002</v>
      </c>
      <c r="G98">
        <v>93.21378</v>
      </c>
      <c r="H98">
        <v>94.221080000000001</v>
      </c>
      <c r="I98">
        <v>98.883809999999997</v>
      </c>
      <c r="J98">
        <v>91.596440000000001</v>
      </c>
      <c r="K98">
        <v>98.389229999999998</v>
      </c>
    </row>
    <row r="99" spans="1:11" x14ac:dyDescent="0.25">
      <c r="A99" s="1">
        <v>40575</v>
      </c>
      <c r="B99">
        <v>88.125630000000001</v>
      </c>
      <c r="C99">
        <v>74.121610000000004</v>
      </c>
      <c r="D99">
        <v>111.4361</v>
      </c>
      <c r="E99">
        <v>119.40752999999999</v>
      </c>
      <c r="F99">
        <v>91.056049999999999</v>
      </c>
      <c r="G99">
        <v>93.775630000000007</v>
      </c>
      <c r="H99">
        <v>95.307940000000002</v>
      </c>
      <c r="I99">
        <v>99.704790000000003</v>
      </c>
      <c r="J99">
        <v>92.305800000000005</v>
      </c>
      <c r="K99">
        <v>99.334460000000007</v>
      </c>
    </row>
    <row r="100" spans="1:11" x14ac:dyDescent="0.25">
      <c r="A100" s="1">
        <v>40603</v>
      </c>
      <c r="B100">
        <v>112.53310999999999</v>
      </c>
      <c r="C100">
        <v>73.097949999999997</v>
      </c>
      <c r="D100">
        <v>119.91179</v>
      </c>
      <c r="E100">
        <v>119.06846</v>
      </c>
      <c r="F100">
        <v>94.573759999999993</v>
      </c>
      <c r="G100">
        <v>94.269080000000002</v>
      </c>
      <c r="H100">
        <v>100.3832</v>
      </c>
      <c r="I100">
        <v>99.894310000000004</v>
      </c>
      <c r="J100">
        <v>99.353629999999995</v>
      </c>
      <c r="K100">
        <v>99.506320000000002</v>
      </c>
    </row>
    <row r="101" spans="1:11" x14ac:dyDescent="0.25">
      <c r="A101" s="1">
        <v>40634</v>
      </c>
      <c r="B101">
        <v>100.41445</v>
      </c>
      <c r="C101">
        <v>70.90352</v>
      </c>
      <c r="D101">
        <v>113.29755</v>
      </c>
      <c r="E101">
        <v>117.59659000000001</v>
      </c>
      <c r="F101">
        <v>92.684830000000005</v>
      </c>
      <c r="G101">
        <v>93.994460000000004</v>
      </c>
      <c r="H101">
        <v>97.345759999999999</v>
      </c>
      <c r="I101">
        <v>99.774050000000003</v>
      </c>
      <c r="J101">
        <v>96.230840000000001</v>
      </c>
      <c r="K101">
        <v>99.759600000000006</v>
      </c>
    </row>
    <row r="102" spans="1:11" x14ac:dyDescent="0.25">
      <c r="A102" s="1">
        <v>40664</v>
      </c>
      <c r="B102">
        <v>71.169399999999996</v>
      </c>
      <c r="C102">
        <v>77.286490000000001</v>
      </c>
      <c r="D102">
        <v>122.40169</v>
      </c>
      <c r="E102">
        <v>118.83684</v>
      </c>
      <c r="F102">
        <v>94.715509999999995</v>
      </c>
      <c r="G102">
        <v>93.705020000000005</v>
      </c>
      <c r="H102">
        <v>101.44906</v>
      </c>
      <c r="I102">
        <v>99.720160000000007</v>
      </c>
      <c r="J102">
        <v>102.33947999999999</v>
      </c>
      <c r="K102">
        <v>100.0078</v>
      </c>
    </row>
    <row r="103" spans="1:11" x14ac:dyDescent="0.25">
      <c r="A103" s="1">
        <v>40695</v>
      </c>
      <c r="B103">
        <v>79.901690000000002</v>
      </c>
      <c r="C103">
        <v>79.876149999999996</v>
      </c>
      <c r="D103">
        <v>118.6602</v>
      </c>
      <c r="E103">
        <v>118.92883</v>
      </c>
      <c r="F103">
        <v>94.228989999999996</v>
      </c>
      <c r="G103">
        <v>94.314999999999998</v>
      </c>
      <c r="H103">
        <v>99.867649999999998</v>
      </c>
      <c r="I103">
        <v>100.12629</v>
      </c>
      <c r="J103">
        <v>99.085930000000005</v>
      </c>
      <c r="K103">
        <v>100.18668</v>
      </c>
    </row>
    <row r="104" spans="1:11" x14ac:dyDescent="0.25">
      <c r="A104" s="1">
        <v>40725</v>
      </c>
      <c r="B104">
        <v>102.68468</v>
      </c>
      <c r="C104">
        <v>80.923069999999996</v>
      </c>
      <c r="D104">
        <v>120.7638</v>
      </c>
      <c r="E104">
        <v>118.59917</v>
      </c>
      <c r="F104">
        <v>95.086979999999997</v>
      </c>
      <c r="G104">
        <v>94.477900000000005</v>
      </c>
      <c r="H104">
        <v>101.12703999999999</v>
      </c>
      <c r="I104">
        <v>100.09732</v>
      </c>
      <c r="J104">
        <v>100.89453</v>
      </c>
      <c r="K104">
        <v>99.809899999999999</v>
      </c>
    </row>
    <row r="105" spans="1:11" x14ac:dyDescent="0.25">
      <c r="A105" s="1">
        <v>40756</v>
      </c>
      <c r="B105">
        <v>80.163399999999996</v>
      </c>
      <c r="C105">
        <v>80.193539999999999</v>
      </c>
      <c r="D105">
        <v>126.43259999999999</v>
      </c>
      <c r="E105">
        <v>118.11111</v>
      </c>
      <c r="F105">
        <v>96.775739999999999</v>
      </c>
      <c r="G105">
        <v>94.329539999999994</v>
      </c>
      <c r="H105">
        <v>104.09218</v>
      </c>
      <c r="I105">
        <v>99.967339999999993</v>
      </c>
      <c r="J105">
        <v>105.57683</v>
      </c>
      <c r="K105">
        <v>99.989050000000006</v>
      </c>
    </row>
    <row r="106" spans="1:11" x14ac:dyDescent="0.25">
      <c r="A106" s="1">
        <v>40787</v>
      </c>
      <c r="B106">
        <v>63.780050000000003</v>
      </c>
      <c r="C106">
        <v>81.734200000000001</v>
      </c>
      <c r="D106">
        <v>121.37379</v>
      </c>
      <c r="E106">
        <v>117.25467</v>
      </c>
      <c r="F106">
        <v>94.877300000000005</v>
      </c>
      <c r="G106">
        <v>94.130229999999997</v>
      </c>
      <c r="H106">
        <v>101.18104</v>
      </c>
      <c r="I106">
        <v>99.7</v>
      </c>
      <c r="J106">
        <v>101.30407</v>
      </c>
      <c r="K106">
        <v>99.965699999999998</v>
      </c>
    </row>
    <row r="107" spans="1:11" x14ac:dyDescent="0.25">
      <c r="A107" s="1">
        <v>40817</v>
      </c>
      <c r="B107">
        <v>54.369720000000001</v>
      </c>
      <c r="C107">
        <v>82.324820000000003</v>
      </c>
      <c r="D107">
        <v>122.34965</v>
      </c>
      <c r="E107">
        <v>117.19956999999999</v>
      </c>
      <c r="F107">
        <v>94.932060000000007</v>
      </c>
      <c r="G107">
        <v>94.244200000000006</v>
      </c>
      <c r="H107">
        <v>101.49715</v>
      </c>
      <c r="I107">
        <v>99.656509999999997</v>
      </c>
      <c r="J107">
        <v>101.83493</v>
      </c>
      <c r="K107">
        <v>99.750820000000004</v>
      </c>
    </row>
    <row r="108" spans="1:11" x14ac:dyDescent="0.25">
      <c r="A108" s="1">
        <v>40848</v>
      </c>
      <c r="B108">
        <v>57.845939999999999</v>
      </c>
      <c r="C108">
        <v>85.032070000000004</v>
      </c>
      <c r="D108">
        <v>120.24850000000001</v>
      </c>
      <c r="E108">
        <v>117.63455999999999</v>
      </c>
      <c r="F108">
        <v>94.877449999999996</v>
      </c>
      <c r="G108">
        <v>94.187060000000002</v>
      </c>
      <c r="H108">
        <v>101.19289000000001</v>
      </c>
      <c r="I108">
        <v>99.833150000000003</v>
      </c>
      <c r="J108">
        <v>102.8159</v>
      </c>
      <c r="K108">
        <v>100.83119000000001</v>
      </c>
    </row>
    <row r="109" spans="1:11" x14ac:dyDescent="0.25">
      <c r="A109" s="1">
        <v>40878</v>
      </c>
      <c r="B109">
        <v>64.579689999999999</v>
      </c>
      <c r="C109">
        <v>84.038330000000002</v>
      </c>
      <c r="D109">
        <v>109.22551</v>
      </c>
      <c r="E109">
        <v>115.5027</v>
      </c>
      <c r="F109">
        <v>94.021749999999997</v>
      </c>
      <c r="G109">
        <v>93.081720000000004</v>
      </c>
      <c r="H109">
        <v>98.874579999999995</v>
      </c>
      <c r="I109">
        <v>99.078739999999996</v>
      </c>
      <c r="J109">
        <v>105.69681</v>
      </c>
      <c r="K109">
        <v>100.88128</v>
      </c>
    </row>
    <row r="110" spans="1:11" x14ac:dyDescent="0.25">
      <c r="A110" s="1">
        <v>40909</v>
      </c>
      <c r="B110">
        <v>56.513309999999997</v>
      </c>
      <c r="C110">
        <v>74.925039999999996</v>
      </c>
      <c r="D110">
        <v>107.79474</v>
      </c>
      <c r="E110">
        <v>114.37537</v>
      </c>
      <c r="F110">
        <v>91.102990000000005</v>
      </c>
      <c r="G110">
        <v>93.198779999999999</v>
      </c>
      <c r="H110">
        <v>95.020179999999996</v>
      </c>
      <c r="I110">
        <v>98.298860000000005</v>
      </c>
      <c r="J110">
        <v>95.014179999999996</v>
      </c>
      <c r="K110">
        <v>99.448809999999995</v>
      </c>
    </row>
    <row r="111" spans="1:11" x14ac:dyDescent="0.25">
      <c r="A111" s="1">
        <v>40940</v>
      </c>
      <c r="B111">
        <v>84.097520000000003</v>
      </c>
      <c r="C111">
        <v>69.942409999999995</v>
      </c>
      <c r="D111">
        <v>108.77231999999999</v>
      </c>
      <c r="E111">
        <v>115.67076</v>
      </c>
      <c r="F111">
        <v>91.24606</v>
      </c>
      <c r="G111">
        <v>94.553529999999995</v>
      </c>
      <c r="H111">
        <v>94.904070000000004</v>
      </c>
      <c r="I111">
        <v>99.572059999999993</v>
      </c>
      <c r="J111">
        <v>92.411090000000002</v>
      </c>
      <c r="K111">
        <v>100.01903</v>
      </c>
    </row>
    <row r="112" spans="1:11" x14ac:dyDescent="0.25">
      <c r="A112" s="1">
        <v>40969</v>
      </c>
      <c r="B112">
        <v>105.30933</v>
      </c>
      <c r="C112">
        <v>67.318200000000004</v>
      </c>
      <c r="D112">
        <v>118.7366</v>
      </c>
      <c r="E112">
        <v>114.71254</v>
      </c>
      <c r="F112">
        <v>96.266249999999999</v>
      </c>
      <c r="G112">
        <v>94.910910000000001</v>
      </c>
      <c r="H112">
        <v>101.78267</v>
      </c>
      <c r="I112">
        <v>99.612129999999993</v>
      </c>
      <c r="J112">
        <v>102.8982</v>
      </c>
      <c r="K112">
        <v>100.11808000000001</v>
      </c>
    </row>
    <row r="113" spans="1:11" x14ac:dyDescent="0.25">
      <c r="A113" s="1">
        <v>41000</v>
      </c>
      <c r="B113">
        <v>96.035929999999993</v>
      </c>
      <c r="C113">
        <v>66.500910000000005</v>
      </c>
      <c r="D113">
        <v>111.04464</v>
      </c>
      <c r="E113">
        <v>115.43849</v>
      </c>
      <c r="F113">
        <v>93.631559999999993</v>
      </c>
      <c r="G113">
        <v>95.021749999999997</v>
      </c>
      <c r="H113">
        <v>97.529510000000002</v>
      </c>
      <c r="I113">
        <v>100.10651</v>
      </c>
      <c r="J113">
        <v>96.495959999999997</v>
      </c>
      <c r="K113">
        <v>100.96978</v>
      </c>
    </row>
    <row r="114" spans="1:11" x14ac:dyDescent="0.25">
      <c r="A114" s="1">
        <v>41030</v>
      </c>
      <c r="B114">
        <v>76.097719999999995</v>
      </c>
      <c r="C114">
        <v>83.211320000000001</v>
      </c>
      <c r="D114">
        <v>119.48066</v>
      </c>
      <c r="E114">
        <v>115.60593</v>
      </c>
      <c r="F114">
        <v>96.499009999999998</v>
      </c>
      <c r="G114">
        <v>95.545240000000007</v>
      </c>
      <c r="H114">
        <v>102.15715</v>
      </c>
      <c r="I114">
        <v>100.40689</v>
      </c>
      <c r="J114">
        <v>103.37139999999999</v>
      </c>
      <c r="K114">
        <v>101.12667</v>
      </c>
    </row>
    <row r="115" spans="1:11" x14ac:dyDescent="0.25">
      <c r="A115" s="1">
        <v>41061</v>
      </c>
      <c r="B115">
        <v>85.468389999999999</v>
      </c>
      <c r="C115">
        <v>86.599069999999998</v>
      </c>
      <c r="D115">
        <v>113.23833</v>
      </c>
      <c r="E115">
        <v>114.81196</v>
      </c>
      <c r="F115">
        <v>95.438400000000001</v>
      </c>
      <c r="G115">
        <v>96.004440000000002</v>
      </c>
      <c r="H115">
        <v>99.931460000000001</v>
      </c>
      <c r="I115">
        <v>100.89995999999999</v>
      </c>
      <c r="J115">
        <v>101.61685</v>
      </c>
      <c r="K115">
        <v>103.71185</v>
      </c>
    </row>
    <row r="116" spans="1:11" x14ac:dyDescent="0.25">
      <c r="A116" s="1">
        <v>41091</v>
      </c>
      <c r="B116">
        <v>108.41579</v>
      </c>
      <c r="C116">
        <v>86.513549999999995</v>
      </c>
      <c r="D116">
        <v>118.9853</v>
      </c>
      <c r="E116">
        <v>116.60923</v>
      </c>
      <c r="F116">
        <v>96.901179999999997</v>
      </c>
      <c r="G116">
        <v>95.94905</v>
      </c>
      <c r="H116">
        <v>102.42162</v>
      </c>
      <c r="I116">
        <v>100.99772</v>
      </c>
      <c r="J116">
        <v>104.06762000000001</v>
      </c>
      <c r="K116">
        <v>102.47013</v>
      </c>
    </row>
    <row r="117" spans="1:11" x14ac:dyDescent="0.25">
      <c r="A117" s="1">
        <v>41122</v>
      </c>
      <c r="B117">
        <v>82.289109999999994</v>
      </c>
      <c r="C117">
        <v>83.173749999999998</v>
      </c>
      <c r="D117">
        <v>124.82557</v>
      </c>
      <c r="E117">
        <v>116.18526</v>
      </c>
      <c r="F117">
        <v>98.741190000000003</v>
      </c>
      <c r="G117">
        <v>96.359359999999995</v>
      </c>
      <c r="H117">
        <v>105.74136</v>
      </c>
      <c r="I117">
        <v>101.61282</v>
      </c>
      <c r="J117">
        <v>110.16206</v>
      </c>
      <c r="K117">
        <v>104.53122</v>
      </c>
    </row>
    <row r="118" spans="1:11" x14ac:dyDescent="0.25">
      <c r="A118" s="1">
        <v>41153</v>
      </c>
      <c r="B118">
        <v>61.787770000000002</v>
      </c>
      <c r="C118">
        <v>79.793700000000001</v>
      </c>
      <c r="D118">
        <v>117.65855000000001</v>
      </c>
      <c r="E118">
        <v>116.59273</v>
      </c>
      <c r="F118">
        <v>95.673439999999999</v>
      </c>
      <c r="G118">
        <v>96.260450000000006</v>
      </c>
      <c r="H118">
        <v>100.80292</v>
      </c>
      <c r="I118">
        <v>101.24117</v>
      </c>
      <c r="J118">
        <v>100.45986000000001</v>
      </c>
      <c r="K118">
        <v>102.07441</v>
      </c>
    </row>
    <row r="119" spans="1:11" x14ac:dyDescent="0.25">
      <c r="A119" s="1">
        <v>41183</v>
      </c>
      <c r="B119">
        <v>54.161459999999998</v>
      </c>
      <c r="C119">
        <v>82.278149999999997</v>
      </c>
      <c r="D119">
        <v>125.94104</v>
      </c>
      <c r="E119">
        <v>117.73833</v>
      </c>
      <c r="F119">
        <v>98.599800000000002</v>
      </c>
      <c r="G119">
        <v>96.641819999999996</v>
      </c>
      <c r="H119">
        <v>105.74957999999999</v>
      </c>
      <c r="I119">
        <v>102.05292</v>
      </c>
      <c r="J119">
        <v>109.33557999999999</v>
      </c>
      <c r="K119">
        <v>104.36203999999999</v>
      </c>
    </row>
    <row r="120" spans="1:11" x14ac:dyDescent="0.25">
      <c r="A120" s="1">
        <v>41214</v>
      </c>
      <c r="B120">
        <v>55.158169999999998</v>
      </c>
      <c r="C120">
        <v>81.870580000000004</v>
      </c>
      <c r="D120">
        <v>118.56742</v>
      </c>
      <c r="E120">
        <v>116.03145000000001</v>
      </c>
      <c r="F120">
        <v>97.550610000000006</v>
      </c>
      <c r="G120">
        <v>96.833569999999995</v>
      </c>
      <c r="H120">
        <v>103.07265</v>
      </c>
      <c r="I120">
        <v>101.73599</v>
      </c>
      <c r="J120">
        <v>106.12531</v>
      </c>
      <c r="K120">
        <v>104.00967</v>
      </c>
    </row>
    <row r="121" spans="1:11" x14ac:dyDescent="0.25">
      <c r="A121" s="1">
        <v>41244</v>
      </c>
      <c r="B121">
        <v>58.015309999999999</v>
      </c>
      <c r="C121">
        <v>76.230059999999995</v>
      </c>
      <c r="D121">
        <v>105.50877</v>
      </c>
      <c r="E121">
        <v>115.83914</v>
      </c>
      <c r="F121">
        <v>95.975669999999994</v>
      </c>
      <c r="G121">
        <v>96.248630000000006</v>
      </c>
      <c r="H121">
        <v>99.487979999999993</v>
      </c>
      <c r="I121">
        <v>101.68826</v>
      </c>
      <c r="J121">
        <v>106.67819</v>
      </c>
      <c r="K121">
        <v>105.13023</v>
      </c>
    </row>
    <row r="122" spans="1:11" x14ac:dyDescent="0.25">
      <c r="A122" s="1">
        <v>41275</v>
      </c>
      <c r="B122">
        <v>62.923499999999997</v>
      </c>
      <c r="C122">
        <v>83.374110000000002</v>
      </c>
      <c r="D122">
        <v>109.8343</v>
      </c>
      <c r="E122">
        <v>115.63844</v>
      </c>
      <c r="F122">
        <v>95.233779999999996</v>
      </c>
      <c r="G122">
        <v>97.398939999999996</v>
      </c>
      <c r="H122">
        <v>99.046360000000007</v>
      </c>
      <c r="I122">
        <v>102.16625999999999</v>
      </c>
      <c r="J122">
        <v>101.10012</v>
      </c>
      <c r="K122">
        <v>105.15442</v>
      </c>
    </row>
    <row r="123" spans="1:11" x14ac:dyDescent="0.25">
      <c r="A123" s="1">
        <v>41306</v>
      </c>
      <c r="B123">
        <v>101.68266</v>
      </c>
      <c r="C123">
        <v>83.483990000000006</v>
      </c>
      <c r="D123">
        <v>103.36827</v>
      </c>
      <c r="E123">
        <v>113.32053000000001</v>
      </c>
      <c r="F123">
        <v>92.392080000000007</v>
      </c>
      <c r="G123">
        <v>96.906360000000006</v>
      </c>
      <c r="H123">
        <v>94.494380000000007</v>
      </c>
      <c r="I123">
        <v>101.0761</v>
      </c>
      <c r="J123">
        <v>91.856960000000001</v>
      </c>
      <c r="K123">
        <v>102.63267</v>
      </c>
    </row>
    <row r="124" spans="1:11" x14ac:dyDescent="0.25">
      <c r="A124" s="1">
        <v>41334</v>
      </c>
      <c r="B124">
        <v>132.49653000000001</v>
      </c>
      <c r="C124">
        <v>83.248230000000007</v>
      </c>
      <c r="D124">
        <v>113.44538</v>
      </c>
      <c r="E124">
        <v>113.52052</v>
      </c>
      <c r="F124">
        <v>97.322190000000006</v>
      </c>
      <c r="G124">
        <v>97.569609999999997</v>
      </c>
      <c r="H124">
        <v>101.4864</v>
      </c>
      <c r="I124">
        <v>101.83098</v>
      </c>
      <c r="J124">
        <v>103.49056</v>
      </c>
      <c r="K124">
        <v>104.84256000000001</v>
      </c>
    </row>
    <row r="125" spans="1:11" x14ac:dyDescent="0.25">
      <c r="A125" s="1">
        <v>41365</v>
      </c>
      <c r="B125">
        <v>124.12412999999999</v>
      </c>
      <c r="C125">
        <v>84.427670000000006</v>
      </c>
      <c r="D125">
        <v>116.93386</v>
      </c>
      <c r="E125">
        <v>116.61207</v>
      </c>
      <c r="F125">
        <v>98.591660000000005</v>
      </c>
      <c r="G125">
        <v>98.142110000000002</v>
      </c>
      <c r="H125">
        <v>103.27619</v>
      </c>
      <c r="I125">
        <v>102.9225</v>
      </c>
      <c r="J125">
        <v>105.24912999999999</v>
      </c>
      <c r="K125">
        <v>104.74233</v>
      </c>
    </row>
    <row r="126" spans="1:11" x14ac:dyDescent="0.25">
      <c r="A126" s="1">
        <v>41395</v>
      </c>
      <c r="B126">
        <v>76.884119999999996</v>
      </c>
      <c r="C126">
        <v>84.589500000000001</v>
      </c>
      <c r="D126">
        <v>118.38279</v>
      </c>
      <c r="E126">
        <v>116.87088</v>
      </c>
      <c r="F126">
        <v>98.837779999999995</v>
      </c>
      <c r="G126">
        <v>98.589500000000001</v>
      </c>
      <c r="H126">
        <v>103.92874999999999</v>
      </c>
      <c r="I126">
        <v>103.44185</v>
      </c>
      <c r="J126">
        <v>106.56964000000001</v>
      </c>
      <c r="K126">
        <v>106.57069</v>
      </c>
    </row>
    <row r="127" spans="1:11" x14ac:dyDescent="0.25">
      <c r="A127" s="1">
        <v>41426</v>
      </c>
      <c r="B127">
        <v>81.145020000000002</v>
      </c>
      <c r="C127">
        <v>83.290629999999993</v>
      </c>
      <c r="D127">
        <v>116.25127999999999</v>
      </c>
      <c r="E127">
        <v>117.98614999999999</v>
      </c>
      <c r="F127">
        <v>97.577860000000001</v>
      </c>
      <c r="G127">
        <v>98.263930000000002</v>
      </c>
      <c r="H127">
        <v>102.09984</v>
      </c>
      <c r="I127">
        <v>103.22681</v>
      </c>
      <c r="J127">
        <v>102.74287</v>
      </c>
      <c r="K127">
        <v>105.05240999999999</v>
      </c>
    </row>
    <row r="128" spans="1:11" x14ac:dyDescent="0.25">
      <c r="A128" s="1">
        <v>41456</v>
      </c>
      <c r="B128">
        <v>103.52518999999999</v>
      </c>
      <c r="C128">
        <v>83.745339999999999</v>
      </c>
      <c r="D128">
        <v>121.35654</v>
      </c>
      <c r="E128">
        <v>116.86785</v>
      </c>
      <c r="F128">
        <v>100.5155</v>
      </c>
      <c r="G128">
        <v>98.915670000000006</v>
      </c>
      <c r="H128">
        <v>106.16783</v>
      </c>
      <c r="I128">
        <v>103.52548</v>
      </c>
      <c r="J128">
        <v>110.21034</v>
      </c>
      <c r="K128">
        <v>106.45433</v>
      </c>
    </row>
    <row r="129" spans="1:11" x14ac:dyDescent="0.25">
      <c r="A129" s="1">
        <v>41487</v>
      </c>
      <c r="B129">
        <v>82.325540000000004</v>
      </c>
      <c r="C129">
        <v>84.141630000000006</v>
      </c>
      <c r="D129">
        <v>124.77760000000001</v>
      </c>
      <c r="E129">
        <v>117.23368000000001</v>
      </c>
      <c r="F129">
        <v>100.77656</v>
      </c>
      <c r="G129">
        <v>98.856769999999997</v>
      </c>
      <c r="H129">
        <v>107.14048</v>
      </c>
      <c r="I129">
        <v>103.74209</v>
      </c>
      <c r="J129">
        <v>110.97467</v>
      </c>
      <c r="K129">
        <v>106.45419</v>
      </c>
    </row>
    <row r="130" spans="1:11" x14ac:dyDescent="0.25">
      <c r="A130" s="1">
        <v>41518</v>
      </c>
      <c r="B130">
        <v>63.753399999999999</v>
      </c>
      <c r="C130">
        <v>83.092969999999994</v>
      </c>
      <c r="D130">
        <v>121.77091</v>
      </c>
      <c r="E130">
        <v>118.86776999999999</v>
      </c>
      <c r="F130">
        <v>99.376930000000002</v>
      </c>
      <c r="G130">
        <v>99.114850000000004</v>
      </c>
      <c r="H130">
        <v>104.85375000000001</v>
      </c>
      <c r="I130">
        <v>104.20952</v>
      </c>
      <c r="J130">
        <v>105.89827</v>
      </c>
      <c r="K130">
        <v>106.31511999999999</v>
      </c>
    </row>
    <row r="131" spans="1:11" x14ac:dyDescent="0.25">
      <c r="A131" s="1">
        <v>41548</v>
      </c>
      <c r="B131">
        <v>55.651629999999997</v>
      </c>
      <c r="C131">
        <v>85.128810000000001</v>
      </c>
      <c r="D131">
        <v>127.36322</v>
      </c>
      <c r="E131">
        <v>117.75904</v>
      </c>
      <c r="F131">
        <v>101.93773</v>
      </c>
      <c r="G131">
        <v>99.380470000000003</v>
      </c>
      <c r="H131">
        <v>108.72968</v>
      </c>
      <c r="I131">
        <v>104.23976</v>
      </c>
      <c r="J131">
        <v>113.06229</v>
      </c>
      <c r="K131">
        <v>107.07707000000001</v>
      </c>
    </row>
    <row r="132" spans="1:11" x14ac:dyDescent="0.25">
      <c r="A132" s="1">
        <v>41579</v>
      </c>
      <c r="B132">
        <v>57.411079999999998</v>
      </c>
      <c r="C132">
        <v>86.21584</v>
      </c>
      <c r="D132">
        <v>120.16329</v>
      </c>
      <c r="E132">
        <v>117.70535</v>
      </c>
      <c r="F132">
        <v>100.33417</v>
      </c>
      <c r="G132">
        <v>99.589590000000001</v>
      </c>
      <c r="H132">
        <v>105.59893</v>
      </c>
      <c r="I132">
        <v>104.29481</v>
      </c>
      <c r="J132">
        <v>108.82814</v>
      </c>
      <c r="K132">
        <v>106.58647999999999</v>
      </c>
    </row>
    <row r="133" spans="1:11" x14ac:dyDescent="0.25">
      <c r="A133" s="1">
        <v>41609</v>
      </c>
      <c r="B133">
        <v>63.068219999999997</v>
      </c>
      <c r="C133">
        <v>83.660889999999995</v>
      </c>
      <c r="D133">
        <v>106.15585</v>
      </c>
      <c r="E133">
        <v>116.21151999999999</v>
      </c>
      <c r="F133">
        <v>101.38009</v>
      </c>
      <c r="G133">
        <v>100.28935</v>
      </c>
      <c r="H133">
        <v>103.79031000000001</v>
      </c>
      <c r="I133">
        <v>104.71782</v>
      </c>
      <c r="J133">
        <v>110.96467</v>
      </c>
      <c r="K133">
        <v>107.55614</v>
      </c>
    </row>
    <row r="134" spans="1:11" x14ac:dyDescent="0.25">
      <c r="A134" s="1">
        <v>41640</v>
      </c>
      <c r="B134">
        <v>66.794550000000001</v>
      </c>
      <c r="C134">
        <v>88.261520000000004</v>
      </c>
      <c r="D134">
        <v>110.40143999999999</v>
      </c>
      <c r="E134">
        <v>115.81625</v>
      </c>
      <c r="F134">
        <v>98.015870000000007</v>
      </c>
      <c r="G134">
        <v>100.08329999999999</v>
      </c>
      <c r="H134">
        <v>101.34699000000001</v>
      </c>
      <c r="I134">
        <v>104.27845000000001</v>
      </c>
      <c r="J134">
        <v>103.46261</v>
      </c>
      <c r="K134">
        <v>107.18044</v>
      </c>
    </row>
    <row r="135" spans="1:11" x14ac:dyDescent="0.25">
      <c r="A135" s="1">
        <v>41671</v>
      </c>
      <c r="B135">
        <v>106.54602</v>
      </c>
      <c r="C135">
        <v>86.359960000000001</v>
      </c>
      <c r="D135">
        <v>109.25163999999999</v>
      </c>
      <c r="E135">
        <v>115.71025</v>
      </c>
      <c r="F135">
        <v>96.760549999999995</v>
      </c>
      <c r="G135">
        <v>99.878529999999998</v>
      </c>
      <c r="H135">
        <v>99.629580000000004</v>
      </c>
      <c r="I135">
        <v>104.05307000000001</v>
      </c>
      <c r="J135">
        <v>98.976219999999998</v>
      </c>
      <c r="K135">
        <v>106.21092</v>
      </c>
    </row>
    <row r="136" spans="1:11" x14ac:dyDescent="0.25">
      <c r="A136" s="1">
        <v>41699</v>
      </c>
      <c r="B136">
        <v>138.90272999999999</v>
      </c>
      <c r="C136">
        <v>85.498109999999997</v>
      </c>
      <c r="D136">
        <v>113.77258</v>
      </c>
      <c r="E136">
        <v>115.69996</v>
      </c>
      <c r="F136">
        <v>98.147419999999997</v>
      </c>
      <c r="G136">
        <v>99.447329999999994</v>
      </c>
      <c r="H136">
        <v>101.80042</v>
      </c>
      <c r="I136">
        <v>103.60748</v>
      </c>
      <c r="J136">
        <v>101.47273</v>
      </c>
      <c r="K136">
        <v>105.14944</v>
      </c>
    </row>
    <row r="137" spans="1:11" x14ac:dyDescent="0.25">
      <c r="A137" s="1">
        <v>41730</v>
      </c>
      <c r="B137">
        <v>126.80394</v>
      </c>
      <c r="C137">
        <v>84.809439999999995</v>
      </c>
      <c r="D137">
        <v>111.26484000000001</v>
      </c>
      <c r="E137">
        <v>114.65737</v>
      </c>
      <c r="F137">
        <v>98.236080000000001</v>
      </c>
      <c r="G137">
        <v>99.419650000000004</v>
      </c>
      <c r="H137">
        <v>101.52052999999999</v>
      </c>
      <c r="I137">
        <v>103.4851</v>
      </c>
      <c r="J137">
        <v>102.51913999999999</v>
      </c>
      <c r="K137">
        <v>105.90653</v>
      </c>
    </row>
    <row r="138" spans="1:11" x14ac:dyDescent="0.25">
      <c r="A138" s="1">
        <v>41760</v>
      </c>
      <c r="B138">
        <v>75.704840000000004</v>
      </c>
      <c r="C138">
        <v>83.704080000000005</v>
      </c>
      <c r="D138">
        <v>115.51389</v>
      </c>
      <c r="E138">
        <v>113.17353</v>
      </c>
      <c r="F138">
        <v>100.03119</v>
      </c>
      <c r="G138">
        <v>99.518280000000004</v>
      </c>
      <c r="H138">
        <v>104.09199</v>
      </c>
      <c r="I138">
        <v>103.13332</v>
      </c>
      <c r="J138">
        <v>106.26895</v>
      </c>
      <c r="K138">
        <v>105.31162</v>
      </c>
    </row>
    <row r="139" spans="1:11" x14ac:dyDescent="0.25">
      <c r="A139" s="1">
        <v>41791</v>
      </c>
      <c r="B139">
        <v>78.980609999999999</v>
      </c>
      <c r="C139">
        <v>82.102050000000006</v>
      </c>
      <c r="D139">
        <v>106.98154</v>
      </c>
      <c r="E139">
        <v>109.88915</v>
      </c>
      <c r="F139">
        <v>97.132509999999996</v>
      </c>
      <c r="G139">
        <v>98.25367</v>
      </c>
      <c r="H139">
        <v>99.284949999999995</v>
      </c>
      <c r="I139">
        <v>101.14285</v>
      </c>
      <c r="J139">
        <v>98.031040000000004</v>
      </c>
      <c r="K139">
        <v>101.58732999999999</v>
      </c>
    </row>
    <row r="140" spans="1:11" x14ac:dyDescent="0.25">
      <c r="A140" s="1">
        <v>41821</v>
      </c>
      <c r="B140">
        <v>100.90766000000001</v>
      </c>
      <c r="C140">
        <v>83.014030000000005</v>
      </c>
      <c r="D140">
        <v>115.86838</v>
      </c>
      <c r="E140">
        <v>111.17928000000001</v>
      </c>
      <c r="F140">
        <v>100.62391</v>
      </c>
      <c r="G140">
        <v>99.039649999999995</v>
      </c>
      <c r="H140">
        <v>104.61872</v>
      </c>
      <c r="I140">
        <v>101.89894</v>
      </c>
      <c r="J140">
        <v>106.73059000000001</v>
      </c>
      <c r="K140">
        <v>102.9171</v>
      </c>
    </row>
    <row r="141" spans="1:11" x14ac:dyDescent="0.25">
      <c r="A141" s="1">
        <v>41852</v>
      </c>
      <c r="B141">
        <v>80.289739999999995</v>
      </c>
      <c r="C141">
        <v>83.053979999999996</v>
      </c>
      <c r="D141">
        <v>116.94422</v>
      </c>
      <c r="E141">
        <v>111.93384</v>
      </c>
      <c r="F141">
        <v>100.47983000000001</v>
      </c>
      <c r="G141">
        <v>99.418620000000004</v>
      </c>
      <c r="H141">
        <v>104.65837999999999</v>
      </c>
      <c r="I141">
        <v>102.68684</v>
      </c>
      <c r="J141">
        <v>106.20795</v>
      </c>
      <c r="K141">
        <v>104.08266999999999</v>
      </c>
    </row>
    <row r="142" spans="1:11" x14ac:dyDescent="0.25">
      <c r="A142" s="1">
        <v>41883</v>
      </c>
      <c r="B142">
        <v>65.198599999999999</v>
      </c>
      <c r="C142">
        <v>85.866829999999993</v>
      </c>
      <c r="D142">
        <v>117.99052</v>
      </c>
      <c r="E142">
        <v>112.49455</v>
      </c>
      <c r="F142">
        <v>101.11896</v>
      </c>
      <c r="G142">
        <v>99.574789999999993</v>
      </c>
      <c r="H142">
        <v>105.4256</v>
      </c>
      <c r="I142">
        <v>102.93369</v>
      </c>
      <c r="J142">
        <v>107.16475</v>
      </c>
      <c r="K142">
        <v>104.27075000000001</v>
      </c>
    </row>
    <row r="143" spans="1:11" x14ac:dyDescent="0.25">
      <c r="A143" s="1">
        <v>41913</v>
      </c>
      <c r="B143">
        <v>55.635710000000003</v>
      </c>
      <c r="C143">
        <v>85.734009999999998</v>
      </c>
      <c r="D143">
        <v>121.53215</v>
      </c>
      <c r="E143">
        <v>111.07772</v>
      </c>
      <c r="F143">
        <v>102.03949</v>
      </c>
      <c r="G143">
        <v>99.300629999999998</v>
      </c>
      <c r="H143">
        <v>107.14966</v>
      </c>
      <c r="I143">
        <v>102.24017000000001</v>
      </c>
      <c r="J143">
        <v>110.00608</v>
      </c>
      <c r="K143">
        <v>103.1439</v>
      </c>
    </row>
    <row r="144" spans="1:11" x14ac:dyDescent="0.25">
      <c r="A144" s="1">
        <v>41944</v>
      </c>
      <c r="B144">
        <v>57.713439999999999</v>
      </c>
      <c r="C144">
        <v>87.839609999999993</v>
      </c>
      <c r="D144">
        <v>113.14917</v>
      </c>
      <c r="E144">
        <v>110.97463</v>
      </c>
      <c r="F144">
        <v>99.933179999999993</v>
      </c>
      <c r="G144">
        <v>99.197490000000002</v>
      </c>
      <c r="H144">
        <v>103.50117</v>
      </c>
      <c r="I144">
        <v>102.27964</v>
      </c>
      <c r="J144">
        <v>105.86103</v>
      </c>
      <c r="K144">
        <v>103.62128</v>
      </c>
    </row>
    <row r="145" spans="1:11" x14ac:dyDescent="0.25">
      <c r="A145" s="1">
        <v>41974</v>
      </c>
      <c r="B145">
        <v>66.812539999999998</v>
      </c>
      <c r="C145">
        <v>89.228189999999998</v>
      </c>
      <c r="D145">
        <v>102.98886</v>
      </c>
      <c r="E145">
        <v>110.84381999999999</v>
      </c>
      <c r="F145">
        <v>101.91923</v>
      </c>
      <c r="G145">
        <v>99.511780000000002</v>
      </c>
      <c r="H145">
        <v>103.38091</v>
      </c>
      <c r="I145">
        <v>102.53563</v>
      </c>
      <c r="J145">
        <v>109.75669000000001</v>
      </c>
      <c r="K145">
        <v>103.66788</v>
      </c>
    </row>
    <row r="146" spans="1:11" x14ac:dyDescent="0.25">
      <c r="A146" s="1">
        <v>42005</v>
      </c>
      <c r="B146">
        <v>68.446899999999999</v>
      </c>
      <c r="C146">
        <v>90.210499999999996</v>
      </c>
      <c r="D146">
        <v>105.12842000000001</v>
      </c>
      <c r="E146">
        <v>110.87829000000001</v>
      </c>
      <c r="F146">
        <v>96.305790000000002</v>
      </c>
      <c r="G146">
        <v>98.729820000000004</v>
      </c>
      <c r="H146">
        <v>98.458169999999996</v>
      </c>
      <c r="I146">
        <v>101.73388</v>
      </c>
      <c r="J146">
        <v>98.402950000000004</v>
      </c>
      <c r="K146">
        <v>102.44279</v>
      </c>
    </row>
    <row r="147" spans="1:11" x14ac:dyDescent="0.25">
      <c r="A147" s="1">
        <v>42036</v>
      </c>
      <c r="B147">
        <v>112.5981</v>
      </c>
      <c r="C147">
        <v>90.153580000000005</v>
      </c>
      <c r="D147">
        <v>100.57213</v>
      </c>
      <c r="E147">
        <v>109.91758</v>
      </c>
      <c r="F147">
        <v>93.327160000000006</v>
      </c>
      <c r="G147">
        <v>98.050560000000004</v>
      </c>
      <c r="H147">
        <v>94.413560000000004</v>
      </c>
      <c r="I147">
        <v>100.98202000000001</v>
      </c>
      <c r="J147">
        <v>90.169179999999997</v>
      </c>
      <c r="K147">
        <v>100.55475</v>
      </c>
    </row>
    <row r="148" spans="1:11" x14ac:dyDescent="0.25">
      <c r="A148" s="1">
        <v>42064</v>
      </c>
      <c r="B148">
        <v>149.47911999999999</v>
      </c>
      <c r="C148">
        <v>90.172210000000007</v>
      </c>
      <c r="D148">
        <v>111.10908999999999</v>
      </c>
      <c r="E148">
        <v>108.92094</v>
      </c>
      <c r="F148">
        <v>98.976770000000002</v>
      </c>
      <c r="G148">
        <v>98.147570000000002</v>
      </c>
      <c r="H148">
        <v>101.79371</v>
      </c>
      <c r="I148">
        <v>100.64628999999999</v>
      </c>
      <c r="J148">
        <v>101.1789</v>
      </c>
      <c r="K148">
        <v>100.00742</v>
      </c>
    </row>
    <row r="149" spans="1:11" x14ac:dyDescent="0.25">
      <c r="A149" s="1">
        <v>42095</v>
      </c>
      <c r="B149">
        <v>134.89585</v>
      </c>
      <c r="C149">
        <v>88.880740000000003</v>
      </c>
      <c r="D149">
        <v>103.87161</v>
      </c>
      <c r="E149">
        <v>106.90757000000001</v>
      </c>
      <c r="F149">
        <v>95.681229999999999</v>
      </c>
      <c r="G149">
        <v>97.357200000000006</v>
      </c>
      <c r="H149">
        <v>97.259429999999995</v>
      </c>
      <c r="I149">
        <v>99.494240000000005</v>
      </c>
      <c r="J149">
        <v>94.642690000000002</v>
      </c>
      <c r="K149">
        <v>98.395120000000006</v>
      </c>
    </row>
    <row r="150" spans="1:11" x14ac:dyDescent="0.25">
      <c r="A150" s="1">
        <v>42125</v>
      </c>
      <c r="B150">
        <v>77.304670000000002</v>
      </c>
      <c r="C150">
        <v>86.087400000000002</v>
      </c>
      <c r="D150">
        <v>106.26125</v>
      </c>
      <c r="E150">
        <v>106.1026</v>
      </c>
      <c r="F150">
        <v>96.474170000000001</v>
      </c>
      <c r="G150">
        <v>96.880889999999994</v>
      </c>
      <c r="H150">
        <v>98.442400000000006</v>
      </c>
      <c r="I150">
        <v>98.865790000000004</v>
      </c>
      <c r="J150">
        <v>95.974720000000005</v>
      </c>
      <c r="K150">
        <v>97.311700000000002</v>
      </c>
    </row>
    <row r="151" spans="1:11" x14ac:dyDescent="0.25">
      <c r="A151" s="1">
        <v>42156</v>
      </c>
      <c r="B151">
        <v>82.371809999999996</v>
      </c>
      <c r="C151">
        <v>86.381370000000004</v>
      </c>
      <c r="D151">
        <v>102.51737</v>
      </c>
      <c r="E151">
        <v>103.64807999999999</v>
      </c>
      <c r="F151">
        <v>96.206419999999994</v>
      </c>
      <c r="G151">
        <v>96.435590000000005</v>
      </c>
      <c r="H151">
        <v>97.380989999999997</v>
      </c>
      <c r="I151">
        <v>98.021039999999999</v>
      </c>
      <c r="J151">
        <v>94.906120000000001</v>
      </c>
      <c r="K151">
        <v>96.231499999999997</v>
      </c>
    </row>
    <row r="152" spans="1:11" x14ac:dyDescent="0.25">
      <c r="A152" s="1">
        <v>42186</v>
      </c>
      <c r="B152">
        <v>102.14315999999999</v>
      </c>
      <c r="C152">
        <v>85.297619999999995</v>
      </c>
      <c r="D152">
        <v>106.96223999999999</v>
      </c>
      <c r="E152">
        <v>102.09748</v>
      </c>
      <c r="F152">
        <v>97.448149999999998</v>
      </c>
      <c r="G152">
        <v>96.058930000000004</v>
      </c>
      <c r="H152">
        <v>99.571479999999994</v>
      </c>
      <c r="I152">
        <v>96.948679999999996</v>
      </c>
      <c r="J152">
        <v>98.391769999999994</v>
      </c>
      <c r="K152">
        <v>94.868179999999995</v>
      </c>
    </row>
    <row r="153" spans="1:11" x14ac:dyDescent="0.25">
      <c r="A153" s="1">
        <v>42217</v>
      </c>
      <c r="B153">
        <v>81.817490000000006</v>
      </c>
      <c r="C153">
        <v>85.640889999999999</v>
      </c>
      <c r="D153">
        <v>108.11809</v>
      </c>
      <c r="E153">
        <v>103.67337999999999</v>
      </c>
      <c r="F153">
        <v>96.659739999999999</v>
      </c>
      <c r="G153">
        <v>95.792839999999998</v>
      </c>
      <c r="H153">
        <v>98.926749999999998</v>
      </c>
      <c r="I153">
        <v>97.309100000000001</v>
      </c>
      <c r="J153">
        <v>95.967709999999997</v>
      </c>
      <c r="K153">
        <v>94.435149999999993</v>
      </c>
    </row>
    <row r="154" spans="1:11" x14ac:dyDescent="0.25">
      <c r="A154" s="1">
        <v>42248</v>
      </c>
      <c r="B154">
        <v>66.051699999999997</v>
      </c>
      <c r="C154">
        <v>87.926749999999998</v>
      </c>
      <c r="D154">
        <v>105.75013</v>
      </c>
      <c r="E154">
        <v>102.29168</v>
      </c>
      <c r="F154">
        <v>96.130520000000004</v>
      </c>
      <c r="G154">
        <v>95.225660000000005</v>
      </c>
      <c r="H154">
        <v>97.916439999999994</v>
      </c>
      <c r="I154">
        <v>96.487409999999997</v>
      </c>
      <c r="J154">
        <v>94.591520000000003</v>
      </c>
      <c r="K154">
        <v>93.393029999999996</v>
      </c>
    </row>
    <row r="155" spans="1:11" x14ac:dyDescent="0.25">
      <c r="A155" s="1">
        <v>42278</v>
      </c>
      <c r="B155">
        <v>56.807079999999999</v>
      </c>
      <c r="C155">
        <v>88.390010000000004</v>
      </c>
      <c r="D155">
        <v>109.43049999999999</v>
      </c>
      <c r="E155">
        <v>102.49333</v>
      </c>
      <c r="F155">
        <v>97.187070000000006</v>
      </c>
      <c r="G155">
        <v>95.686359999999993</v>
      </c>
      <c r="H155">
        <v>99.852959999999996</v>
      </c>
      <c r="I155">
        <v>96.953879999999998</v>
      </c>
      <c r="J155">
        <v>98.202190000000002</v>
      </c>
      <c r="K155">
        <v>94.543660000000003</v>
      </c>
    </row>
    <row r="156" spans="1:11" x14ac:dyDescent="0.25">
      <c r="A156" s="1">
        <v>42309</v>
      </c>
      <c r="B156">
        <v>58.659109999999998</v>
      </c>
      <c r="C156">
        <v>90.300510000000003</v>
      </c>
      <c r="D156">
        <v>103.20641000000001</v>
      </c>
      <c r="E156">
        <v>101.30822999999999</v>
      </c>
      <c r="F156">
        <v>95.329509999999999</v>
      </c>
      <c r="G156">
        <v>94.609589999999997</v>
      </c>
      <c r="H156">
        <v>96.862049999999996</v>
      </c>
      <c r="I156">
        <v>95.726470000000006</v>
      </c>
      <c r="J156">
        <v>94.402389999999997</v>
      </c>
      <c r="K156">
        <v>92.304050000000004</v>
      </c>
    </row>
    <row r="157" spans="1:11" x14ac:dyDescent="0.25">
      <c r="A157" s="1">
        <v>42339</v>
      </c>
      <c r="B157">
        <v>66.541520000000006</v>
      </c>
      <c r="C157">
        <v>89.453950000000006</v>
      </c>
      <c r="D157">
        <v>94.486620000000002</v>
      </c>
      <c r="E157">
        <v>101.20766999999999</v>
      </c>
      <c r="F157">
        <v>97.296409999999995</v>
      </c>
      <c r="G157">
        <v>94.52807</v>
      </c>
      <c r="H157">
        <v>96.875919999999994</v>
      </c>
      <c r="I157">
        <v>95.590239999999994</v>
      </c>
      <c r="J157">
        <v>97.274690000000007</v>
      </c>
      <c r="K157">
        <v>91.657679999999999</v>
      </c>
    </row>
    <row r="158" spans="1:11" x14ac:dyDescent="0.25">
      <c r="A158" s="1">
        <v>42370</v>
      </c>
      <c r="B158">
        <v>62.264110000000002</v>
      </c>
      <c r="C158">
        <v>82.006489999999999</v>
      </c>
      <c r="D158">
        <v>94.266819999999996</v>
      </c>
      <c r="E158">
        <v>100.86208999999999</v>
      </c>
      <c r="F158">
        <v>91.210099999999997</v>
      </c>
      <c r="G158">
        <v>94.271860000000004</v>
      </c>
      <c r="H158">
        <v>91.110709999999997</v>
      </c>
      <c r="I158">
        <v>95.166370000000001</v>
      </c>
      <c r="J158">
        <v>85.539749999999998</v>
      </c>
      <c r="K158">
        <v>90.728710000000007</v>
      </c>
    </row>
    <row r="159" spans="1:11" x14ac:dyDescent="0.25">
      <c r="A159" s="1">
        <v>42401</v>
      </c>
      <c r="B159">
        <v>104.13148</v>
      </c>
      <c r="C159">
        <v>82.407340000000005</v>
      </c>
      <c r="D159">
        <v>95.160409999999999</v>
      </c>
      <c r="E159">
        <v>100.76578000000001</v>
      </c>
      <c r="F159">
        <v>90.530889999999999</v>
      </c>
      <c r="G159">
        <v>94.181669999999997</v>
      </c>
      <c r="H159">
        <v>90.662049999999994</v>
      </c>
      <c r="I159">
        <v>95.230220000000003</v>
      </c>
      <c r="J159">
        <v>84.417119999999997</v>
      </c>
      <c r="K159">
        <v>91.372979999999998</v>
      </c>
    </row>
    <row r="160" spans="1:11" x14ac:dyDescent="0.25">
      <c r="A160" s="1">
        <v>42430</v>
      </c>
      <c r="B160">
        <v>138.07281</v>
      </c>
      <c r="C160">
        <v>81.925629999999998</v>
      </c>
      <c r="D160">
        <v>102.5097</v>
      </c>
      <c r="E160">
        <v>100.55658</v>
      </c>
      <c r="F160">
        <v>94.501050000000006</v>
      </c>
      <c r="G160">
        <v>93.840969999999999</v>
      </c>
      <c r="H160">
        <v>95.870339999999999</v>
      </c>
      <c r="I160">
        <v>94.850710000000007</v>
      </c>
      <c r="J160">
        <v>92.337389999999999</v>
      </c>
      <c r="K160">
        <v>91.207859999999997</v>
      </c>
    </row>
    <row r="161" spans="1:11" x14ac:dyDescent="0.25">
      <c r="A161" s="1">
        <v>42461</v>
      </c>
      <c r="B161">
        <v>127.96986</v>
      </c>
      <c r="C161">
        <v>83.272189999999995</v>
      </c>
      <c r="D161">
        <v>99.085419999999999</v>
      </c>
      <c r="E161">
        <v>101.68816</v>
      </c>
      <c r="F161">
        <v>92.265720000000002</v>
      </c>
      <c r="G161">
        <v>93.467309999999998</v>
      </c>
      <c r="H161">
        <v>93.017899999999997</v>
      </c>
      <c r="I161">
        <v>94.643900000000002</v>
      </c>
      <c r="J161">
        <v>87.508340000000004</v>
      </c>
      <c r="K161">
        <v>89.83972</v>
      </c>
    </row>
    <row r="162" spans="1:11" x14ac:dyDescent="0.25">
      <c r="A162" s="1">
        <v>42491</v>
      </c>
      <c r="B162">
        <v>75.525260000000003</v>
      </c>
      <c r="C162">
        <v>84.678979999999996</v>
      </c>
      <c r="D162">
        <v>100.52912000000001</v>
      </c>
      <c r="E162">
        <v>100.14943</v>
      </c>
      <c r="F162">
        <v>92.651600000000002</v>
      </c>
      <c r="G162">
        <v>92.660330000000002</v>
      </c>
      <c r="H162">
        <v>93.740729999999999</v>
      </c>
      <c r="I162">
        <v>93.753879999999995</v>
      </c>
      <c r="J162">
        <v>88.802580000000006</v>
      </c>
      <c r="K162">
        <v>89.58493</v>
      </c>
    </row>
    <row r="163" spans="1:11" x14ac:dyDescent="0.25">
      <c r="A163" s="1">
        <v>42522</v>
      </c>
      <c r="B163">
        <v>80.502380000000002</v>
      </c>
      <c r="C163">
        <v>84.850110000000001</v>
      </c>
      <c r="D163">
        <v>101.67607</v>
      </c>
      <c r="E163">
        <v>100.37308</v>
      </c>
      <c r="F163">
        <v>93.673810000000003</v>
      </c>
      <c r="G163">
        <v>93.26737</v>
      </c>
      <c r="H163">
        <v>94.879050000000007</v>
      </c>
      <c r="I163">
        <v>94.332849999999993</v>
      </c>
      <c r="J163">
        <v>90.430819999999997</v>
      </c>
      <c r="K163">
        <v>89.734899999999996</v>
      </c>
    </row>
    <row r="164" spans="1:11" x14ac:dyDescent="0.25">
      <c r="A164" s="1">
        <v>42552</v>
      </c>
      <c r="B164">
        <v>96.649659999999997</v>
      </c>
      <c r="C164">
        <v>81.390969999999996</v>
      </c>
      <c r="D164">
        <v>102.90647</v>
      </c>
      <c r="E164">
        <v>100.45954</v>
      </c>
      <c r="F164">
        <v>93.696250000000006</v>
      </c>
      <c r="G164">
        <v>93.459569999999999</v>
      </c>
      <c r="H164">
        <v>95.085040000000006</v>
      </c>
      <c r="I164">
        <v>94.177719999999994</v>
      </c>
      <c r="J164">
        <v>90.149360000000001</v>
      </c>
      <c r="K164">
        <v>89.239630000000005</v>
      </c>
    </row>
    <row r="165" spans="1:11" x14ac:dyDescent="0.25">
      <c r="A165" s="1">
        <v>42583</v>
      </c>
      <c r="B165">
        <v>82.561170000000004</v>
      </c>
      <c r="C165">
        <v>87.40719</v>
      </c>
      <c r="D165">
        <v>105.42537</v>
      </c>
      <c r="E165">
        <v>98.622370000000004</v>
      </c>
      <c r="F165">
        <v>95.006249999999994</v>
      </c>
      <c r="G165">
        <v>92.902990000000003</v>
      </c>
      <c r="H165">
        <v>96.812960000000004</v>
      </c>
      <c r="I165">
        <v>93.531090000000006</v>
      </c>
      <c r="J165">
        <v>92.706410000000005</v>
      </c>
      <c r="K165">
        <v>88.635750000000002</v>
      </c>
    </row>
    <row r="166" spans="1:11" x14ac:dyDescent="0.25">
      <c r="A166" s="1">
        <v>42614</v>
      </c>
      <c r="B166">
        <v>67.469070000000002</v>
      </c>
      <c r="C166">
        <v>90.82799</v>
      </c>
      <c r="D166">
        <v>101.43631999999999</v>
      </c>
      <c r="E166">
        <v>98.04495</v>
      </c>
      <c r="F166">
        <v>93.622470000000007</v>
      </c>
      <c r="G166">
        <v>92.824770000000001</v>
      </c>
      <c r="H166">
        <v>94.638959999999997</v>
      </c>
      <c r="I166">
        <v>93.371639999999999</v>
      </c>
      <c r="J166">
        <v>89.35615</v>
      </c>
      <c r="K166">
        <v>88.518389999999997</v>
      </c>
    </row>
    <row r="167" spans="1:11" x14ac:dyDescent="0.25">
      <c r="A167" s="1">
        <v>42644</v>
      </c>
      <c r="B167">
        <v>56.936059999999998</v>
      </c>
      <c r="C167">
        <v>89.448440000000005</v>
      </c>
      <c r="D167">
        <v>102.15389999999999</v>
      </c>
      <c r="E167">
        <v>97.789550000000006</v>
      </c>
      <c r="F167">
        <v>92.889070000000004</v>
      </c>
      <c r="G167">
        <v>92.275260000000003</v>
      </c>
      <c r="H167">
        <v>94.359769999999997</v>
      </c>
      <c r="I167">
        <v>92.931640000000002</v>
      </c>
      <c r="J167">
        <v>89.830910000000003</v>
      </c>
      <c r="K167">
        <v>88.592150000000004</v>
      </c>
    </row>
    <row r="168" spans="1:11" x14ac:dyDescent="0.25">
      <c r="A168" s="1">
        <v>42675</v>
      </c>
      <c r="B168">
        <v>58.338729999999998</v>
      </c>
      <c r="C168">
        <v>90.835800000000006</v>
      </c>
      <c r="D168">
        <v>99.73151</v>
      </c>
      <c r="E168">
        <v>97.880880000000005</v>
      </c>
      <c r="F168">
        <v>92.96508</v>
      </c>
      <c r="G168">
        <v>92.205340000000007</v>
      </c>
      <c r="H168">
        <v>94.07629</v>
      </c>
      <c r="I168">
        <v>92.921040000000005</v>
      </c>
      <c r="J168">
        <v>90.668819999999997</v>
      </c>
      <c r="K168">
        <v>88.532859999999999</v>
      </c>
    </row>
    <row r="169" spans="1:11" x14ac:dyDescent="0.25">
      <c r="A169" s="1">
        <v>42705</v>
      </c>
      <c r="B169">
        <v>65.977930000000001</v>
      </c>
      <c r="C169">
        <v>89.348410000000001</v>
      </c>
      <c r="D169">
        <v>92.461029999999994</v>
      </c>
      <c r="E169">
        <v>97.724149999999995</v>
      </c>
      <c r="F169">
        <v>95.197760000000002</v>
      </c>
      <c r="G169">
        <v>91.949619999999996</v>
      </c>
      <c r="H169">
        <v>94.771699999999996</v>
      </c>
      <c r="I169">
        <v>92.719170000000005</v>
      </c>
      <c r="J169">
        <v>94.638769999999994</v>
      </c>
      <c r="K169">
        <v>88.191180000000003</v>
      </c>
    </row>
    <row r="170" spans="1:11" x14ac:dyDescent="0.25">
      <c r="A170" s="1">
        <v>42736</v>
      </c>
      <c r="B170">
        <v>71.68329</v>
      </c>
      <c r="C170">
        <v>94.838390000000004</v>
      </c>
      <c r="D170">
        <v>94.440399999999997</v>
      </c>
      <c r="E170">
        <v>98.760270000000006</v>
      </c>
      <c r="F170">
        <v>90.411510000000007</v>
      </c>
      <c r="G170">
        <v>92.237350000000006</v>
      </c>
      <c r="H170">
        <v>90.967259999999996</v>
      </c>
      <c r="I170">
        <v>93.357140000000001</v>
      </c>
      <c r="J170">
        <v>87.782219999999995</v>
      </c>
      <c r="K170">
        <v>90.742980000000003</v>
      </c>
    </row>
    <row r="171" spans="1:11" x14ac:dyDescent="0.25">
      <c r="A171" s="1">
        <v>42767</v>
      </c>
      <c r="B171">
        <v>128.07595000000001</v>
      </c>
      <c r="C171">
        <v>100.12974</v>
      </c>
      <c r="D171">
        <v>91.567850000000007</v>
      </c>
      <c r="E171">
        <v>99.512060000000005</v>
      </c>
      <c r="F171">
        <v>88.177239999999998</v>
      </c>
      <c r="G171">
        <v>92.472189999999998</v>
      </c>
      <c r="H171">
        <v>88.104280000000003</v>
      </c>
      <c r="I171">
        <v>93.813329999999993</v>
      </c>
      <c r="J171">
        <v>82.153700000000001</v>
      </c>
      <c r="K171">
        <v>90.844989999999996</v>
      </c>
    </row>
    <row r="172" spans="1:11" x14ac:dyDescent="0.25">
      <c r="A172" s="1">
        <v>42795</v>
      </c>
      <c r="B172">
        <v>168.68378000000001</v>
      </c>
      <c r="C172">
        <v>98.867859999999993</v>
      </c>
      <c r="D172">
        <v>101.97987000000001</v>
      </c>
      <c r="E172">
        <v>99.526700000000005</v>
      </c>
      <c r="F172">
        <v>93.264070000000004</v>
      </c>
      <c r="G172">
        <v>92.447059999999993</v>
      </c>
      <c r="H172">
        <v>94.966639999999998</v>
      </c>
      <c r="I172">
        <v>93.604020000000006</v>
      </c>
      <c r="J172">
        <v>92.556110000000004</v>
      </c>
      <c r="K172">
        <v>90.717209999999994</v>
      </c>
    </row>
    <row r="173" spans="1:11" x14ac:dyDescent="0.25">
      <c r="A173" s="1">
        <v>42826</v>
      </c>
      <c r="B173">
        <v>148.75622000000001</v>
      </c>
      <c r="C173">
        <v>95.818870000000004</v>
      </c>
      <c r="D173">
        <v>92.590869999999995</v>
      </c>
      <c r="E173">
        <v>98.591639999999998</v>
      </c>
      <c r="F173">
        <v>89.934929999999994</v>
      </c>
      <c r="G173">
        <v>92.766570000000002</v>
      </c>
      <c r="H173">
        <v>89.927059999999997</v>
      </c>
      <c r="I173">
        <v>93.908410000000003</v>
      </c>
      <c r="J173">
        <v>85.213499999999996</v>
      </c>
      <c r="K173">
        <v>91.327020000000005</v>
      </c>
    </row>
    <row r="174" spans="1:11" x14ac:dyDescent="0.25">
      <c r="A174" s="1">
        <v>42856</v>
      </c>
      <c r="B174">
        <v>85.360749999999996</v>
      </c>
      <c r="C174">
        <v>96.290599999999998</v>
      </c>
      <c r="D174">
        <v>101.35379</v>
      </c>
      <c r="E174">
        <v>99.078419999999994</v>
      </c>
      <c r="F174">
        <v>93.588310000000007</v>
      </c>
      <c r="G174">
        <v>92.927840000000003</v>
      </c>
      <c r="H174">
        <v>95.060270000000003</v>
      </c>
      <c r="I174">
        <v>93.94708</v>
      </c>
      <c r="J174">
        <v>92.489180000000005</v>
      </c>
      <c r="K174">
        <v>91.415999999999997</v>
      </c>
    </row>
    <row r="175" spans="1:11" x14ac:dyDescent="0.25">
      <c r="A175" s="1">
        <v>42887</v>
      </c>
      <c r="B175">
        <v>87.39255</v>
      </c>
      <c r="C175">
        <v>92.198449999999994</v>
      </c>
      <c r="D175">
        <v>99.135850000000005</v>
      </c>
      <c r="E175">
        <v>99.602930000000001</v>
      </c>
      <c r="F175">
        <v>93.545169999999999</v>
      </c>
      <c r="G175">
        <v>93.799369999999996</v>
      </c>
      <c r="H175">
        <v>94.459720000000004</v>
      </c>
      <c r="I175">
        <v>94.985100000000003</v>
      </c>
      <c r="J175">
        <v>91.365049999999997</v>
      </c>
      <c r="K175">
        <v>92.241889999999998</v>
      </c>
    </row>
    <row r="176" spans="1:11" x14ac:dyDescent="0.25">
      <c r="A176" s="1">
        <v>42917</v>
      </c>
      <c r="B176">
        <v>108.27987</v>
      </c>
      <c r="C176">
        <v>91.247730000000004</v>
      </c>
      <c r="D176">
        <v>101.52977</v>
      </c>
      <c r="E176">
        <v>98.764889999999994</v>
      </c>
      <c r="F176">
        <v>94.258030000000005</v>
      </c>
      <c r="G176">
        <v>94.055189999999996</v>
      </c>
      <c r="H176">
        <v>95.678880000000007</v>
      </c>
      <c r="I176">
        <v>94.814279999999997</v>
      </c>
      <c r="J176">
        <v>93.407449999999997</v>
      </c>
      <c r="K176">
        <v>92.561880000000002</v>
      </c>
    </row>
    <row r="177" spans="1:11" x14ac:dyDescent="0.25">
      <c r="A177" s="1">
        <v>42948</v>
      </c>
      <c r="B177">
        <v>89.025300000000001</v>
      </c>
      <c r="C177">
        <v>95.087249999999997</v>
      </c>
      <c r="D177">
        <v>106.72582</v>
      </c>
      <c r="E177">
        <v>99.413610000000006</v>
      </c>
      <c r="F177">
        <v>95.553870000000003</v>
      </c>
      <c r="G177">
        <v>93.400149999999996</v>
      </c>
      <c r="H177">
        <v>98.094399999999993</v>
      </c>
      <c r="I177">
        <v>94.648799999999994</v>
      </c>
      <c r="J177">
        <v>97.425870000000003</v>
      </c>
      <c r="K177">
        <v>92.833839999999995</v>
      </c>
    </row>
    <row r="178" spans="1:11" x14ac:dyDescent="0.25">
      <c r="A178" s="1">
        <v>42979</v>
      </c>
      <c r="B178">
        <v>67.141949999999994</v>
      </c>
      <c r="C178">
        <v>91.491810000000001</v>
      </c>
      <c r="D178">
        <v>101.92837</v>
      </c>
      <c r="E178">
        <v>99.331649999999996</v>
      </c>
      <c r="F178">
        <v>93.747460000000004</v>
      </c>
      <c r="G178">
        <v>93.338310000000007</v>
      </c>
      <c r="H178">
        <v>95.494399999999999</v>
      </c>
      <c r="I178">
        <v>94.69717</v>
      </c>
      <c r="J178">
        <v>93.980059999999995</v>
      </c>
      <c r="K178">
        <v>93.495410000000007</v>
      </c>
    </row>
    <row r="179" spans="1:11" x14ac:dyDescent="0.25">
      <c r="A179" s="1">
        <v>43009</v>
      </c>
      <c r="B179">
        <v>55.307200000000002</v>
      </c>
      <c r="C179">
        <v>88.056790000000007</v>
      </c>
      <c r="D179">
        <v>105.43170000000001</v>
      </c>
      <c r="E179">
        <v>100.39023</v>
      </c>
      <c r="F179">
        <v>94.897620000000003</v>
      </c>
      <c r="G179">
        <v>93.643450000000001</v>
      </c>
      <c r="H179">
        <v>97.185239999999993</v>
      </c>
      <c r="I179">
        <v>94.983869999999996</v>
      </c>
      <c r="J179">
        <v>95.864410000000007</v>
      </c>
      <c r="K179">
        <v>93.503990000000002</v>
      </c>
    </row>
    <row r="180" spans="1:11" x14ac:dyDescent="0.25">
      <c r="A180" s="1">
        <v>43040</v>
      </c>
      <c r="B180">
        <v>57.896929999999998</v>
      </c>
      <c r="C180">
        <v>91.355099999999993</v>
      </c>
      <c r="D180">
        <v>102.24034</v>
      </c>
      <c r="E180">
        <v>100.29825</v>
      </c>
      <c r="F180">
        <v>94.618740000000003</v>
      </c>
      <c r="G180">
        <v>93.721620000000001</v>
      </c>
      <c r="H180">
        <v>96.384749999999997</v>
      </c>
      <c r="I180">
        <v>95.118769999999998</v>
      </c>
      <c r="J180">
        <v>95.646109999999993</v>
      </c>
      <c r="K180">
        <v>93.277469999999994</v>
      </c>
    </row>
    <row r="181" spans="1:11" x14ac:dyDescent="0.25">
      <c r="A181" s="1">
        <v>43070</v>
      </c>
      <c r="B181">
        <v>69.813550000000006</v>
      </c>
      <c r="C181">
        <v>96.115830000000003</v>
      </c>
      <c r="D181">
        <v>93.607439999999997</v>
      </c>
      <c r="E181">
        <v>102.10303</v>
      </c>
      <c r="F181">
        <v>96.394829999999999</v>
      </c>
      <c r="G181">
        <v>94.402150000000006</v>
      </c>
      <c r="H181">
        <v>96.43947</v>
      </c>
      <c r="I181">
        <v>96.370959999999997</v>
      </c>
      <c r="J181">
        <v>98.550330000000002</v>
      </c>
      <c r="K181">
        <v>95.506399999999999</v>
      </c>
    </row>
    <row r="182" spans="1:11" x14ac:dyDescent="0.25">
      <c r="A182" s="1">
        <v>43101</v>
      </c>
      <c r="B182">
        <v>72.566450000000003</v>
      </c>
      <c r="C182">
        <v>96.999430000000004</v>
      </c>
      <c r="D182">
        <v>97.210570000000004</v>
      </c>
      <c r="E182">
        <v>101.54121000000001</v>
      </c>
      <c r="F182">
        <v>92.087010000000006</v>
      </c>
      <c r="G182">
        <v>93.968940000000003</v>
      </c>
      <c r="H182">
        <v>93.212199999999996</v>
      </c>
      <c r="I182">
        <v>95.574600000000004</v>
      </c>
      <c r="J182">
        <v>91.905799999999999</v>
      </c>
      <c r="K182">
        <v>94.876660000000001</v>
      </c>
    </row>
    <row r="183" spans="1:11" x14ac:dyDescent="0.25">
      <c r="A183" s="1">
        <v>43132</v>
      </c>
      <c r="B183">
        <v>121.68779000000001</v>
      </c>
      <c r="C183">
        <v>93.740600000000001</v>
      </c>
      <c r="D183">
        <v>91.533910000000006</v>
      </c>
      <c r="E183">
        <v>100.51943</v>
      </c>
      <c r="F183">
        <v>89.078749999999999</v>
      </c>
      <c r="G183">
        <v>93.871499999999997</v>
      </c>
      <c r="H183">
        <v>89.063310000000001</v>
      </c>
      <c r="I183">
        <v>95.516890000000004</v>
      </c>
      <c r="J183">
        <v>84.531019999999998</v>
      </c>
      <c r="K183">
        <v>94.603319999999997</v>
      </c>
    </row>
    <row r="184" spans="1:11" x14ac:dyDescent="0.25">
      <c r="A184" s="1">
        <v>43160</v>
      </c>
      <c r="B184">
        <v>161.18727000000001</v>
      </c>
      <c r="C184">
        <v>93.107529999999997</v>
      </c>
      <c r="D184">
        <v>101.46926999999999</v>
      </c>
      <c r="E184">
        <v>101.31711</v>
      </c>
      <c r="F184">
        <v>93.892390000000006</v>
      </c>
      <c r="G184">
        <v>94.021929999999998</v>
      </c>
      <c r="H184">
        <v>95.710499999999996</v>
      </c>
      <c r="I184">
        <v>95.703130000000002</v>
      </c>
      <c r="J184">
        <v>95.351690000000005</v>
      </c>
      <c r="K184">
        <v>95.372990000000001</v>
      </c>
    </row>
    <row r="185" spans="1:11" x14ac:dyDescent="0.25">
      <c r="A185" s="1">
        <v>43191</v>
      </c>
      <c r="B185">
        <v>148.19394</v>
      </c>
      <c r="C185">
        <v>94.218699999999998</v>
      </c>
      <c r="D185">
        <v>99.403450000000007</v>
      </c>
      <c r="E185">
        <v>102.78594</v>
      </c>
      <c r="F185">
        <v>93.091520000000003</v>
      </c>
      <c r="G185">
        <v>94.479479999999995</v>
      </c>
      <c r="H185">
        <v>94.345669999999998</v>
      </c>
      <c r="I185">
        <v>96.409450000000007</v>
      </c>
      <c r="J185">
        <v>92.314539999999994</v>
      </c>
      <c r="K185">
        <v>95.888559999999998</v>
      </c>
    </row>
    <row r="186" spans="1:11" x14ac:dyDescent="0.25">
      <c r="A186" s="1">
        <v>43221</v>
      </c>
      <c r="B186">
        <v>81.705529999999996</v>
      </c>
      <c r="C186">
        <v>92.685140000000004</v>
      </c>
      <c r="D186">
        <v>95.623440000000002</v>
      </c>
      <c r="E186">
        <v>94.993340000000003</v>
      </c>
      <c r="F186">
        <v>92.062370000000001</v>
      </c>
      <c r="G186">
        <v>92.327280000000002</v>
      </c>
      <c r="H186">
        <v>92.633979999999994</v>
      </c>
      <c r="I186">
        <v>92.745750000000001</v>
      </c>
      <c r="J186">
        <v>90.063829999999996</v>
      </c>
      <c r="K186">
        <v>90.872879999999995</v>
      </c>
    </row>
    <row r="187" spans="1:11" x14ac:dyDescent="0.25">
      <c r="A187" s="1">
        <v>43252</v>
      </c>
      <c r="B187">
        <v>93.450490000000002</v>
      </c>
      <c r="C187">
        <v>99.022970000000001</v>
      </c>
      <c r="D187">
        <v>100.16459999999999</v>
      </c>
      <c r="E187">
        <v>99.674030000000002</v>
      </c>
      <c r="F187">
        <v>94.441770000000005</v>
      </c>
      <c r="G187">
        <v>94.357900000000001</v>
      </c>
      <c r="H187">
        <v>95.609629999999996</v>
      </c>
      <c r="I187">
        <v>95.532790000000006</v>
      </c>
      <c r="J187">
        <v>93.779700000000005</v>
      </c>
      <c r="K187">
        <v>93.452699999999993</v>
      </c>
    </row>
    <row r="188" spans="1:11" x14ac:dyDescent="0.25">
      <c r="A188" s="1">
        <v>43282</v>
      </c>
      <c r="B188">
        <v>116.10878</v>
      </c>
      <c r="C188">
        <v>97.594440000000006</v>
      </c>
      <c r="D188">
        <v>103.94508999999999</v>
      </c>
      <c r="E188">
        <v>100.15528999999999</v>
      </c>
      <c r="F188">
        <v>95.514970000000005</v>
      </c>
      <c r="G188">
        <v>94.633750000000006</v>
      </c>
      <c r="H188">
        <v>97.435860000000005</v>
      </c>
      <c r="I188">
        <v>95.855189999999993</v>
      </c>
      <c r="J188">
        <v>96.600189999999998</v>
      </c>
      <c r="K188">
        <v>94.66337</v>
      </c>
    </row>
    <row r="189" spans="1:11" x14ac:dyDescent="0.25">
      <c r="A189" s="1">
        <v>43313</v>
      </c>
      <c r="B189">
        <v>92.133399999999995</v>
      </c>
      <c r="C189">
        <v>99.2453</v>
      </c>
      <c r="D189">
        <v>107.94168999999999</v>
      </c>
      <c r="E189">
        <v>100.10656</v>
      </c>
      <c r="F189">
        <v>97.570239999999998</v>
      </c>
      <c r="G189">
        <v>95.494489999999999</v>
      </c>
      <c r="H189">
        <v>100.24678</v>
      </c>
      <c r="I189">
        <v>96.674329999999998</v>
      </c>
      <c r="J189">
        <v>101.33604</v>
      </c>
      <c r="K189">
        <v>96.350200000000001</v>
      </c>
    </row>
    <row r="190" spans="1:11" x14ac:dyDescent="0.25">
      <c r="A190" s="1">
        <v>43344</v>
      </c>
      <c r="B190">
        <v>72.57911</v>
      </c>
      <c r="C190">
        <v>100.31789000000001</v>
      </c>
      <c r="D190">
        <v>100.97787</v>
      </c>
      <c r="E190">
        <v>99.739329999999995</v>
      </c>
      <c r="F190">
        <v>94.464979999999997</v>
      </c>
      <c r="G190">
        <v>94.829160000000002</v>
      </c>
      <c r="H190">
        <v>95.697100000000006</v>
      </c>
      <c r="I190">
        <v>95.970309999999998</v>
      </c>
      <c r="J190">
        <v>93.273060000000001</v>
      </c>
      <c r="K190">
        <v>94.528120000000001</v>
      </c>
    </row>
    <row r="191" spans="1:11" x14ac:dyDescent="0.25">
      <c r="A191" s="1">
        <v>43374</v>
      </c>
      <c r="B191">
        <v>63.269210000000001</v>
      </c>
      <c r="C191">
        <v>102.50996000000001</v>
      </c>
      <c r="D191">
        <v>107.78816999999999</v>
      </c>
      <c r="E191">
        <v>100.76544</v>
      </c>
      <c r="F191">
        <v>96.65504</v>
      </c>
      <c r="G191">
        <v>94.613939999999999</v>
      </c>
      <c r="H191">
        <v>99.281059999999997</v>
      </c>
      <c r="I191">
        <v>95.793329999999997</v>
      </c>
      <c r="J191">
        <v>99.16995</v>
      </c>
      <c r="K191">
        <v>94.725070000000002</v>
      </c>
    </row>
    <row r="192" spans="1:11" x14ac:dyDescent="0.25">
      <c r="A192" s="1">
        <v>43405</v>
      </c>
      <c r="B192">
        <v>64.210650000000001</v>
      </c>
      <c r="C192">
        <v>102.96298</v>
      </c>
      <c r="D192">
        <v>103.08857</v>
      </c>
      <c r="E192">
        <v>101.05412</v>
      </c>
      <c r="F192">
        <v>95.746350000000007</v>
      </c>
      <c r="G192">
        <v>94.720879999999994</v>
      </c>
      <c r="H192">
        <v>97.678200000000004</v>
      </c>
      <c r="I192">
        <v>96.341629999999995</v>
      </c>
      <c r="J192">
        <v>98.224829999999997</v>
      </c>
      <c r="K192">
        <v>95.762100000000004</v>
      </c>
    </row>
    <row r="193" spans="1:11" x14ac:dyDescent="0.25">
      <c r="A193" s="1">
        <v>43435</v>
      </c>
      <c r="B193">
        <v>71.417019999999994</v>
      </c>
      <c r="C193">
        <v>100.41419999999999</v>
      </c>
      <c r="D193">
        <v>92.766249999999999</v>
      </c>
      <c r="E193">
        <v>101.09575</v>
      </c>
      <c r="F193">
        <v>96.986440000000002</v>
      </c>
      <c r="G193">
        <v>95.261259999999993</v>
      </c>
      <c r="H193">
        <v>96.652900000000002</v>
      </c>
      <c r="I193">
        <v>96.816820000000007</v>
      </c>
      <c r="J193">
        <v>98.293099999999995</v>
      </c>
      <c r="K193">
        <v>96.111450000000005</v>
      </c>
    </row>
    <row r="194" spans="1:11" x14ac:dyDescent="0.25">
      <c r="A194" s="1">
        <v>43466</v>
      </c>
      <c r="B194">
        <v>72.859530000000007</v>
      </c>
      <c r="C194">
        <v>98.700990000000004</v>
      </c>
      <c r="D194">
        <v>98.029759999999996</v>
      </c>
      <c r="E194">
        <v>102.38676</v>
      </c>
      <c r="F194">
        <v>93.04898</v>
      </c>
      <c r="G194">
        <v>95.193989999999999</v>
      </c>
      <c r="H194">
        <v>94.200339999999997</v>
      </c>
      <c r="I194">
        <v>96.784189999999995</v>
      </c>
      <c r="J194">
        <v>93.235460000000003</v>
      </c>
      <c r="K194">
        <v>96.669150000000002</v>
      </c>
    </row>
    <row r="195" spans="1:11" x14ac:dyDescent="0.25">
      <c r="A195" s="1">
        <v>43497</v>
      </c>
      <c r="B195">
        <v>128.02221</v>
      </c>
      <c r="C195">
        <v>97.003529999999998</v>
      </c>
      <c r="D195">
        <v>94.034800000000004</v>
      </c>
      <c r="E195">
        <v>100.28368</v>
      </c>
      <c r="F195">
        <v>91.696929999999995</v>
      </c>
      <c r="G195">
        <v>95.124899999999997</v>
      </c>
      <c r="H195">
        <v>91.886499999999998</v>
      </c>
      <c r="I195">
        <v>96.368219999999994</v>
      </c>
      <c r="J195">
        <v>88.789770000000004</v>
      </c>
      <c r="K195">
        <v>95.774839999999998</v>
      </c>
    </row>
    <row r="196" spans="1:11" x14ac:dyDescent="0.25">
      <c r="A196" s="1">
        <v>43525</v>
      </c>
      <c r="B196">
        <v>167.04584</v>
      </c>
      <c r="C196">
        <v>95.040629999999993</v>
      </c>
      <c r="D196">
        <v>96.411569999999998</v>
      </c>
      <c r="E196">
        <v>99.896829999999994</v>
      </c>
      <c r="F196">
        <v>93.114850000000004</v>
      </c>
      <c r="G196">
        <v>94.856870000000001</v>
      </c>
      <c r="H196">
        <v>93.739720000000005</v>
      </c>
      <c r="I196">
        <v>96.102519999999998</v>
      </c>
      <c r="J196">
        <v>91.893159999999995</v>
      </c>
      <c r="K196">
        <v>95.643050000000002</v>
      </c>
    </row>
    <row r="197" spans="1:11" x14ac:dyDescent="0.25">
      <c r="A197" s="1">
        <v>43556</v>
      </c>
      <c r="B197">
        <v>153.39642000000001</v>
      </c>
      <c r="C197">
        <v>96.245059999999995</v>
      </c>
      <c r="D197">
        <v>97.430189999999996</v>
      </c>
      <c r="E197">
        <v>100.19148</v>
      </c>
      <c r="F197">
        <v>94.001300000000001</v>
      </c>
      <c r="G197">
        <v>95.064549999999997</v>
      </c>
      <c r="H197">
        <v>94.761600000000001</v>
      </c>
      <c r="I197">
        <v>96.381190000000004</v>
      </c>
      <c r="J197">
        <v>93.505390000000006</v>
      </c>
      <c r="K197">
        <v>96.121200000000002</v>
      </c>
    </row>
    <row r="198" spans="1:11" x14ac:dyDescent="0.25">
      <c r="A198" s="1">
        <v>43586</v>
      </c>
      <c r="B198">
        <v>86.359560000000002</v>
      </c>
      <c r="C198">
        <v>98.470929999999996</v>
      </c>
      <c r="D198">
        <v>102.88959</v>
      </c>
      <c r="E198">
        <v>100.48307</v>
      </c>
      <c r="F198">
        <v>95.952290000000005</v>
      </c>
      <c r="G198">
        <v>95.469589999999997</v>
      </c>
      <c r="H198">
        <v>97.746750000000006</v>
      </c>
      <c r="I198">
        <v>96.758750000000006</v>
      </c>
      <c r="J198">
        <v>97.943690000000004</v>
      </c>
      <c r="K198">
        <v>96.879379999999998</v>
      </c>
    </row>
    <row r="199" spans="1:11" x14ac:dyDescent="0.25">
      <c r="A199" s="1">
        <v>43617</v>
      </c>
      <c r="B199">
        <v>90.925910000000002</v>
      </c>
      <c r="C199">
        <v>96.484359999999995</v>
      </c>
      <c r="D199">
        <v>96.652410000000003</v>
      </c>
      <c r="E199">
        <v>99.698539999999994</v>
      </c>
      <c r="F199">
        <v>93.872900000000001</v>
      </c>
      <c r="G199">
        <v>95.28134</v>
      </c>
      <c r="H199">
        <v>94.411150000000006</v>
      </c>
      <c r="I199">
        <v>96.53519</v>
      </c>
      <c r="J199">
        <v>92.709239999999994</v>
      </c>
      <c r="K199">
        <v>95.991720000000001</v>
      </c>
    </row>
    <row r="200" spans="1:11" x14ac:dyDescent="0.25">
      <c r="A200" s="1">
        <v>43647</v>
      </c>
      <c r="B200">
        <v>118.38840999999999</v>
      </c>
      <c r="C200">
        <v>99.035929999999993</v>
      </c>
      <c r="D200">
        <v>103.60095</v>
      </c>
      <c r="E200">
        <v>97.807239999999993</v>
      </c>
      <c r="F200">
        <v>97.085939999999994</v>
      </c>
      <c r="G200">
        <v>95.343779999999995</v>
      </c>
      <c r="H200">
        <v>98.99324</v>
      </c>
      <c r="I200">
        <v>96.133340000000004</v>
      </c>
      <c r="J200">
        <v>100.34148</v>
      </c>
      <c r="K200">
        <v>96.084549999999993</v>
      </c>
    </row>
    <row r="201" spans="1:11" x14ac:dyDescent="0.25">
      <c r="A201" s="1">
        <v>43678</v>
      </c>
      <c r="B201">
        <v>90.113240000000005</v>
      </c>
      <c r="C201">
        <v>97.926569999999998</v>
      </c>
      <c r="D201">
        <v>106.26482</v>
      </c>
      <c r="E201">
        <v>99.129170000000002</v>
      </c>
      <c r="F201">
        <v>97.099159999999998</v>
      </c>
      <c r="G201">
        <v>95.416229999999999</v>
      </c>
      <c r="H201">
        <v>99.592939999999999</v>
      </c>
      <c r="I201">
        <v>96.500550000000004</v>
      </c>
      <c r="J201">
        <v>100.95474</v>
      </c>
      <c r="K201">
        <v>96.481399999999994</v>
      </c>
    </row>
    <row r="202" spans="1:11" x14ac:dyDescent="0.25">
      <c r="A202" s="1">
        <v>43709</v>
      </c>
      <c r="B202">
        <v>70.004289999999997</v>
      </c>
      <c r="C202">
        <v>98.263900000000007</v>
      </c>
      <c r="D202">
        <v>102.75939</v>
      </c>
      <c r="E202">
        <v>99.643659999999997</v>
      </c>
      <c r="F202">
        <v>95.989519999999999</v>
      </c>
      <c r="G202">
        <v>95.430329999999998</v>
      </c>
      <c r="H202">
        <v>97.626339999999999</v>
      </c>
      <c r="I202">
        <v>96.671890000000005</v>
      </c>
      <c r="J202">
        <v>97.13843</v>
      </c>
      <c r="K202">
        <v>96.855459999999994</v>
      </c>
    </row>
    <row r="203" spans="1:11" x14ac:dyDescent="0.25">
      <c r="A203" s="1">
        <v>43739</v>
      </c>
      <c r="B203">
        <v>61.52223</v>
      </c>
      <c r="C203">
        <v>102.12538000000001</v>
      </c>
      <c r="D203">
        <v>109.20276</v>
      </c>
      <c r="E203">
        <v>101.00906000000001</v>
      </c>
      <c r="F203">
        <v>98.695400000000006</v>
      </c>
      <c r="G203">
        <v>96.013409999999993</v>
      </c>
      <c r="H203">
        <v>101.57429999999999</v>
      </c>
      <c r="I203">
        <v>97.189459999999997</v>
      </c>
      <c r="J203">
        <v>103.42147</v>
      </c>
      <c r="K203">
        <v>97.689800000000005</v>
      </c>
    </row>
    <row r="204" spans="1:11" x14ac:dyDescent="0.25">
      <c r="A204" s="1">
        <v>43770</v>
      </c>
      <c r="B204">
        <v>61.231780000000001</v>
      </c>
      <c r="C204">
        <v>100.23163</v>
      </c>
      <c r="D204">
        <v>102.14214</v>
      </c>
      <c r="E204">
        <v>100.14603</v>
      </c>
      <c r="F204">
        <v>97.086359999999999</v>
      </c>
      <c r="G204">
        <v>95.982900000000001</v>
      </c>
      <c r="H204">
        <v>98.669039999999995</v>
      </c>
      <c r="I204">
        <v>97.328320000000005</v>
      </c>
      <c r="J204">
        <v>99.999690000000001</v>
      </c>
      <c r="K204">
        <v>97.55368</v>
      </c>
    </row>
    <row r="205" spans="1:11" x14ac:dyDescent="0.25">
      <c r="A205" s="1">
        <v>43800</v>
      </c>
      <c r="B205">
        <v>68.301770000000005</v>
      </c>
      <c r="C205">
        <v>98.647310000000004</v>
      </c>
      <c r="D205">
        <v>92.132339999999999</v>
      </c>
      <c r="E205">
        <v>99.836519999999993</v>
      </c>
      <c r="F205">
        <v>98.181640000000002</v>
      </c>
      <c r="G205">
        <v>95.702969999999993</v>
      </c>
      <c r="H205">
        <v>97.609660000000005</v>
      </c>
      <c r="I205">
        <v>97.098129999999998</v>
      </c>
      <c r="J205">
        <v>100.58159999999999</v>
      </c>
      <c r="K205">
        <v>97.847539999999995</v>
      </c>
    </row>
    <row r="206" spans="1:11" x14ac:dyDescent="0.25">
      <c r="A206" s="1">
        <v>43831</v>
      </c>
      <c r="B206">
        <v>72.867140000000006</v>
      </c>
      <c r="C206">
        <v>100.62428</v>
      </c>
      <c r="D206">
        <v>95.565070000000006</v>
      </c>
      <c r="E206">
        <v>100.21527</v>
      </c>
      <c r="F206">
        <v>93.861500000000007</v>
      </c>
      <c r="G206">
        <v>96.077510000000004</v>
      </c>
      <c r="H206">
        <v>94.47</v>
      </c>
      <c r="I206">
        <v>97.217799999999997</v>
      </c>
      <c r="J206">
        <v>94.530519999999996</v>
      </c>
      <c r="K206">
        <v>98.356809999999996</v>
      </c>
    </row>
    <row r="207" spans="1:11" x14ac:dyDescent="0.25">
      <c r="A207" s="1">
        <v>43862</v>
      </c>
      <c r="B207">
        <v>133.68893</v>
      </c>
      <c r="C207">
        <v>99.458029999999994</v>
      </c>
      <c r="D207">
        <v>94.076390000000004</v>
      </c>
      <c r="E207">
        <v>101.01887000000001</v>
      </c>
      <c r="F207">
        <v>91.729339999999993</v>
      </c>
      <c r="G207">
        <v>96.209969999999998</v>
      </c>
      <c r="H207">
        <v>92.119680000000002</v>
      </c>
      <c r="I207">
        <v>97.68056</v>
      </c>
      <c r="J207">
        <v>90.098240000000004</v>
      </c>
      <c r="K207">
        <v>98.755170000000007</v>
      </c>
    </row>
    <row r="208" spans="1:11" x14ac:dyDescent="0.25">
      <c r="A208" s="1">
        <v>43891</v>
      </c>
      <c r="B208">
        <v>175.56613999999999</v>
      </c>
      <c r="C208">
        <v>97.871279999999999</v>
      </c>
      <c r="D208">
        <v>94.447519999999997</v>
      </c>
      <c r="E208">
        <v>94.60033</v>
      </c>
      <c r="F208">
        <v>91.303849999999997</v>
      </c>
      <c r="G208">
        <v>91.009</v>
      </c>
      <c r="H208">
        <v>91.684489999999997</v>
      </c>
      <c r="I208">
        <v>91.405109999999993</v>
      </c>
      <c r="J208">
        <v>88.57929</v>
      </c>
      <c r="K208">
        <v>88.177130000000005</v>
      </c>
    </row>
    <row r="209" spans="1:11" x14ac:dyDescent="0.25">
      <c r="A209" s="1">
        <v>43922</v>
      </c>
      <c r="B209">
        <v>157.56139999999999</v>
      </c>
      <c r="C209">
        <v>97.095309999999998</v>
      </c>
      <c r="D209">
        <v>76.793599999999998</v>
      </c>
      <c r="E209">
        <v>79.857749999999996</v>
      </c>
      <c r="F209">
        <v>82.841220000000007</v>
      </c>
      <c r="G209">
        <v>84.719279999999998</v>
      </c>
      <c r="H209">
        <v>80.24503</v>
      </c>
      <c r="I209">
        <v>82.668639999999996</v>
      </c>
      <c r="J209">
        <v>71.745170000000002</v>
      </c>
      <c r="K209">
        <v>75.236080000000001</v>
      </c>
    </row>
    <row r="210" spans="1:11" x14ac:dyDescent="0.25">
      <c r="A210" s="1">
        <v>43952</v>
      </c>
      <c r="B210">
        <v>86.442239999999998</v>
      </c>
      <c r="C210">
        <v>98.942819999999998</v>
      </c>
      <c r="D210">
        <v>83.574770000000001</v>
      </c>
      <c r="E210">
        <v>83.851619999999997</v>
      </c>
      <c r="F210">
        <v>84.824060000000003</v>
      </c>
      <c r="G210">
        <v>85.532330000000002</v>
      </c>
      <c r="H210">
        <v>84.066329999999994</v>
      </c>
      <c r="I210">
        <v>84.767690000000002</v>
      </c>
      <c r="J210">
        <v>80.081249999999997</v>
      </c>
      <c r="K210">
        <v>81.271739999999994</v>
      </c>
    </row>
    <row r="211" spans="1:11" x14ac:dyDescent="0.25">
      <c r="A211" s="1">
        <v>43983</v>
      </c>
      <c r="B211">
        <v>93.501429999999999</v>
      </c>
      <c r="C211">
        <v>99.708920000000006</v>
      </c>
      <c r="D211">
        <v>90.025319999999994</v>
      </c>
      <c r="E211">
        <v>90.875709999999998</v>
      </c>
      <c r="F211">
        <v>88.323800000000006</v>
      </c>
      <c r="G211">
        <v>88.404150000000001</v>
      </c>
      <c r="H211">
        <v>88.587459999999993</v>
      </c>
      <c r="I211">
        <v>88.912570000000002</v>
      </c>
      <c r="J211">
        <v>86.708160000000007</v>
      </c>
      <c r="K211">
        <v>87.432910000000007</v>
      </c>
    </row>
    <row r="212" spans="1:11" x14ac:dyDescent="0.25">
      <c r="A212" s="1">
        <v>44013</v>
      </c>
      <c r="B212">
        <v>119.58759000000001</v>
      </c>
      <c r="C212">
        <v>99.900490000000005</v>
      </c>
      <c r="D212">
        <v>102.08795000000001</v>
      </c>
      <c r="E212">
        <v>95.813810000000004</v>
      </c>
      <c r="F212">
        <v>91.515609999999995</v>
      </c>
      <c r="G212">
        <v>89.786349999999999</v>
      </c>
      <c r="H212">
        <v>94.328980000000001</v>
      </c>
      <c r="I212">
        <v>91.421890000000005</v>
      </c>
      <c r="J212">
        <v>95.83202</v>
      </c>
      <c r="K212">
        <v>91.418360000000007</v>
      </c>
    </row>
    <row r="213" spans="1:11" x14ac:dyDescent="0.25">
      <c r="A213" s="1">
        <v>44044</v>
      </c>
      <c r="B213">
        <v>89.629279999999994</v>
      </c>
      <c r="C213">
        <v>98.51155</v>
      </c>
      <c r="D213">
        <v>103.51794</v>
      </c>
      <c r="E213">
        <v>98.263369999999995</v>
      </c>
      <c r="F213">
        <v>91.898349999999994</v>
      </c>
      <c r="G213">
        <v>91.041319999999999</v>
      </c>
      <c r="H213">
        <v>95.082160000000002</v>
      </c>
      <c r="I213">
        <v>93.185699999999997</v>
      </c>
      <c r="J213">
        <v>97.390860000000004</v>
      </c>
      <c r="K213">
        <v>94.860669999999999</v>
      </c>
    </row>
    <row r="214" spans="1:11" x14ac:dyDescent="0.25">
      <c r="A214" s="1">
        <v>44075</v>
      </c>
      <c r="B214">
        <v>70.908649999999994</v>
      </c>
      <c r="C214">
        <v>101.28462</v>
      </c>
      <c r="D214">
        <v>104.98784999999999</v>
      </c>
      <c r="E214">
        <v>100.41605</v>
      </c>
      <c r="F214">
        <v>93.609729999999999</v>
      </c>
      <c r="G214">
        <v>92.476680000000002</v>
      </c>
      <c r="H214">
        <v>96.792670000000001</v>
      </c>
      <c r="I214">
        <v>94.912809999999993</v>
      </c>
      <c r="J214">
        <v>99.385779999999997</v>
      </c>
      <c r="K214">
        <v>97.181209999999993</v>
      </c>
    </row>
    <row r="215" spans="1:11" x14ac:dyDescent="0.25">
      <c r="A215" s="1">
        <v>44105</v>
      </c>
      <c r="B215">
        <v>59.681019999999997</v>
      </c>
      <c r="C215">
        <v>101.97364</v>
      </c>
      <c r="D215">
        <v>108.68483000000001</v>
      </c>
      <c r="E215">
        <v>101.85429999999999</v>
      </c>
      <c r="F215">
        <v>95.658439999999999</v>
      </c>
      <c r="G215">
        <v>93.918040000000005</v>
      </c>
      <c r="H215">
        <v>99.366230000000002</v>
      </c>
      <c r="I215">
        <v>96.136359999999996</v>
      </c>
      <c r="J215">
        <v>102.86685</v>
      </c>
      <c r="K215">
        <v>98.535020000000003</v>
      </c>
    </row>
    <row r="216" spans="1:11" x14ac:dyDescent="0.25">
      <c r="A216" s="1">
        <v>44136</v>
      </c>
      <c r="B216">
        <v>60.799010000000003</v>
      </c>
      <c r="C216">
        <v>101.92243000000001</v>
      </c>
      <c r="D216">
        <v>101.92171999999999</v>
      </c>
      <c r="E216">
        <v>100.01891999999999</v>
      </c>
      <c r="F216">
        <v>95.589960000000005</v>
      </c>
      <c r="G216">
        <v>94.528180000000006</v>
      </c>
      <c r="H216">
        <v>97.948560000000001</v>
      </c>
      <c r="I216">
        <v>96.701300000000003</v>
      </c>
      <c r="J216">
        <v>102.2307</v>
      </c>
      <c r="K216">
        <v>99.915719999999993</v>
      </c>
    </row>
    <row r="217" spans="1:11" x14ac:dyDescent="0.25">
      <c r="A217" s="1">
        <v>44166</v>
      </c>
      <c r="B217">
        <v>69.70917</v>
      </c>
      <c r="C217">
        <v>103.48833</v>
      </c>
      <c r="D217">
        <v>96.880189999999999</v>
      </c>
      <c r="E217">
        <v>102.80647999999999</v>
      </c>
      <c r="F217">
        <v>97.613140000000001</v>
      </c>
      <c r="G217">
        <v>94.494659999999996</v>
      </c>
      <c r="H217">
        <v>98.609160000000003</v>
      </c>
      <c r="I217">
        <v>96.914519999999996</v>
      </c>
      <c r="J217">
        <v>104.04533000000001</v>
      </c>
      <c r="K217">
        <v>99.375079999999997</v>
      </c>
    </row>
    <row r="218" spans="1:11" x14ac:dyDescent="0.25">
      <c r="A218" s="1">
        <v>44197</v>
      </c>
      <c r="B218">
        <v>71.526820000000001</v>
      </c>
      <c r="C218">
        <v>100.45743</v>
      </c>
      <c r="D218">
        <v>96.956789999999998</v>
      </c>
      <c r="E218">
        <v>104.83981</v>
      </c>
      <c r="F218">
        <v>91.461399999999998</v>
      </c>
      <c r="G218">
        <v>94.955969999999994</v>
      </c>
      <c r="H218">
        <v>93.026730000000001</v>
      </c>
      <c r="I218">
        <v>97.726290000000006</v>
      </c>
      <c r="J218">
        <v>93.764769999999999</v>
      </c>
      <c r="K218">
        <v>100.67101</v>
      </c>
    </row>
    <row r="219" spans="1:11" x14ac:dyDescent="0.25">
      <c r="A219" s="1">
        <v>44228</v>
      </c>
      <c r="B219">
        <v>142.58819</v>
      </c>
      <c r="C219">
        <v>104.2514</v>
      </c>
      <c r="D219">
        <v>93.514259999999993</v>
      </c>
      <c r="E219">
        <v>103.15428</v>
      </c>
      <c r="F219">
        <v>90.340739999999997</v>
      </c>
      <c r="G219">
        <v>95.486189999999993</v>
      </c>
      <c r="H219">
        <v>91.095290000000006</v>
      </c>
      <c r="I219">
        <v>98.000190000000003</v>
      </c>
      <c r="J219">
        <v>90.203580000000002</v>
      </c>
      <c r="K219">
        <v>101.30296</v>
      </c>
    </row>
    <row r="220" spans="1:11" x14ac:dyDescent="0.25">
      <c r="A220" s="1">
        <v>44256</v>
      </c>
      <c r="B220">
        <v>190.34217000000001</v>
      </c>
      <c r="C220">
        <v>103.95694</v>
      </c>
      <c r="D220">
        <v>101.47304</v>
      </c>
      <c r="E220">
        <v>99.91507</v>
      </c>
      <c r="F220">
        <v>93.80283</v>
      </c>
      <c r="G220">
        <v>92.716380000000001</v>
      </c>
      <c r="H220">
        <v>96.029139999999998</v>
      </c>
      <c r="I220">
        <v>94.587130000000002</v>
      </c>
      <c r="J220">
        <v>97.681700000000006</v>
      </c>
      <c r="K220">
        <v>95.21302</v>
      </c>
    </row>
    <row r="221" spans="1:11" x14ac:dyDescent="0.25">
      <c r="A221" s="1">
        <v>44287</v>
      </c>
      <c r="B221">
        <v>170.95151999999999</v>
      </c>
      <c r="C221">
        <v>103.46892</v>
      </c>
      <c r="D221">
        <v>95.23442</v>
      </c>
      <c r="E221">
        <v>99.253929999999997</v>
      </c>
      <c r="F221">
        <v>92.218959999999996</v>
      </c>
      <c r="G221">
        <v>94.115099999999998</v>
      </c>
      <c r="H221">
        <v>93.014169999999993</v>
      </c>
      <c r="I221">
        <v>95.790890000000005</v>
      </c>
      <c r="J221">
        <v>92.572249999999997</v>
      </c>
      <c r="K221">
        <v>96.996719999999996</v>
      </c>
    </row>
    <row r="222" spans="1:11" x14ac:dyDescent="0.25">
      <c r="A222" s="1">
        <v>44317</v>
      </c>
      <c r="B222">
        <v>83.688410000000005</v>
      </c>
      <c r="C222">
        <v>95.694940000000003</v>
      </c>
      <c r="D222">
        <v>100.42028000000001</v>
      </c>
      <c r="E222">
        <v>100.12869000000001</v>
      </c>
      <c r="F222">
        <v>94.857870000000005</v>
      </c>
      <c r="G222">
        <v>95.370599999999996</v>
      </c>
      <c r="H222">
        <v>96.699520000000007</v>
      </c>
      <c r="I222">
        <v>97.088369999999998</v>
      </c>
      <c r="J222">
        <v>98.983590000000007</v>
      </c>
      <c r="K222">
        <v>99.756069999999994</v>
      </c>
    </row>
    <row r="223" spans="1:11" x14ac:dyDescent="0.25">
      <c r="A223" s="1">
        <v>44348</v>
      </c>
      <c r="B223">
        <v>87.095910000000003</v>
      </c>
      <c r="C223">
        <v>93.010630000000006</v>
      </c>
      <c r="D223">
        <v>98.113470000000007</v>
      </c>
      <c r="E223">
        <v>98.733009999999993</v>
      </c>
      <c r="F223">
        <v>95.978200000000001</v>
      </c>
      <c r="G223">
        <v>95.939359999999994</v>
      </c>
      <c r="H223">
        <v>96.853499999999997</v>
      </c>
      <c r="I223">
        <v>96.932220000000001</v>
      </c>
      <c r="J223">
        <v>98.10069</v>
      </c>
      <c r="K223">
        <v>98.555250000000001</v>
      </c>
    </row>
    <row r="224" spans="1:11" x14ac:dyDescent="0.25">
      <c r="A224" s="1">
        <v>44378</v>
      </c>
      <c r="B224">
        <v>107.02099</v>
      </c>
      <c r="C224">
        <v>89.488299999999995</v>
      </c>
      <c r="D224">
        <v>102.69983999999999</v>
      </c>
      <c r="E224">
        <v>97.040509999999998</v>
      </c>
      <c r="F224">
        <v>97.377700000000004</v>
      </c>
      <c r="G224">
        <v>95.804190000000006</v>
      </c>
      <c r="H224">
        <v>99.341350000000006</v>
      </c>
      <c r="I224">
        <v>96.699680000000001</v>
      </c>
      <c r="J224">
        <v>102.67836</v>
      </c>
      <c r="K224">
        <v>98.564859999999996</v>
      </c>
    </row>
    <row r="225" spans="1:11" x14ac:dyDescent="0.25">
      <c r="A225" s="1">
        <v>44409</v>
      </c>
      <c r="B225">
        <v>87.080730000000003</v>
      </c>
      <c r="C225">
        <v>97.053160000000005</v>
      </c>
      <c r="D225">
        <v>105.26067</v>
      </c>
      <c r="E225">
        <v>99.112889999999993</v>
      </c>
      <c r="F225">
        <v>97.50479</v>
      </c>
      <c r="G225">
        <v>95.908969999999997</v>
      </c>
      <c r="H225">
        <v>99.804019999999994</v>
      </c>
      <c r="I225">
        <v>97.02637</v>
      </c>
      <c r="J225">
        <v>101.73781</v>
      </c>
      <c r="K225">
        <v>98.089209999999994</v>
      </c>
    </row>
    <row r="226" spans="1:11" x14ac:dyDescent="0.25">
      <c r="A226" s="1">
        <v>44440</v>
      </c>
      <c r="B226">
        <v>66.985870000000006</v>
      </c>
      <c r="C226">
        <v>97.630700000000004</v>
      </c>
      <c r="D226">
        <v>103.65629</v>
      </c>
      <c r="E226">
        <v>98.696889999999996</v>
      </c>
      <c r="F226">
        <v>96.73939</v>
      </c>
      <c r="G226">
        <v>95.857309999999998</v>
      </c>
      <c r="H226">
        <v>98.692210000000003</v>
      </c>
      <c r="I226">
        <v>96.894739999999999</v>
      </c>
      <c r="J226">
        <v>99.716520000000003</v>
      </c>
      <c r="K226">
        <v>97.827640000000002</v>
      </c>
    </row>
    <row r="227" spans="1:11" x14ac:dyDescent="0.25">
      <c r="A227" s="1">
        <v>44470</v>
      </c>
      <c r="B227">
        <v>56.621000000000002</v>
      </c>
      <c r="C227">
        <v>99.911270000000002</v>
      </c>
      <c r="D227">
        <v>101.62705</v>
      </c>
      <c r="E227">
        <v>97.049390000000002</v>
      </c>
      <c r="F227">
        <v>97.193730000000002</v>
      </c>
      <c r="G227">
        <v>96.407210000000006</v>
      </c>
      <c r="H227">
        <v>98.674379999999999</v>
      </c>
      <c r="I227">
        <v>96.812290000000004</v>
      </c>
      <c r="J227">
        <v>100.3365</v>
      </c>
      <c r="K227">
        <v>98.303640000000001</v>
      </c>
    </row>
    <row r="228" spans="1:11" x14ac:dyDescent="0.25">
      <c r="A228" s="1">
        <v>44501</v>
      </c>
      <c r="B228">
        <v>61.532769999999999</v>
      </c>
      <c r="C228">
        <v>106.09430999999999</v>
      </c>
      <c r="D228">
        <v>100.35312999999999</v>
      </c>
      <c r="E228">
        <v>98.688199999999995</v>
      </c>
      <c r="F228">
        <v>98.91404</v>
      </c>
      <c r="G228">
        <v>97.919030000000006</v>
      </c>
      <c r="H228">
        <v>99.809269999999998</v>
      </c>
      <c r="I228">
        <v>98.689599999999999</v>
      </c>
      <c r="J228">
        <v>102.12927999999999</v>
      </c>
      <c r="K228">
        <v>100.07637</v>
      </c>
    </row>
    <row r="229" spans="1:11" x14ac:dyDescent="0.25">
      <c r="A229" s="1">
        <v>44531</v>
      </c>
      <c r="B229">
        <v>70.032610000000005</v>
      </c>
      <c r="C229">
        <v>107.46634</v>
      </c>
      <c r="D229">
        <v>94.845420000000004</v>
      </c>
      <c r="E229">
        <v>99.731819999999999</v>
      </c>
      <c r="F229">
        <v>101.81075</v>
      </c>
      <c r="G229">
        <v>98.311930000000004</v>
      </c>
      <c r="H229">
        <v>100.9498</v>
      </c>
      <c r="I229">
        <v>98.794390000000007</v>
      </c>
      <c r="J229">
        <v>104.45166999999999</v>
      </c>
      <c r="K229">
        <v>99.458960000000005</v>
      </c>
    </row>
    <row r="230" spans="1:11" x14ac:dyDescent="0.25">
      <c r="A230" s="1">
        <v>44562</v>
      </c>
      <c r="B230">
        <v>67.867840000000001</v>
      </c>
      <c r="C230">
        <v>96.735839999999996</v>
      </c>
      <c r="D230">
        <v>92.149060000000006</v>
      </c>
      <c r="E230">
        <v>99.327920000000006</v>
      </c>
      <c r="F230">
        <v>94.142889999999994</v>
      </c>
      <c r="G230">
        <v>97.473269999999999</v>
      </c>
      <c r="H230">
        <v>93.439229999999995</v>
      </c>
      <c r="I230">
        <v>97.881649999999993</v>
      </c>
      <c r="J230">
        <v>92.538290000000003</v>
      </c>
      <c r="K230">
        <v>99.1143</v>
      </c>
    </row>
    <row r="231" spans="1:11" x14ac:dyDescent="0.25">
      <c r="A231" s="1">
        <v>44593</v>
      </c>
      <c r="B231">
        <v>134.24554000000001</v>
      </c>
      <c r="C231">
        <v>96.433400000000006</v>
      </c>
      <c r="D231">
        <v>91.951520000000002</v>
      </c>
      <c r="E231">
        <v>99.027270000000001</v>
      </c>
      <c r="F231">
        <v>93.966309999999993</v>
      </c>
      <c r="G231">
        <v>98.042050000000003</v>
      </c>
      <c r="H231">
        <v>92.927459999999996</v>
      </c>
      <c r="I231">
        <v>98.192390000000003</v>
      </c>
      <c r="J231">
        <v>90.184820000000002</v>
      </c>
      <c r="K231">
        <v>98.069339999999997</v>
      </c>
    </row>
    <row r="232" spans="1:11" x14ac:dyDescent="0.25">
      <c r="A232" s="1">
        <v>44621</v>
      </c>
      <c r="B232">
        <v>180.15343999999999</v>
      </c>
      <c r="C232">
        <v>95.991919999999993</v>
      </c>
      <c r="D232">
        <v>100.67592</v>
      </c>
      <c r="E232">
        <v>101.18608999999999</v>
      </c>
      <c r="F232">
        <v>98.904690000000002</v>
      </c>
      <c r="G232">
        <v>98.896299999999997</v>
      </c>
      <c r="H232">
        <v>99.475399999999993</v>
      </c>
      <c r="I232">
        <v>99.576560000000001</v>
      </c>
      <c r="J232">
        <v>99.971779999999995</v>
      </c>
      <c r="K232">
        <v>100.11709</v>
      </c>
    </row>
    <row r="233" spans="1:11" x14ac:dyDescent="0.25">
      <c r="A233" s="1">
        <v>44652</v>
      </c>
      <c r="B233">
        <v>159.33533</v>
      </c>
      <c r="C233">
        <v>94.333659999999995</v>
      </c>
      <c r="D233">
        <v>95.946690000000004</v>
      </c>
      <c r="E233">
        <v>100.86309</v>
      </c>
      <c r="F233">
        <v>96.432060000000007</v>
      </c>
      <c r="G233">
        <v>98.902299999999997</v>
      </c>
      <c r="H233">
        <v>96.076040000000006</v>
      </c>
      <c r="I233">
        <v>99.524330000000006</v>
      </c>
      <c r="J233">
        <v>94.824219999999997</v>
      </c>
      <c r="K233">
        <v>99.748000000000005</v>
      </c>
    </row>
    <row r="234" spans="1:11" x14ac:dyDescent="0.25">
      <c r="A234" s="1">
        <v>44682</v>
      </c>
      <c r="B234">
        <v>90.542299999999997</v>
      </c>
      <c r="C234">
        <v>103.41533</v>
      </c>
      <c r="D234">
        <v>101.67004</v>
      </c>
      <c r="E234">
        <v>99.760829999999999</v>
      </c>
      <c r="F234">
        <v>99.576210000000003</v>
      </c>
      <c r="G234">
        <v>99.252930000000006</v>
      </c>
      <c r="H234">
        <v>100.36906999999999</v>
      </c>
      <c r="I234">
        <v>99.55153</v>
      </c>
      <c r="J234">
        <v>101.61654</v>
      </c>
      <c r="K234">
        <v>100.20237</v>
      </c>
    </row>
    <row r="235" spans="1:11" x14ac:dyDescent="0.25">
      <c r="A235" s="1">
        <v>44713</v>
      </c>
      <c r="B235">
        <v>96.874610000000004</v>
      </c>
      <c r="C235">
        <v>104.15192</v>
      </c>
      <c r="D235">
        <v>99.491290000000006</v>
      </c>
      <c r="E235">
        <v>99.53698</v>
      </c>
      <c r="F235">
        <v>99.59657</v>
      </c>
      <c r="G235">
        <v>99.576530000000005</v>
      </c>
      <c r="H235">
        <v>99.415049999999994</v>
      </c>
      <c r="I235">
        <v>99.362690000000001</v>
      </c>
      <c r="J235">
        <v>98.560559999999995</v>
      </c>
      <c r="K235">
        <v>99.021730000000005</v>
      </c>
    </row>
    <row r="236" spans="1:11" x14ac:dyDescent="0.25">
      <c r="A236" s="1">
        <v>44743</v>
      </c>
      <c r="B236">
        <v>124.6422</v>
      </c>
      <c r="C236">
        <v>105.04777</v>
      </c>
      <c r="D236">
        <v>104.50306999999999</v>
      </c>
      <c r="E236">
        <v>100.56413000000001</v>
      </c>
      <c r="F236">
        <v>101.83175</v>
      </c>
      <c r="G236">
        <v>100.8567</v>
      </c>
      <c r="H236">
        <v>102.59291</v>
      </c>
      <c r="I236">
        <v>100.92039</v>
      </c>
      <c r="J236">
        <v>102.78504</v>
      </c>
      <c r="K236">
        <v>100.53152</v>
      </c>
    </row>
    <row r="237" spans="1:11" x14ac:dyDescent="0.25">
      <c r="A237" s="1">
        <v>44774</v>
      </c>
      <c r="B237">
        <v>93.431960000000004</v>
      </c>
      <c r="C237">
        <v>105.67767000000001</v>
      </c>
      <c r="D237">
        <v>108.0547</v>
      </c>
      <c r="E237">
        <v>99.814949999999996</v>
      </c>
      <c r="F237">
        <v>103.94508</v>
      </c>
      <c r="G237">
        <v>101.36203999999999</v>
      </c>
      <c r="H237">
        <v>105.28928000000001</v>
      </c>
      <c r="I237">
        <v>101.01063000000001</v>
      </c>
      <c r="J237">
        <v>106.55296</v>
      </c>
      <c r="K237">
        <v>100.65371</v>
      </c>
    </row>
    <row r="238" spans="1:11" x14ac:dyDescent="0.25">
      <c r="A238" s="1">
        <v>44805</v>
      </c>
      <c r="B238">
        <v>70.536479999999997</v>
      </c>
      <c r="C238">
        <v>105.15841</v>
      </c>
      <c r="D238">
        <v>104.45587999999999</v>
      </c>
      <c r="E238">
        <v>99.661150000000006</v>
      </c>
      <c r="F238">
        <v>102.78845</v>
      </c>
      <c r="G238">
        <v>101.55477999999999</v>
      </c>
      <c r="H238">
        <v>103.2193</v>
      </c>
      <c r="I238">
        <v>101.19692000000001</v>
      </c>
      <c r="J238">
        <v>103.09179</v>
      </c>
      <c r="K238">
        <v>101.06814</v>
      </c>
    </row>
    <row r="239" spans="1:11" x14ac:dyDescent="0.25">
      <c r="A239" s="1">
        <v>44835</v>
      </c>
      <c r="B239">
        <v>56.945250000000001</v>
      </c>
      <c r="C239">
        <v>103.57225</v>
      </c>
      <c r="D239">
        <v>105.26636000000001</v>
      </c>
      <c r="E239">
        <v>101.09784000000001</v>
      </c>
      <c r="F239">
        <v>102.38364</v>
      </c>
      <c r="G239">
        <v>101.54231</v>
      </c>
      <c r="H239">
        <v>103.12434</v>
      </c>
      <c r="I239">
        <v>101.41276999999999</v>
      </c>
      <c r="J239">
        <v>102.88057999999999</v>
      </c>
      <c r="K239">
        <v>101.17825000000001</v>
      </c>
    </row>
    <row r="240" spans="1:11" x14ac:dyDescent="0.25">
      <c r="A240" s="1">
        <v>44866</v>
      </c>
      <c r="B240">
        <v>59.79674</v>
      </c>
      <c r="C240">
        <v>105.93056</v>
      </c>
      <c r="D240">
        <v>101.06650999999999</v>
      </c>
      <c r="E240">
        <v>99.650040000000004</v>
      </c>
      <c r="F240">
        <v>101.95726000000001</v>
      </c>
      <c r="G240">
        <v>101.10684000000001</v>
      </c>
      <c r="H240">
        <v>101.73156</v>
      </c>
      <c r="I240">
        <v>100.76875</v>
      </c>
      <c r="J240">
        <v>101.8246</v>
      </c>
      <c r="K240">
        <v>100.04031000000001</v>
      </c>
    </row>
    <row r="241" spans="1:11" x14ac:dyDescent="0.25">
      <c r="A241" s="1">
        <v>44896</v>
      </c>
      <c r="B241">
        <v>65.628309999999999</v>
      </c>
      <c r="C241">
        <v>103.63382</v>
      </c>
      <c r="D241">
        <v>94.768969999999996</v>
      </c>
      <c r="E241">
        <v>99.769149999999996</v>
      </c>
      <c r="F241">
        <v>104.47508000000001</v>
      </c>
      <c r="G241">
        <v>101.13664</v>
      </c>
      <c r="H241">
        <v>102.34036</v>
      </c>
      <c r="I241">
        <v>100.36189</v>
      </c>
      <c r="J241">
        <v>105.16882</v>
      </c>
      <c r="K241">
        <v>100.07679</v>
      </c>
    </row>
    <row r="242" spans="1:11" x14ac:dyDescent="0.25">
      <c r="A242" s="1">
        <v>44927</v>
      </c>
      <c r="B242">
        <v>77.110039999999998</v>
      </c>
      <c r="C242">
        <v>110.46923</v>
      </c>
      <c r="D242">
        <v>93.490200000000002</v>
      </c>
      <c r="E242">
        <v>99.438450000000003</v>
      </c>
      <c r="F242">
        <v>97.752210000000005</v>
      </c>
      <c r="G242">
        <v>100.34531</v>
      </c>
      <c r="H242">
        <v>96.350989999999996</v>
      </c>
      <c r="I242">
        <v>99.86251</v>
      </c>
      <c r="J242">
        <v>95.141919999999999</v>
      </c>
      <c r="K242">
        <v>100.00866000000001</v>
      </c>
    </row>
    <row r="243" spans="1:11" x14ac:dyDescent="0.25">
      <c r="A243" s="1">
        <v>44958</v>
      </c>
      <c r="B243">
        <v>175.03388000000001</v>
      </c>
      <c r="C243">
        <v>123.77155999999999</v>
      </c>
      <c r="D243">
        <v>91.459370000000007</v>
      </c>
      <c r="E243">
        <v>101.01781</v>
      </c>
      <c r="F243">
        <v>95.757310000000004</v>
      </c>
      <c r="G243">
        <v>101.22633999999999</v>
      </c>
      <c r="H243">
        <v>93.956569999999999</v>
      </c>
      <c r="I243">
        <v>101.11854</v>
      </c>
      <c r="J243">
        <v>90.383359999999996</v>
      </c>
      <c r="K243">
        <v>101.15703000000001</v>
      </c>
    </row>
    <row r="244" spans="1:11" x14ac:dyDescent="0.25">
      <c r="A244" s="1">
        <v>44986</v>
      </c>
      <c r="B244">
        <v>239.74071000000001</v>
      </c>
      <c r="C244">
        <v>125.13375000000001</v>
      </c>
      <c r="D244">
        <v>102.38232000000001</v>
      </c>
      <c r="E244">
        <v>100.02037</v>
      </c>
      <c r="F244">
        <v>102.83522000000001</v>
      </c>
      <c r="G244">
        <v>101.46433</v>
      </c>
      <c r="H244">
        <v>102.87164</v>
      </c>
      <c r="I244">
        <v>100.94947999999999</v>
      </c>
      <c r="J244">
        <v>103.86833</v>
      </c>
      <c r="K244">
        <v>100.65071</v>
      </c>
    </row>
    <row r="245" spans="1:11" x14ac:dyDescent="0.25">
      <c r="A245" s="1">
        <v>45017</v>
      </c>
      <c r="B245">
        <v>215.96742</v>
      </c>
      <c r="C245">
        <v>125.63628</v>
      </c>
      <c r="D245">
        <v>94.308710000000005</v>
      </c>
      <c r="E245">
        <v>100.60516</v>
      </c>
      <c r="F245">
        <v>98.580659999999995</v>
      </c>
      <c r="G245">
        <v>101.93665</v>
      </c>
      <c r="H245">
        <v>97.079099999999997</v>
      </c>
      <c r="I245">
        <v>101.74737</v>
      </c>
      <c r="J245">
        <v>95.277889999999999</v>
      </c>
      <c r="K245">
        <v>102.05589999999999</v>
      </c>
    </row>
    <row r="246" spans="1:11" x14ac:dyDescent="0.25">
      <c r="A246" s="1">
        <v>45047</v>
      </c>
      <c r="B246">
        <v>99.843199999999996</v>
      </c>
      <c r="C246">
        <v>113.79371999999999</v>
      </c>
      <c r="D246">
        <v>104.03937999999999</v>
      </c>
      <c r="E246">
        <v>101.79352</v>
      </c>
      <c r="F246">
        <v>102.4177</v>
      </c>
      <c r="G246">
        <v>102.12479999999999</v>
      </c>
      <c r="H246">
        <v>102.94682</v>
      </c>
      <c r="I246">
        <v>102.00439</v>
      </c>
      <c r="J246">
        <v>103.38231</v>
      </c>
      <c r="K246">
        <v>101.58181999999999</v>
      </c>
    </row>
    <row r="247" spans="1:11" x14ac:dyDescent="0.25">
      <c r="A247" s="1">
        <v>45078</v>
      </c>
      <c r="B247">
        <v>101.4508</v>
      </c>
      <c r="C247">
        <v>109.42349</v>
      </c>
      <c r="D247">
        <v>101.86483</v>
      </c>
      <c r="E247">
        <v>101.58693</v>
      </c>
      <c r="F247">
        <v>102.64173</v>
      </c>
      <c r="G247">
        <v>102.45274000000001</v>
      </c>
      <c r="H247">
        <v>102.27487000000001</v>
      </c>
      <c r="I247">
        <v>102.04183999999999</v>
      </c>
      <c r="J247">
        <v>101.37792</v>
      </c>
      <c r="K247">
        <v>101.72987000000001</v>
      </c>
    </row>
    <row r="248" spans="1:11" x14ac:dyDescent="0.25">
      <c r="A248" s="1">
        <v>45108</v>
      </c>
      <c r="B248">
        <v>129.34611000000001</v>
      </c>
      <c r="C248">
        <v>110.00033000000001</v>
      </c>
      <c r="D248">
        <v>104.98398</v>
      </c>
      <c r="E248">
        <v>101.17216999999999</v>
      </c>
      <c r="F248">
        <v>103.52422</v>
      </c>
      <c r="G248">
        <v>102.55023</v>
      </c>
      <c r="H248">
        <v>103.90543</v>
      </c>
      <c r="I248">
        <v>102.24724999999999</v>
      </c>
      <c r="J248">
        <v>103.72019</v>
      </c>
      <c r="K248">
        <v>101.78685</v>
      </c>
    </row>
    <row r="249" spans="1:11" x14ac:dyDescent="0.25">
      <c r="A249" s="1">
        <v>45139</v>
      </c>
      <c r="B249">
        <v>94.757339999999999</v>
      </c>
      <c r="C249">
        <v>108.91041</v>
      </c>
      <c r="D249">
        <v>108.47189</v>
      </c>
      <c r="E249">
        <v>99.849350000000001</v>
      </c>
      <c r="F249">
        <v>105.74321999999999</v>
      </c>
      <c r="G249">
        <v>102.9524</v>
      </c>
      <c r="H249">
        <v>106.75346</v>
      </c>
      <c r="I249">
        <v>102.20784</v>
      </c>
      <c r="J249">
        <v>108.21444</v>
      </c>
      <c r="K249">
        <v>102.08969999999999</v>
      </c>
    </row>
    <row r="250" spans="1:11" x14ac:dyDescent="0.25">
      <c r="A250" s="1">
        <v>45170</v>
      </c>
      <c r="B250">
        <v>69.396950000000004</v>
      </c>
      <c r="C250">
        <v>105.77835</v>
      </c>
      <c r="D250">
        <v>104.87925</v>
      </c>
      <c r="E250">
        <v>101.12056</v>
      </c>
      <c r="F250">
        <v>103.32532</v>
      </c>
      <c r="G250">
        <v>102.51797000000001</v>
      </c>
      <c r="H250">
        <v>103.73549</v>
      </c>
      <c r="I250">
        <v>102.26379</v>
      </c>
      <c r="J250">
        <v>103.56479</v>
      </c>
      <c r="K250">
        <v>102.20846</v>
      </c>
    </row>
    <row r="251" spans="1:11" x14ac:dyDescent="0.25">
      <c r="A251" s="1">
        <v>45200</v>
      </c>
      <c r="B251">
        <v>57.97101</v>
      </c>
      <c r="C251">
        <v>108.09844</v>
      </c>
      <c r="D251">
        <v>106.37228</v>
      </c>
      <c r="E251">
        <v>101.76751</v>
      </c>
      <c r="F251">
        <v>103.95659000000001</v>
      </c>
      <c r="G251">
        <v>102.56643</v>
      </c>
      <c r="H251">
        <v>104.65416999999999</v>
      </c>
      <c r="I251">
        <v>102.38460000000001</v>
      </c>
      <c r="J251">
        <v>104.75279</v>
      </c>
      <c r="K251">
        <v>102.19466</v>
      </c>
    </row>
    <row r="252" spans="1:11" x14ac:dyDescent="0.25">
      <c r="A252" s="1">
        <v>45231</v>
      </c>
      <c r="B252">
        <v>60.961359999999999</v>
      </c>
      <c r="C252">
        <v>110.49772</v>
      </c>
      <c r="D252">
        <v>103.15937</v>
      </c>
      <c r="E252">
        <v>101.9868</v>
      </c>
      <c r="F252">
        <v>104.29771</v>
      </c>
      <c r="G252">
        <v>103.61548000000001</v>
      </c>
      <c r="H252">
        <v>104.15689</v>
      </c>
      <c r="I252">
        <v>103.33029999999999</v>
      </c>
      <c r="J252">
        <v>105.25125</v>
      </c>
      <c r="K252">
        <v>103.61319</v>
      </c>
    </row>
    <row r="253" spans="1:11" x14ac:dyDescent="0.25">
      <c r="A253" s="1">
        <v>45261</v>
      </c>
      <c r="B253">
        <v>67.491</v>
      </c>
      <c r="C253">
        <v>109.01927000000001</v>
      </c>
      <c r="D253">
        <v>95.732129999999998</v>
      </c>
      <c r="E253">
        <v>104.50935</v>
      </c>
      <c r="F253">
        <v>106.32816</v>
      </c>
      <c r="G253">
        <v>104.654</v>
      </c>
      <c r="H253">
        <v>103.7993</v>
      </c>
      <c r="I253">
        <v>104.34304</v>
      </c>
      <c r="J253">
        <v>106.59043</v>
      </c>
      <c r="K253">
        <v>105.49562</v>
      </c>
    </row>
    <row r="254" spans="1:11" x14ac:dyDescent="0.25">
      <c r="A254" s="1">
        <v>45292</v>
      </c>
      <c r="B254">
        <v>79.008970000000005</v>
      </c>
      <c r="C254">
        <v>113.4019</v>
      </c>
      <c r="D254">
        <v>96.190169999999995</v>
      </c>
      <c r="E254">
        <v>102.21977</v>
      </c>
      <c r="F254">
        <v>102.02997000000001</v>
      </c>
      <c r="G254">
        <v>104.71977</v>
      </c>
      <c r="H254">
        <v>100.38449</v>
      </c>
      <c r="I254">
        <v>104.00311000000001</v>
      </c>
      <c r="J254">
        <v>100.19204000000001</v>
      </c>
      <c r="K254">
        <v>105.03104</v>
      </c>
    </row>
    <row r="255" spans="1:11" x14ac:dyDescent="0.25">
      <c r="A255" s="1">
        <v>45323</v>
      </c>
      <c r="B255">
        <v>156.67492999999999</v>
      </c>
      <c r="C255">
        <v>109.2313</v>
      </c>
      <c r="D255">
        <v>95.713509999999999</v>
      </c>
      <c r="E255">
        <v>102.15736</v>
      </c>
      <c r="F255">
        <v>100.7103</v>
      </c>
      <c r="G255">
        <v>105.18338</v>
      </c>
      <c r="H255">
        <v>99.01934</v>
      </c>
      <c r="I255">
        <v>104.4447</v>
      </c>
      <c r="J255">
        <v>97.046090000000007</v>
      </c>
      <c r="K255">
        <v>105.02538</v>
      </c>
    </row>
    <row r="256" spans="1:11" x14ac:dyDescent="0.25">
      <c r="A256" s="1">
        <v>45352</v>
      </c>
      <c r="B256">
        <v>212.01357999999999</v>
      </c>
      <c r="C256">
        <v>108.82308999999999</v>
      </c>
      <c r="D256">
        <v>100.27184</v>
      </c>
      <c r="E256">
        <v>102.20729</v>
      </c>
      <c r="F256">
        <v>105.03588000000001</v>
      </c>
      <c r="G256">
        <v>105.69656999999999</v>
      </c>
      <c r="H256">
        <v>103.83702</v>
      </c>
      <c r="I256">
        <v>104.83797</v>
      </c>
      <c r="J256">
        <v>104.61556</v>
      </c>
      <c r="K256">
        <v>106.0669</v>
      </c>
    </row>
    <row r="257" spans="1:11" x14ac:dyDescent="0.25">
      <c r="A257" s="1">
        <v>45383</v>
      </c>
      <c r="B257">
        <v>193.82355000000001</v>
      </c>
      <c r="C257">
        <v>110.98788999999999</v>
      </c>
      <c r="D257">
        <v>101.58556</v>
      </c>
      <c r="E257">
        <v>102.19691</v>
      </c>
      <c r="F257">
        <v>105.33446000000001</v>
      </c>
      <c r="G257">
        <v>105.65366</v>
      </c>
      <c r="H257">
        <v>104.38884</v>
      </c>
      <c r="I257">
        <v>104.8776</v>
      </c>
      <c r="J257">
        <v>105.00185</v>
      </c>
      <c r="K257">
        <v>104.96518</v>
      </c>
    </row>
    <row r="258" spans="1:11" x14ac:dyDescent="0.25">
      <c r="A258" s="1">
        <v>45413</v>
      </c>
      <c r="B258">
        <v>100.97689</v>
      </c>
      <c r="C258">
        <v>115.03295</v>
      </c>
      <c r="D258">
        <v>103.83257</v>
      </c>
      <c r="E258">
        <v>103.02261</v>
      </c>
      <c r="F258">
        <v>104.92793</v>
      </c>
      <c r="G258">
        <v>105.57499</v>
      </c>
      <c r="H258">
        <v>104.85128</v>
      </c>
      <c r="I258">
        <v>105.11517000000001</v>
      </c>
      <c r="J258">
        <v>106.36011000000001</v>
      </c>
      <c r="K258">
        <v>106.61922</v>
      </c>
    </row>
    <row r="259" spans="1:11" x14ac:dyDescent="0.25">
      <c r="A259" s="1">
        <v>45444</v>
      </c>
      <c r="B259">
        <v>106.2076</v>
      </c>
      <c r="C259">
        <v>115.28117</v>
      </c>
      <c r="D259">
        <v>103.83243</v>
      </c>
      <c r="E259">
        <v>104.04588</v>
      </c>
      <c r="F259">
        <v>106.12935</v>
      </c>
      <c r="G259">
        <v>106.36497</v>
      </c>
      <c r="H259">
        <v>105.66593</v>
      </c>
      <c r="I259">
        <v>105.97178</v>
      </c>
      <c r="J259">
        <v>106.81294</v>
      </c>
      <c r="K259">
        <v>107.94559</v>
      </c>
    </row>
    <row r="260" spans="1:11" x14ac:dyDescent="0.25">
      <c r="A260" s="1">
        <v>45474</v>
      </c>
      <c r="B260">
        <v>136.02113</v>
      </c>
      <c r="C260">
        <v>116.87484000000001</v>
      </c>
      <c r="D260">
        <v>110.81113000000001</v>
      </c>
      <c r="E260">
        <v>104.34381999999999</v>
      </c>
      <c r="F260">
        <v>109.24683</v>
      </c>
      <c r="G260">
        <v>106.70442</v>
      </c>
      <c r="H260">
        <v>110.12269999999999</v>
      </c>
      <c r="I260">
        <v>106.3552</v>
      </c>
      <c r="J260">
        <v>113.05612000000001</v>
      </c>
      <c r="K260">
        <v>107.96793</v>
      </c>
    </row>
    <row r="261" spans="1:11" x14ac:dyDescent="0.25">
      <c r="A261" s="1">
        <v>45505</v>
      </c>
      <c r="B261">
        <v>98.737530000000007</v>
      </c>
      <c r="C261">
        <v>115.06865000000001</v>
      </c>
      <c r="D261">
        <v>112.65680999999999</v>
      </c>
      <c r="E261">
        <v>104.28403</v>
      </c>
      <c r="F261">
        <v>109.2923</v>
      </c>
      <c r="G261">
        <v>106.94023</v>
      </c>
      <c r="H261">
        <v>110.65879</v>
      </c>
      <c r="I261">
        <v>106.55392999999999</v>
      </c>
      <c r="J261">
        <v>113.56509</v>
      </c>
      <c r="K261">
        <v>108.12612</v>
      </c>
    </row>
    <row r="262" spans="1:11" x14ac:dyDescent="0.25">
      <c r="A262" s="1">
        <v>45536</v>
      </c>
      <c r="B262">
        <v>76.070049999999995</v>
      </c>
      <c r="C262">
        <v>118.0547</v>
      </c>
      <c r="D262">
        <v>108.54895</v>
      </c>
      <c r="E262">
        <v>104.94937</v>
      </c>
      <c r="F262">
        <v>108.62497</v>
      </c>
      <c r="G262">
        <v>107.72899</v>
      </c>
      <c r="H262">
        <v>108.7817</v>
      </c>
      <c r="I262">
        <v>107.35172</v>
      </c>
      <c r="J262">
        <v>109.99232000000001</v>
      </c>
      <c r="K262">
        <v>109.4341</v>
      </c>
    </row>
    <row r="263" spans="1:11" x14ac:dyDescent="0.25">
      <c r="A263" s="1">
        <v>45566</v>
      </c>
      <c r="B263">
        <v>63.914639999999999</v>
      </c>
      <c r="C263">
        <v>121.14653</v>
      </c>
      <c r="D263">
        <v>112.48075</v>
      </c>
      <c r="E263">
        <v>104.69705</v>
      </c>
      <c r="F263">
        <v>110.56086000000001</v>
      </c>
      <c r="G263">
        <v>107.75143</v>
      </c>
      <c r="H263">
        <v>111.70222</v>
      </c>
      <c r="I263">
        <v>107.38658</v>
      </c>
      <c r="J263">
        <v>115.7136</v>
      </c>
      <c r="K263">
        <v>109.86991999999999</v>
      </c>
    </row>
    <row r="264" spans="1:11" x14ac:dyDescent="0.25">
      <c r="A264" s="1">
        <v>45597</v>
      </c>
      <c r="B264">
        <v>66.136679999999998</v>
      </c>
      <c r="C264">
        <v>121.58629999999999</v>
      </c>
      <c r="D264">
        <v>105.44450999999999</v>
      </c>
      <c r="E264">
        <v>104.86972</v>
      </c>
      <c r="F264">
        <v>107.88171</v>
      </c>
      <c r="G264">
        <v>107.46276</v>
      </c>
      <c r="H264">
        <v>107.59799</v>
      </c>
      <c r="I264">
        <v>107.11467</v>
      </c>
      <c r="J264">
        <v>110.14749</v>
      </c>
      <c r="K264">
        <v>109.02184</v>
      </c>
    </row>
    <row r="265" spans="1:11" x14ac:dyDescent="0.25">
      <c r="A265" s="1">
        <v>45627</v>
      </c>
      <c r="B265">
        <v>73.415840000000003</v>
      </c>
      <c r="C265">
        <v>120.32126</v>
      </c>
      <c r="D265">
        <v>95.891080000000002</v>
      </c>
      <c r="E265">
        <v>104.6404</v>
      </c>
      <c r="F265">
        <v>108.82293</v>
      </c>
      <c r="G265">
        <v>106.77104</v>
      </c>
      <c r="H265">
        <v>105.82966999999999</v>
      </c>
      <c r="I265">
        <v>106.14485999999999</v>
      </c>
      <c r="J265">
        <v>109.5051</v>
      </c>
      <c r="K265">
        <v>108.16231999999999</v>
      </c>
    </row>
    <row r="266" spans="1:11" x14ac:dyDescent="0.25">
      <c r="A266" s="1">
        <v>45658</v>
      </c>
      <c r="B266">
        <v>88.393180000000001</v>
      </c>
      <c r="C266">
        <v>126.30068</v>
      </c>
      <c r="D266">
        <v>99.624549999999999</v>
      </c>
      <c r="E266">
        <v>105.59566</v>
      </c>
      <c r="F266">
        <v>104.80489</v>
      </c>
      <c r="G266">
        <v>107.66803</v>
      </c>
      <c r="H266">
        <v>103.63579</v>
      </c>
      <c r="I266">
        <v>107.47292</v>
      </c>
      <c r="J266">
        <v>105.19358</v>
      </c>
      <c r="K266">
        <v>110.34434</v>
      </c>
    </row>
    <row r="267" spans="1:11" x14ac:dyDescent="0.25">
      <c r="A267" s="1">
        <v>45689</v>
      </c>
      <c r="B267">
        <v>189.68709000000001</v>
      </c>
      <c r="C267">
        <v>130.89003</v>
      </c>
      <c r="D267">
        <v>97.504320000000007</v>
      </c>
      <c r="E267">
        <v>104.46841000000001</v>
      </c>
      <c r="F267">
        <v>104.04577999999999</v>
      </c>
      <c r="G267">
        <v>108.02189</v>
      </c>
      <c r="H267">
        <v>102.15645000000001</v>
      </c>
      <c r="I267">
        <v>107.29733</v>
      </c>
      <c r="J267">
        <v>101.64644</v>
      </c>
      <c r="K267">
        <v>109.05244</v>
      </c>
    </row>
    <row r="268" spans="1:11" x14ac:dyDescent="0.25">
      <c r="A268" s="1">
        <v>45717</v>
      </c>
      <c r="B268">
        <v>261.74734999999998</v>
      </c>
      <c r="C268">
        <v>133.1146</v>
      </c>
      <c r="D268">
        <v>103.84399999999999</v>
      </c>
      <c r="E268">
        <v>107.45431000000001</v>
      </c>
      <c r="F268">
        <v>106.52222999999999</v>
      </c>
      <c r="G268">
        <v>108.15284</v>
      </c>
      <c r="H268">
        <v>105.72769</v>
      </c>
      <c r="I268">
        <v>108.01235</v>
      </c>
      <c r="J268">
        <v>105.61208999999999</v>
      </c>
      <c r="K268">
        <v>109.24683</v>
      </c>
    </row>
    <row r="269" spans="1:11" x14ac:dyDescent="0.25">
      <c r="A269" s="1">
        <v>45748</v>
      </c>
      <c r="B269">
        <v>232.93843000000001</v>
      </c>
      <c r="C269">
        <v>132.22273000000001</v>
      </c>
      <c r="D269">
        <v>102.36526000000001</v>
      </c>
      <c r="E269">
        <v>106.14006999999999</v>
      </c>
      <c r="F269">
        <v>106.97282</v>
      </c>
      <c r="G269">
        <v>108.83328</v>
      </c>
      <c r="H269">
        <v>105.71031000000001</v>
      </c>
      <c r="I269">
        <v>108.43598</v>
      </c>
      <c r="J269">
        <v>105.85772</v>
      </c>
      <c r="K269">
        <v>109.4139</v>
      </c>
    </row>
    <row r="270" spans="1:11" x14ac:dyDescent="0.25">
      <c r="A270" s="1">
        <v>45778</v>
      </c>
      <c r="B270">
        <v>112.24656</v>
      </c>
      <c r="C270">
        <v>127.63802</v>
      </c>
      <c r="D270">
        <v>107.61685</v>
      </c>
      <c r="E270">
        <v>105.68047</v>
      </c>
      <c r="F270">
        <v>108.39179</v>
      </c>
      <c r="G270">
        <v>108.72673</v>
      </c>
      <c r="H270">
        <v>108.36172000000001</v>
      </c>
      <c r="I270">
        <v>107.97228</v>
      </c>
      <c r="J270">
        <v>109.74083</v>
      </c>
      <c r="K270">
        <v>108.70263</v>
      </c>
    </row>
    <row r="271" spans="1:11" x14ac:dyDescent="0.25">
      <c r="A271" s="1">
        <v>45809</v>
      </c>
      <c r="B271">
        <v>115.81632</v>
      </c>
      <c r="C271">
        <v>126.16149</v>
      </c>
      <c r="D271">
        <v>104.27812</v>
      </c>
      <c r="E271">
        <v>105.48345999999999</v>
      </c>
      <c r="F271">
        <v>108.08629999999999</v>
      </c>
      <c r="G271">
        <v>108.69701000000001</v>
      </c>
      <c r="H271">
        <v>106.87994</v>
      </c>
      <c r="I271">
        <v>107.86639</v>
      </c>
      <c r="J271">
        <v>106.12827</v>
      </c>
      <c r="K271">
        <v>108.59287999999999</v>
      </c>
    </row>
    <row r="272" spans="1:11" x14ac:dyDescent="0.25">
      <c r="A272" s="1">
        <v>45839</v>
      </c>
      <c r="B272">
        <v>144.67552000000001</v>
      </c>
      <c r="C272">
        <v>125.14691000000001</v>
      </c>
      <c r="D272">
        <v>111.18418</v>
      </c>
      <c r="E272">
        <v>104.44593</v>
      </c>
      <c r="F272">
        <v>111.19956000000001</v>
      </c>
      <c r="G272">
        <v>108.53924000000001</v>
      </c>
      <c r="H272">
        <v>111.41343999999999</v>
      </c>
      <c r="I272">
        <v>107.47512999999999</v>
      </c>
      <c r="J272">
        <v>113.04343</v>
      </c>
      <c r="K272">
        <v>107.90676000000001</v>
      </c>
    </row>
    <row r="273" spans="1:11" x14ac:dyDescent="0.25">
      <c r="A273" s="1">
        <v>45870</v>
      </c>
      <c r="B273">
        <v>103.78994</v>
      </c>
      <c r="C273">
        <v>122.40312</v>
      </c>
      <c r="D273">
        <v>111.67074</v>
      </c>
      <c r="E273">
        <v>105.24447000000001</v>
      </c>
      <c r="F273">
        <v>110.39881</v>
      </c>
      <c r="G273">
        <v>108.86790000000001</v>
      </c>
      <c r="H273">
        <v>110.81749000000001</v>
      </c>
      <c r="I273">
        <v>107.95495</v>
      </c>
      <c r="J273">
        <v>111.65054000000001</v>
      </c>
      <c r="K273">
        <v>108.40425999999999</v>
      </c>
    </row>
    <row r="274" spans="1:11" x14ac:dyDescent="0.25">
      <c r="A274" s="1">
        <v>45901</v>
      </c>
      <c r="B274">
        <v>79.818569999999994</v>
      </c>
      <c r="C274">
        <v>125.32822</v>
      </c>
      <c r="D274">
        <v>110.86700999999999</v>
      </c>
      <c r="E274">
        <v>104.64394</v>
      </c>
      <c r="F274">
        <v>111.21763</v>
      </c>
      <c r="G274">
        <v>108.88938</v>
      </c>
      <c r="H274">
        <v>111.16618</v>
      </c>
      <c r="I274">
        <v>107.70963</v>
      </c>
      <c r="J274">
        <v>111.78037</v>
      </c>
      <c r="K274">
        <v>107.71832000000001</v>
      </c>
    </row>
    <row r="275" spans="1:11" x14ac:dyDescent="0.25">
      <c r="A275" s="1">
        <v>45931</v>
      </c>
      <c r="B275">
        <v>66.384820000000005</v>
      </c>
      <c r="C275">
        <v>126.83964</v>
      </c>
      <c r="D275">
        <v>113.12338</v>
      </c>
      <c r="E275">
        <v>104.21576</v>
      </c>
      <c r="F275">
        <v>112.00530000000001</v>
      </c>
      <c r="G275">
        <v>108.97711</v>
      </c>
      <c r="H275">
        <v>112.59739</v>
      </c>
      <c r="I275">
        <v>107.73626</v>
      </c>
      <c r="J275">
        <v>114.67212000000001</v>
      </c>
      <c r="K275">
        <v>107.75368</v>
      </c>
    </row>
    <row r="276" spans="1:11" x14ac:dyDescent="0.25">
      <c r="A276" s="1">
        <v>45962</v>
      </c>
      <c r="B276">
        <v>68.393439999999998</v>
      </c>
      <c r="C276">
        <v>126.77325999999999</v>
      </c>
      <c r="D276">
        <v>104.94118</v>
      </c>
      <c r="E276">
        <v>104.56256999999999</v>
      </c>
      <c r="F276">
        <v>109.88804</v>
      </c>
      <c r="G276">
        <v>109.54653999999999</v>
      </c>
      <c r="H276">
        <v>108.71977</v>
      </c>
      <c r="I276">
        <v>108.26814</v>
      </c>
      <c r="J276">
        <v>109.94113</v>
      </c>
      <c r="K276">
        <v>108.73371</v>
      </c>
    </row>
    <row r="277" spans="1:11" x14ac:dyDescent="0.25">
      <c r="A277" s="1">
        <v>45992</v>
      </c>
      <c r="B277">
        <v>78.441760000000002</v>
      </c>
      <c r="C277">
        <v>129.60968</v>
      </c>
      <c r="D277">
        <v>97.567250000000001</v>
      </c>
      <c r="E277">
        <v>104.84019000000001</v>
      </c>
      <c r="F277">
        <v>112.39267</v>
      </c>
      <c r="G277">
        <v>109.59125</v>
      </c>
      <c r="H277">
        <v>108.94394</v>
      </c>
      <c r="I277">
        <v>108.13461</v>
      </c>
      <c r="J277">
        <v>112.17977</v>
      </c>
      <c r="K277">
        <v>108.68679</v>
      </c>
    </row>
    <row r="278" spans="1:11" x14ac:dyDescent="0.25">
      <c r="A278" s="1">
        <v>46023</v>
      </c>
      <c r="B278">
        <v>89.728570000000005</v>
      </c>
      <c r="C278">
        <v>127.89597000000001</v>
      </c>
      <c r="D278">
        <v>98.443849999999998</v>
      </c>
      <c r="E278">
        <v>105.25615999999999</v>
      </c>
      <c r="F278">
        <v>107.11915999999999</v>
      </c>
      <c r="G278">
        <v>110.54626</v>
      </c>
      <c r="H278">
        <v>104.64027</v>
      </c>
      <c r="I278" s="38">
        <v>109.17383</v>
      </c>
      <c r="J278">
        <v>103.77676</v>
      </c>
      <c r="K278">
        <v>109.53046000000001</v>
      </c>
    </row>
    <row r="279" spans="1:11" x14ac:dyDescent="0.25">
      <c r="A279" s="1">
        <v>46054</v>
      </c>
      <c r="B279">
        <v>187.20144999999999</v>
      </c>
      <c r="C279">
        <v>128.18803</v>
      </c>
      <c r="D279">
        <v>96.238389999999995</v>
      </c>
      <c r="E279">
        <v>106.49408</v>
      </c>
      <c r="F279">
        <v>105.07711</v>
      </c>
      <c r="G279">
        <v>110.86975</v>
      </c>
      <c r="H279">
        <v>102.15430000000001</v>
      </c>
      <c r="I279">
        <v>109.83711</v>
      </c>
      <c r="J279">
        <v>98.969120000000004</v>
      </c>
      <c r="K279">
        <v>110.35681</v>
      </c>
    </row>
    <row r="281" spans="1:11" x14ac:dyDescent="0.25">
      <c r="I281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EA6A-4ECA-41DB-913A-5B04C7DA7D8C}">
  <dimension ref="A1:Z18"/>
  <sheetViews>
    <sheetView showGridLines="0" tabSelected="1" workbookViewId="0">
      <selection activeCell="C3" sqref="C3:O11"/>
    </sheetView>
  </sheetViews>
  <sheetFormatPr defaultRowHeight="14.25" x14ac:dyDescent="0.25"/>
  <cols>
    <col min="1" max="1" width="11.5703125" style="5" bestFit="1" customWidth="1"/>
    <col min="2" max="2" width="14.42578125" style="5" bestFit="1" customWidth="1"/>
    <col min="3" max="3" width="21.140625" style="6" bestFit="1" customWidth="1"/>
    <col min="4" max="6" width="9.5703125" style="6" customWidth="1"/>
    <col min="7" max="8" width="0.85546875" style="6" customWidth="1"/>
    <col min="9" max="11" width="9.5703125" style="6" customWidth="1"/>
    <col min="12" max="13" width="0.85546875" style="6" customWidth="1"/>
    <col min="14" max="14" width="10.5703125" style="6" bestFit="1" customWidth="1"/>
    <col min="15" max="15" width="9.5703125" style="6" customWidth="1"/>
    <col min="16" max="16" width="1.7109375" style="5" customWidth="1"/>
    <col min="17" max="17" width="9.140625" style="5"/>
    <col min="18" max="18" width="11.5703125" style="5" bestFit="1" customWidth="1"/>
    <col min="19" max="16384" width="9.140625" style="5"/>
  </cols>
  <sheetData>
    <row r="1" spans="1:26" x14ac:dyDescent="0.25">
      <c r="D1" s="37">
        <f>DATE(YEAR(D4), MONTH(D4), 1)</f>
        <v>46054</v>
      </c>
      <c r="N1" s="37"/>
      <c r="O1" s="37"/>
      <c r="Q1" s="36">
        <f>DATE(YEAR(Q2), MONTH(Q2), 1)</f>
        <v>45992</v>
      </c>
    </row>
    <row r="2" spans="1:26" x14ac:dyDescent="0.25">
      <c r="N2" s="37"/>
      <c r="O2" s="37"/>
      <c r="Q2" s="36">
        <f>DATE(2000+_xlfn.TEXTAFTER(Q3,"T")*1,CHOOSE(_xlfn.TEXTBEFORE(Q3,"T")*1,3,6,9,12),CHOOSE(_xlfn.TEXTBEFORE(Q3,"T")*1,31,30,30,31))</f>
        <v>46022</v>
      </c>
      <c r="R2" s="35"/>
    </row>
    <row r="3" spans="1:26" x14ac:dyDescent="0.2">
      <c r="C3" s="30"/>
      <c r="D3" s="32" t="s">
        <v>24</v>
      </c>
      <c r="E3" s="32"/>
      <c r="F3" s="32"/>
      <c r="G3" s="34"/>
      <c r="H3" s="33"/>
      <c r="I3" s="32" t="s">
        <v>23</v>
      </c>
      <c r="J3" s="32"/>
      <c r="K3" s="32"/>
      <c r="L3" s="34"/>
      <c r="M3" s="33"/>
      <c r="N3" s="32" t="s">
        <v>22</v>
      </c>
      <c r="O3" s="32"/>
      <c r="Q3" s="31" t="str">
        <f>IF(D4&lt;=DATE(YEAR(D4),3,31), "4T" &amp; TEXT(YEAR(D4)-1-2000,"00"),
IF(D4&lt;=DATE(YEAR(D4),6,30), "1T" &amp; TEXT(YEAR(D4)-2000,"00"),
IF(D4&lt;=DATE(YEAR(D4),9,30), "2T" &amp; TEXT(YEAR(D4)-2000,"00"),
IF(D4&lt;=DATE(YEAR(D4),12,31), "3T" &amp; TEXT(YEAR(D4)-2000,"00"),
"4T" &amp; TEXT(YEAR(D4)-2000,"00")))))</f>
        <v>4T25</v>
      </c>
    </row>
    <row r="4" spans="1:26" ht="15" x14ac:dyDescent="0.25">
      <c r="C4" s="30"/>
      <c r="D4" s="7" cm="1">
        <f t="array" ref="D4">INDEX(abertura!$A:$A,MATCH(LOOKUP(2,1/(abertura!$C:$C&lt;&gt;""),abertura!$C:$C),abertura!$C:$C,0))</f>
        <v>46054</v>
      </c>
      <c r="E4" s="7">
        <f>EDATE(D4,-1)</f>
        <v>46023</v>
      </c>
      <c r="F4" s="7">
        <f>EDATE(E4,-1)</f>
        <v>45992</v>
      </c>
      <c r="G4" s="7"/>
      <c r="H4" s="29"/>
      <c r="I4" s="7">
        <f>D4</f>
        <v>46054</v>
      </c>
      <c r="J4" s="7">
        <f>E4</f>
        <v>46023</v>
      </c>
      <c r="K4" s="7">
        <f>F4</f>
        <v>45992</v>
      </c>
      <c r="L4" s="7"/>
      <c r="M4" s="29"/>
      <c r="N4" s="28" t="s">
        <v>21</v>
      </c>
      <c r="O4" s="28" t="s">
        <v>20</v>
      </c>
      <c r="R4" s="22"/>
      <c r="S4"/>
      <c r="T4"/>
      <c r="U4"/>
      <c r="V4"/>
      <c r="W4"/>
      <c r="X4"/>
      <c r="Y4"/>
      <c r="Z4"/>
    </row>
    <row r="5" spans="1:26" s="9" customFormat="1" ht="15" x14ac:dyDescent="0.25">
      <c r="A5" s="9" t="s">
        <v>0</v>
      </c>
      <c r="B5" s="9" t="s">
        <v>1</v>
      </c>
      <c r="C5" s="27" t="s">
        <v>19</v>
      </c>
      <c r="D5" s="26">
        <f>IFERROR((AVERAGEIFS(INDEX(Plan1!$A:$C,,MATCH($B5,Plan1!$A$1:$C$1,0)),
Plan1!$A:$A,EOMONTH(D$4,0))/AVERAGEIFS(INDEX(Plan1!$A:$C,,MATCH($B5,Plan1!$A$1:$C$1,0)),
Plan1!$A:$A,EOMONTH(D$4,-1))-1)*100,"")</f>
        <v>0.60046073304509395</v>
      </c>
      <c r="E5" s="26">
        <f>IFERROR((AVERAGEIFS(INDEX(Plan1!$A:$C,,MATCH($B5,Plan1!$A$1:$C$1,0)),
Plan1!$A:$A,EOMONTH(E$4,0))/AVERAGEIFS(INDEX(Plan1!$A:$C,,MATCH($B5,Plan1!$A$1:$C$1,0)),
Plan1!$A:$A,EOMONTH(E$4,-1))-1)*100,"")</f>
        <v>0.85561308461359342</v>
      </c>
      <c r="F5" s="26">
        <f>IFERROR((AVERAGEIFS(INDEX(Plan1!$A:$C,,MATCH($B5,Plan1!$A$1:$C$1,0)),
Plan1!$A:$A,EOMONTH(F$4,0))/AVERAGEIFS(INDEX(Plan1!$A:$C,,MATCH($B5,Plan1!$A$1:$C$1,0)),
Plan1!$A:$A,EOMONTH(F$4,-1))-1)*100,"")</f>
        <v>1.0321892991260739E-2</v>
      </c>
      <c r="G5" s="25"/>
      <c r="H5" s="24"/>
      <c r="I5" s="26">
        <f>IFERROR((AVERAGE(AVERAGEIFS(INDEX(Plan1!$A:$AA,,MATCH($B5,Plan1!$A$1:$AA$1,0)),
Plan1!$A:$A,EOMONTH(D$4,0)),AVERAGEIFS(INDEX(Plan1!$A:$AA,,MATCH($B5,Plan1!$A$1:$AA$1,0)),
Plan1!$A:$A,EOMONTH(D$4,-1)),AVERAGEIFS(INDEX(Plan1!$A:$AA,,MATCH($B5,Plan1!$A$1:$AA$1,0)),
Plan1!$A:$A,EOMONTH(D$4,-2)))/(AVERAGE(AVERAGEIFS(INDEX(Plan1!$A:$AA,,MATCH($B5,Plan1!$A$1:$AA$1,0)),
Plan1!$A:$A,EOMONTH(D$4,-1)),AVERAGEIFS(INDEX(Plan1!$A:$AA,,MATCH($B5,Plan1!$A$1:$AA$1,0)),
Plan1!$A:$A,EOMONTH(D$4,-2)),AVERAGEIFS(INDEX(Plan1!$A:$AA,,MATCH($B5,Plan1!$A$1:$AA$1,0)),
Plan1!$A:$A,EOMONTH(D$4,-3))))-1)*100,"")</f>
        <v>0.48913255544258405</v>
      </c>
      <c r="J5" s="26">
        <f>IFERROR((AVERAGE(AVERAGEIFS(INDEX(Plan1!$A:$AA,,MATCH($B5,Plan1!$A$1:$AA$1,0)),
Plan1!$A:$A,EOMONTH(E$4,0)),AVERAGEIFS(INDEX(Plan1!$A:$AA,,MATCH($B5,Plan1!$A$1:$AA$1,0)),
Plan1!$A:$A,EOMONTH(E$4,-1)),AVERAGEIFS(INDEX(Plan1!$A:$AA,,MATCH($B5,Plan1!$A$1:$AA$1,0)),
Plan1!$A:$A,EOMONTH(E$4,-2)))/(AVERAGE(AVERAGEIFS(INDEX(Plan1!$A:$AA,,MATCH($B5,Plan1!$A$1:$AA$1,0)),
Plan1!$A:$A,EOMONTH(E$4,-1)),AVERAGEIFS(INDEX(Plan1!$A:$AA,,MATCH($B5,Plan1!$A$1:$AA$1,0)),
Plan1!$A:$A,EOMONTH(E$4,-2)),AVERAGEIFS(INDEX(Plan1!$A:$AA,,MATCH($B5,Plan1!$A$1:$AA$1,0)),
Plan1!$A:$A,EOMONTH(E$4,-3))))-1)*100,"")</f>
        <v>0.45004237295902527</v>
      </c>
      <c r="K5" s="26">
        <f>IFERROR((AVERAGE(AVERAGEIFS(INDEX(Plan1!$A:$AA,,MATCH($B5,Plan1!$A$1:$AA$1,0)),
Plan1!$A:$A,EOMONTH(F$4,0)),AVERAGEIFS(INDEX(Plan1!$A:$AA,,MATCH($B5,Plan1!$A$1:$AA$1,0)),
Plan1!$A:$A,EOMONTH(F$4,-1)),AVERAGEIFS(INDEX(Plan1!$A:$AA,,MATCH($B5,Plan1!$A$1:$AA$1,0)),
Plan1!$A:$A,EOMONTH(F$4,-2)))/(AVERAGE(AVERAGEIFS(INDEX(Plan1!$A:$AA,,MATCH($B5,Plan1!$A$1:$AA$1,0)),
Plan1!$A:$A,EOMONTH(F$4,-1)),AVERAGEIFS(INDEX(Plan1!$A:$AA,,MATCH($B5,Plan1!$A$1:$AA$1,0)),
Plan1!$A:$A,EOMONTH(F$4,-2)),AVERAGEIFS(INDEX(Plan1!$A:$AA,,MATCH($B5,Plan1!$A$1:$AA$1,0)),
Plan1!$A:$A,EOMONTH(F$4,-3))))-1)*100,"")</f>
        <v>0.18437604817376219</v>
      </c>
      <c r="L5" s="25"/>
      <c r="M5" s="24"/>
      <c r="N5" s="24">
        <f>IFERROR((SUM(AVERAGEIFS(INDEX(Plan1!$A:$AA,,MATCH($B5,Plan1!$A$1:$AA$1,0)),
Plan1!$A:$A,EOMONTH(D$4,0)),AVERAGEIFS(INDEX(Plan1!$A:$AA,,MATCH($B5,Plan1!$A$1:$AA$1,0)),
Plan1!$A:$A,EOMONTH(D$4,-1)),AVERAGEIFS(INDEX(Plan1!$A:$AA,,MATCH($B5,Plan1!$A$1:$AA$1,0)),
Plan1!$A:$A,EOMONTH(D$4,-2)))/(SUM(AVERAGEIFS(INDEX(Plan1!$A:$AA,,MATCH($B5,Plan1!$A$1:$AA$1,0)),
Plan1!$A:$A,EOMONTH(D$4,-3)),AVERAGEIFS(INDEX(Plan1!$A:$AA,,MATCH($B5,Plan1!$A$1:$AA$1,0)),
Plan1!$A:$A,EOMONTH(D$4,-4)),AVERAGEIFS(INDEX(Plan1!$A:$AA,,MATCH($B5,Plan1!$A$1:$AA$1,0)),
Plan1!$A:$A,EOMONTH(D$4,-5))))-1)*100,"")</f>
        <v>1.1274879526300907</v>
      </c>
      <c r="O5" s="23">
        <f>IFERROR((SUM(AVERAGEIFS(INDEX(Plan1!$A:$Z,,MATCH($A5,Plan1!$A$1:$Z$1,0)),
Plan1!$A:$A,EOMONTH(D$4,0)),AVERAGEIFS(INDEX(Plan1!$A:$Z,,MATCH($A5,Plan1!$A$1:$Z$1,0)),
Plan1!$A:$A,EOMONTH(D$4,-1)),AVERAGEIFS(INDEX(Plan1!$A:$Z,,MATCH($A5,Plan1!$A$1:$Z$1,0)),
Plan1!$A:$A,EOMONTH(D$4,-2)),AVERAGEIFS(INDEX(Plan1!$A:$Z,,MATCH($A5,Plan1!$A$1:$Z$1,0)),
Plan1!$A:$A,EOMONTH(D$4,-3)),AVERAGEIFS(INDEX(Plan1!$A:$Z,,MATCH($A5,Plan1!$A$1:$Z$1,0)),
Plan1!$A:$A,EOMONTH(D$4,-4)),AVERAGEIFS(INDEX(Plan1!$A:$Z,,MATCH($A5,Plan1!$A$1:$Z$1,0)),
Plan1!$A:$A,EOMONTH(D$4,-5)),AVERAGEIFS(INDEX(Plan1!$A:$Z,,MATCH($A5,Plan1!$A$1:$Z$1,0)),
Plan1!$A:$A,EOMONTH(D$4,-6)),AVERAGEIFS(INDEX(Plan1!$A:$Z,,MATCH($A5,Plan1!$A$1:$Z$1,0)),
Plan1!$A:$A,EOMONTH(D$4,-7)),AVERAGEIFS(INDEX(Plan1!$A:$Z,,MATCH($A5,Plan1!$A$1:$Z$1,0)),
Plan1!$A:$A,EOMONTH(D$4,-8)),AVERAGEIFS(INDEX(Plan1!$A:$Z,,MATCH($A5,Plan1!$A$1:$Z$1,0)),
Plan1!$A:$A,EOMONTH(D$4,-9)),AVERAGEIFS(INDEX(Plan1!$A:$Z,,MATCH($A5,Plan1!$A$1:$Z$1,0)),
Plan1!$A:$A,EOMONTH(D$4,-10)),AVERAGEIFS(INDEX(Plan1!$A:$Z,,MATCH($A5,Plan1!$A$1:$Z$1,0)),
Plan1!$A:$A,EOMONTH(D$4,-11)))
/(SUM(AVERAGEIFS(INDEX(Plan1!$A:$Z,,MATCH($A5,Plan1!$A$1:$Z$1,0)),
Plan1!$A:$A,EOMONTH(D$4,-12)),AVERAGEIFS(INDEX(Plan1!$A:$Z,,MATCH($A5,Plan1!$A$1:$Z$1,0)),
Plan1!$A:$A,EOMONTH(D$4,-13)),AVERAGEIFS(INDEX(Plan1!$A:$Z,,MATCH($A5,Plan1!$A$1:$Z$1,0)),
Plan1!$A:$A,EOMONTH(D$4,-14)),AVERAGEIFS(INDEX(Plan1!$A:$Z,,MATCH($A5,Plan1!$A$1:$Z$1,0)),
Plan1!$A:$A,EOMONTH(D$4,-15)),AVERAGEIFS(INDEX(Plan1!$A:$Z,,MATCH($A5,Plan1!$A$1:$Z$1,0)),
Plan1!$A:$A,EOMONTH(D$4,-16)),AVERAGEIFS(INDEX(Plan1!$A:$Z,,MATCH($A5,Plan1!$A$1:$Z$1,0)),
Plan1!$A:$A,EOMONTH(D$4,-17)),AVERAGEIFS(INDEX(Plan1!$A:$Z,,MATCH($A5,Plan1!$A$1:$Z$1,0)),
Plan1!$A:$A,EOMONTH(D$4,-18)),AVERAGEIFS(INDEX(Plan1!$A:$Z,,MATCH($A5,Plan1!$A$1:$Z$1,0)),
Plan1!$A:$A,EOMONTH(D$4,-19)),AVERAGEIFS(INDEX(Plan1!$A:$Z,,MATCH($A5,Plan1!$A$1:$Z$1,0)),
Plan1!$A:$A,EOMONTH(D$4,-20)),AVERAGEIFS(INDEX(Plan1!$A:$Z,,MATCH($A5,Plan1!$A$1:$Z$1,0)),
Plan1!$A:$A,EOMONTH(D$4,-21)),AVERAGEIFS(INDEX(Plan1!$A:$Z,,MATCH($A5,Plan1!$A$1:$Z$1,0)),
Plan1!$A:$A,EOMONTH(D$4,-22)),AVERAGEIFS(INDEX(Plan1!$A:$Z,,MATCH($A5,Plan1!$A$1:$Z$1,0)),
Plan1!$A:$A,EOMONTH(D$4,-23))))-1)*100,"")</f>
        <v>1.8801369631463505</v>
      </c>
      <c r="R5" s="22"/>
      <c r="S5"/>
      <c r="T5"/>
      <c r="U5"/>
      <c r="V5"/>
      <c r="W5"/>
      <c r="X5"/>
      <c r="Y5"/>
      <c r="Z5"/>
    </row>
    <row r="6" spans="1:26" s="16" customFormat="1" x14ac:dyDescent="0.25">
      <c r="A6" s="9" t="s">
        <v>3</v>
      </c>
      <c r="B6" s="9" t="s">
        <v>4</v>
      </c>
      <c r="C6" s="21" t="s">
        <v>18</v>
      </c>
      <c r="D6" s="20">
        <f>IFERROR((AVERAGEIFS(INDEX(abertura!$A:$Z,,MATCH($B6,abertura!$A$1:$Z$1,0)),
abertura!$A:$A,D$4)/AVERAGEIFS(INDEX(abertura!$A:$Z,,MATCH($B6,abertura!$A$1:$Z$1,0)),
abertura!$A:$A,EDATE(D$4,-1))-1)*100,"")</f>
        <v>0.22835746896481268</v>
      </c>
      <c r="E6" s="20">
        <f>IFERROR((AVERAGEIFS(INDEX(abertura!$A:$Z,,MATCH($B6,abertura!$A$1:$Z$1,0)),
abertura!$A:$A,E$4)/AVERAGEIFS(INDEX(abertura!$A:$Z,,MATCH($B6,abertura!$A$1:$Z$1,0)),
abertura!$A:$A,EDATE(E$4,-1))-1)*100,"")</f>
        <v>-1.3222083412288255</v>
      </c>
      <c r="F6" s="20">
        <f>IFERROR((AVERAGEIFS(INDEX(abertura!$A:$Z,,MATCH($B6,abertura!$A$1:$Z$1,0)),
abertura!$A:$A,F$4)/AVERAGEIFS(INDEX(abertura!$A:$Z,,MATCH($B6,abertura!$A$1:$Z$1,0)),
abertura!$A:$A,EDATE(F$4,-1))-1)*100,"")</f>
        <v>2.2373961196548997</v>
      </c>
      <c r="G6" s="19"/>
      <c r="H6" s="18"/>
      <c r="I6" s="20">
        <f>IFERROR((AVERAGE(AVERAGEIFS(INDEX(abertura!$A:$Z,,MATCH($B6,abertura!$A$1:$Z$1,0)),
abertura!$A:$A,D$4),AVERAGEIFS(INDEX(abertura!$A:$Z,,MATCH($B6,abertura!$A$1:$Z$1,0)),
abertura!$A:$A,EDATE(D$4,-1)),AVERAGEIFS(INDEX(abertura!$A:$Z,,MATCH($B6,abertura!$A$1:$Z$1,0)),
abertura!$A:$A,EDATE(D$4,-2)))/(AVERAGE(AVERAGEIFS(INDEX(abertura!$A:$Z,,MATCH($B6,abertura!$A$1:$Z$1,0)),
abertura!$A:$A,EDATE(D$4,-1)),AVERAGEIFS(INDEX(abertura!$A:$Z,,MATCH($B6,abertura!$A$1:$Z$1,0)),
abertura!$A:$A,EDATE(D$4,-2)),AVERAGEIFS(INDEX(abertura!$A:$Z,,MATCH($B6,abertura!$A$1:$Z$1,0)),
abertura!$A:$A,EDATE(D$4,-3))))-1)*100,"")</f>
        <v>0.36816228088083491</v>
      </c>
      <c r="J6" s="20">
        <f>IFERROR((AVERAGE(AVERAGEIFS(INDEX(abertura!$A:$Z,,MATCH($B6,abertura!$A$1:$Z$1,0)),
abertura!$A:$A,E$4),AVERAGEIFS(INDEX(abertura!$A:$Z,,MATCH($B6,abertura!$A$1:$Z$1,0)),
abertura!$A:$A,EDATE(E$4,-1)),AVERAGEIFS(INDEX(abertura!$A:$Z,,MATCH($B6,abertura!$A$1:$Z$1,0)),
abertura!$A:$A,EDATE(E$4,-2)))/(AVERAGE(AVERAGEIFS(INDEX(abertura!$A:$Z,,MATCH($B6,abertura!$A$1:$Z$1,0)),
abertura!$A:$A,EDATE(E$4,-1)),AVERAGEIFS(INDEX(abertura!$A:$Z,,MATCH($B6,abertura!$A$1:$Z$1,0)),
abertura!$A:$A,EDATE(E$4,-2)),AVERAGEIFS(INDEX(abertura!$A:$Z,,MATCH($B6,abertura!$A$1:$Z$1,0)),
abertura!$A:$A,EDATE(E$4,-3))))-1)*100,"")</f>
        <v>0.27564398736630302</v>
      </c>
      <c r="K6" s="20">
        <f>IFERROR((AVERAGE(AVERAGEIFS(INDEX(abertura!$A:$Z,,MATCH($B6,abertura!$A$1:$Z$1,0)),
abertura!$A:$A,F$4),AVERAGEIFS(INDEX(abertura!$A:$Z,,MATCH($B6,abertura!$A$1:$Z$1,0)),
abertura!$A:$A,EDATE(F$4,-1)),AVERAGEIFS(INDEX(abertura!$A:$Z,,MATCH($B6,abertura!$A$1:$Z$1,0)),
abertura!$A:$A,EDATE(F$4,-2)))/(AVERAGE(AVERAGEIFS(INDEX(abertura!$A:$Z,,MATCH($B6,abertura!$A$1:$Z$1,0)),
abertura!$A:$A,EDATE(F$4,-1)),AVERAGEIFS(INDEX(abertura!$A:$Z,,MATCH($B6,abertura!$A$1:$Z$1,0)),
abertura!$A:$A,EDATE(F$4,-2)),AVERAGEIFS(INDEX(abertura!$A:$Z,,MATCH($B6,abertura!$A$1:$Z$1,0)),
abertura!$A:$A,EDATE(F$4,-3))))-1)*100,"")</f>
        <v>1.1298483521661629</v>
      </c>
      <c r="L6" s="19"/>
      <c r="M6" s="18"/>
      <c r="N6" s="18">
        <f>IFERROR((SUM(AVERAGEIFS(INDEX(abertura!$A:$Z,,MATCH($B6,abertura!$A$1:$Z$1,0)),
abertura!$A:$A,D$4),AVERAGEIFS(INDEX(abertura!$A:$Z,,MATCH($B6,abertura!$A$1:$Z$1,0)),
abertura!$A:$A,EDATE(D$4,-1)),AVERAGEIFS(INDEX(abertura!$A:$Z,,MATCH($B6,abertura!$A$1:$Z$1,0)),
abertura!$A:$A,EDATE(D$4,-2)))/(SUM(AVERAGEIFS(INDEX(abertura!$A:$Z,,MATCH($B6,abertura!$A$1:$Z$1,0)),
abertura!$A:$A,EDATE(D$4,-3)),AVERAGEIFS(INDEX(abertura!$A:$Z,,MATCH($B6,abertura!$A$1:$Z$1,0)),
abertura!$A:$A,EDATE(D$4,-4)),AVERAGEIFS(INDEX(abertura!$A:$Z,,MATCH($B6,abertura!$A$1:$Z$1,0)),
abertura!$A:$A,EDATE(D$4,-5))))-1)*100,"")</f>
        <v>1.7819549380125199</v>
      </c>
      <c r="O6" s="17">
        <f>IFERROR((SUM(AVERAGEIFS(INDEX(abertura!$A:$Z,,MATCH($A6,abertura!$A$1:$Z$1,0)),
abertura!$A:$A,D$4),AVERAGEIFS(INDEX(abertura!$A:$Z,,MATCH($A6,abertura!$A$1:$Z$1,0)),
abertura!$A:$A,EDATE(D$4,-1)),AVERAGEIFS(INDEX(abertura!$A:$Z,,MATCH($A6,abertura!$A$1:$Z$1,0)),
abertura!$A:$A,EDATE(D$4,-2)),AVERAGEIFS(INDEX(abertura!$A:$Z,,MATCH($A6,abertura!$A$1:$Z$1,0)),
abertura!$A:$A,EDATE(D$4,-3)),AVERAGEIFS(INDEX(abertura!$A:$Z,,MATCH($A6,abertura!$A$1:$Z$1,0)),
abertura!$A:$A,EDATE(D$4,-4)),AVERAGEIFS(INDEX(abertura!$A:$Z,,MATCH($A6,abertura!$A$1:$Z$1,0)),
abertura!$A:$A,EDATE(D$4,-5)),AVERAGEIFS(INDEX(abertura!$A:$Z,,MATCH($A6,abertura!$A$1:$Z$1,0)),
abertura!$A:$A,EDATE(D$4,-6)),AVERAGEIFS(INDEX(abertura!$A:$Z,,MATCH($A6,abertura!$A$1:$Z$1,0)),
abertura!$A:$A,EDATE(D$4,-7)),AVERAGEIFS(INDEX(abertura!$A:$Z,,MATCH($A6,abertura!$A$1:$Z$1,0)),
abertura!$A:$A,EDATE(D$4,-8)),AVERAGEIFS(INDEX(abertura!$A:$Z,,MATCH($A6,abertura!$A$1:$Z$1,0)),
abertura!$A:$A,EDATE(D$4,-9)),AVERAGEIFS(INDEX(abertura!$A:$Z,,MATCH($A6,abertura!$A$1:$Z$1,0)),
abertura!$A:$A,EDATE(D$4,-10)),AVERAGEIFS(INDEX(abertura!$A:$Z,,MATCH($A6,abertura!$A$1:$Z$1,0)),
abertura!$A:$A,EDATE(D$4,-11)))
/(SUM(AVERAGEIFS(INDEX(abertura!$A:$Z,,MATCH($A6,abertura!$A$1:$Z$1,0)),
abertura!$A:$A,EDATE(D$4,-12)),AVERAGEIFS(INDEX(abertura!$A:$Z,,MATCH($A6,abertura!$A$1:$Z$1,0)),
abertura!$A:$A,EDATE(D$4,-13)),AVERAGEIFS(INDEX(abertura!$A:$Z,,MATCH($A6,abertura!$A$1:$Z$1,0)),
abertura!$A:$A,EDATE(D$4,-14)),AVERAGEIFS(INDEX(abertura!$A:$Z,,MATCH($A6,abertura!$A$1:$Z$1,0)),
abertura!$A:$A,EDATE(D$4,-15)),AVERAGEIFS(INDEX(abertura!$A:$Z,,MATCH($A6,abertura!$A$1:$Z$1,0)),
abertura!$A:$A,EDATE(D$4,-16)),AVERAGEIFS(INDEX(abertura!$A:$Z,,MATCH($A6,abertura!$A$1:$Z$1,0)),
abertura!$A:$A,EDATE(D$4,-17)),AVERAGEIFS(INDEX(abertura!$A:$Z,,MATCH($A6,abertura!$A$1:$Z$1,0)),
abertura!$A:$A,EDATE(D$4,-18)),AVERAGEIFS(INDEX(abertura!$A:$Z,,MATCH($A6,abertura!$A$1:$Z$1,0)),
abertura!$A:$A,EDATE(D$4,-19)),AVERAGEIFS(INDEX(abertura!$A:$Z,,MATCH($A6,abertura!$A$1:$Z$1,0)),
abertura!$A:$A,EDATE(D$4,-20)),AVERAGEIFS(INDEX(abertura!$A:$Z,,MATCH($A6,abertura!$A$1:$Z$1,0)),
abertura!$A:$A,EDATE(D$4,-21)),AVERAGEIFS(INDEX(abertura!$A:$Z,,MATCH($A6,abertura!$A$1:$Z$1,0)),
abertura!$A:$A,EDATE(D$4,-22)),AVERAGEIFS(INDEX(abertura!$A:$Z,,MATCH($A6,abertura!$A$1:$Z$1,0)),
abertura!$A:$A,EDATE(D$4,-23))))-1)*100,"")</f>
        <v>9.6616754248989309</v>
      </c>
    </row>
    <row r="7" spans="1:26" s="16" customFormat="1" x14ac:dyDescent="0.25">
      <c r="A7" s="9" t="s">
        <v>5</v>
      </c>
      <c r="B7" s="9" t="s">
        <v>6</v>
      </c>
      <c r="C7" s="21" t="s">
        <v>17</v>
      </c>
      <c r="D7" s="20">
        <f>IFERROR((AVERAGEIFS(INDEX(abertura!$A:$Z,,MATCH($B7,abertura!$A$1:$Z$1,0)),
abertura!$A:$A,D$4)/AVERAGEIFS(INDEX(abertura!$A:$Z,,MATCH($B7,abertura!$A$1:$Z$1,0)),
abertura!$A:$A,EDATE(D$4,-1))-1)*100,"")</f>
        <v>1.1761021872734201</v>
      </c>
      <c r="E7" s="20">
        <f>IFERROR((AVERAGEIFS(INDEX(abertura!$A:$Z,,MATCH($B7,abertura!$A$1:$Z$1,0)),
abertura!$A:$A,E$4)/AVERAGEIFS(INDEX(abertura!$A:$Z,,MATCH($B7,abertura!$A$1:$Z$1,0)),
abertura!$A:$A,EDATE(E$4,-1))-1)*100,"")</f>
        <v>0.39676578228253767</v>
      </c>
      <c r="F7" s="20">
        <f>IFERROR((AVERAGEIFS(INDEX(abertura!$A:$Z,,MATCH($B7,abertura!$A$1:$Z$1,0)),
abertura!$A:$A,F$4)/AVERAGEIFS(INDEX(abertura!$A:$Z,,MATCH($B7,abertura!$A$1:$Z$1,0)),
abertura!$A:$A,EDATE(F$4,-1))-1)*100,"")</f>
        <v>0.2655060984059654</v>
      </c>
      <c r="G7" s="19"/>
      <c r="H7" s="18"/>
      <c r="I7" s="20">
        <f>IFERROR((AVERAGE(AVERAGEIFS(INDEX(abertura!$A:$Z,,MATCH($B7,abertura!$A$1:$Z$1,0)),
abertura!$A:$A,D$4),AVERAGEIFS(INDEX(abertura!$A:$Z,,MATCH($B7,abertura!$A$1:$Z$1,0)),
abertura!$A:$A,EDATE(D$4,-1)),AVERAGEIFS(INDEX(abertura!$A:$Z,,MATCH($B7,abertura!$A$1:$Z$1,0)),
abertura!$A:$A,EDATE(D$4,-2)))/(AVERAGE(AVERAGEIFS(INDEX(abertura!$A:$Z,,MATCH($B7,abertura!$A$1:$Z$1,0)),
abertura!$A:$A,EDATE(D$4,-1)),AVERAGEIFS(INDEX(abertura!$A:$Z,,MATCH($B7,abertura!$A$1:$Z$1,0)),
abertura!$A:$A,EDATE(D$4,-2)),AVERAGEIFS(INDEX(abertura!$A:$Z,,MATCH($B7,abertura!$A$1:$Z$1,0)),
abertura!$A:$A,EDATE(D$4,-3))))-1)*100,"")</f>
        <v>0.61384244247708608</v>
      </c>
      <c r="J7" s="20">
        <f>IFERROR((AVERAGE(AVERAGEIFS(INDEX(abertura!$A:$Z,,MATCH($B7,abertura!$A$1:$Z$1,0)),
abertura!$A:$A,E$4),AVERAGEIFS(INDEX(abertura!$A:$Z,,MATCH($B7,abertura!$A$1:$Z$1,0)),
abertura!$A:$A,EDATE(E$4,-1)),AVERAGEIFS(INDEX(abertura!$A:$Z,,MATCH($B7,abertura!$A$1:$Z$1,0)),
abertura!$A:$A,EDATE(E$4,-2)))/(AVERAGE(AVERAGEIFS(INDEX(abertura!$A:$Z,,MATCH($B7,abertura!$A$1:$Z$1,0)),
abertura!$A:$A,EDATE(E$4,-1)),AVERAGEIFS(INDEX(abertura!$A:$Z,,MATCH($B7,abertura!$A$1:$Z$1,0)),
abertura!$A:$A,EDATE(E$4,-2)),AVERAGEIFS(INDEX(abertura!$A:$Z,,MATCH($B7,abertura!$A$1:$Z$1,0)),
abertura!$A:$A,EDATE(E$4,-3))))-1)*100,"")</f>
        <v>0.33174061276737277</v>
      </c>
      <c r="K7" s="20">
        <f>IFERROR((AVERAGE(AVERAGEIFS(INDEX(abertura!$A:$Z,,MATCH($B7,abertura!$A$1:$Z$1,0)),
abertura!$A:$A,F$4),AVERAGEIFS(INDEX(abertura!$A:$Z,,MATCH($B7,abertura!$A$1:$Z$1,0)),
abertura!$A:$A,EDATE(F$4,-1)),AVERAGEIFS(INDEX(abertura!$A:$Z,,MATCH($B7,abertura!$A$1:$Z$1,0)),
abertura!$A:$A,EDATE(F$4,-2)))/(AVERAGE(AVERAGEIFS(INDEX(abertura!$A:$Z,,MATCH($B7,abertura!$A$1:$Z$1,0)),
abertura!$A:$A,EDATE(F$4,-1)),AVERAGEIFS(INDEX(abertura!$A:$Z,,MATCH($B7,abertura!$A$1:$Z$1,0)),
abertura!$A:$A,EDATE(F$4,-2)),AVERAGEIFS(INDEX(abertura!$A:$Z,,MATCH($B7,abertura!$A$1:$Z$1,0)),
abertura!$A:$A,EDATE(F$4,-3))))-1)*100,"")</f>
        <v>6.2615205996707779E-2</v>
      </c>
      <c r="L7" s="19"/>
      <c r="M7" s="18"/>
      <c r="N7" s="18">
        <f>IFERROR((SUM(AVERAGEIFS(INDEX(abertura!$A:$Z,,MATCH($B7,abertura!$A$1:$Z$1,0)),
abertura!$A:$A,D$4),AVERAGEIFS(INDEX(abertura!$A:$Z,,MATCH($B7,abertura!$A$1:$Z$1,0)),
abertura!$A:$A,EDATE(D$4,-1)),AVERAGEIFS(INDEX(abertura!$A:$Z,,MATCH($B7,abertura!$A$1:$Z$1,0)),
abertura!$A:$A,EDATE(D$4,-2)))/(SUM(AVERAGEIFS(INDEX(abertura!$A:$Z,,MATCH($B7,abertura!$A$1:$Z$1,0)),
abertura!$A:$A,EDATE(D$4,-3)),AVERAGEIFS(INDEX(abertura!$A:$Z,,MATCH($B7,abertura!$A$1:$Z$1,0)),
abertura!$A:$A,EDATE(D$4,-4)),AVERAGEIFS(INDEX(abertura!$A:$Z,,MATCH($B7,abertura!$A$1:$Z$1,0)),
abertura!$A:$A,EDATE(D$4,-5))))-1)*100,"")</f>
        <v>1.010827979773099</v>
      </c>
      <c r="O7" s="17">
        <f>IFERROR((SUM(AVERAGEIFS(INDEX(abertura!$A:$Z,,MATCH($A7,abertura!$A$1:$Z$1,0)),
abertura!$A:$A,D$4),AVERAGEIFS(INDEX(abertura!$A:$Z,,MATCH($A7,abertura!$A$1:$Z$1,0)),
abertura!$A:$A,EDATE(D$4,-1)),AVERAGEIFS(INDEX(abertura!$A:$Z,,MATCH($A7,abertura!$A$1:$Z$1,0)),
abertura!$A:$A,EDATE(D$4,-2)),AVERAGEIFS(INDEX(abertura!$A:$Z,,MATCH($A7,abertura!$A$1:$Z$1,0)),
abertura!$A:$A,EDATE(D$4,-3)),AVERAGEIFS(INDEX(abertura!$A:$Z,,MATCH($A7,abertura!$A$1:$Z$1,0)),
abertura!$A:$A,EDATE(D$4,-4)),AVERAGEIFS(INDEX(abertura!$A:$Z,,MATCH($A7,abertura!$A$1:$Z$1,0)),
abertura!$A:$A,EDATE(D$4,-5)),AVERAGEIFS(INDEX(abertura!$A:$Z,,MATCH($A7,abertura!$A$1:$Z$1,0)),
abertura!$A:$A,EDATE(D$4,-6)),AVERAGEIFS(INDEX(abertura!$A:$Z,,MATCH($A7,abertura!$A$1:$Z$1,0)),
abertura!$A:$A,EDATE(D$4,-7)),AVERAGEIFS(INDEX(abertura!$A:$Z,,MATCH($A7,abertura!$A$1:$Z$1,0)),
abertura!$A:$A,EDATE(D$4,-8)),AVERAGEIFS(INDEX(abertura!$A:$Z,,MATCH($A7,abertura!$A$1:$Z$1,0)),
abertura!$A:$A,EDATE(D$4,-9)),AVERAGEIFS(INDEX(abertura!$A:$Z,,MATCH($A7,abertura!$A$1:$Z$1,0)),
abertura!$A:$A,EDATE(D$4,-10)),AVERAGEIFS(INDEX(abertura!$A:$Z,,MATCH($A7,abertura!$A$1:$Z$1,0)),
abertura!$A:$A,EDATE(D$4,-11)))
/(SUM(AVERAGEIFS(INDEX(abertura!$A:$Z,,MATCH($A7,abertura!$A$1:$Z$1,0)),
abertura!$A:$A,EDATE(D$4,-12)),AVERAGEIFS(INDEX(abertura!$A:$Z,,MATCH($A7,abertura!$A$1:$Z$1,0)),
abertura!$A:$A,EDATE(D$4,-13)),AVERAGEIFS(INDEX(abertura!$A:$Z,,MATCH($A7,abertura!$A$1:$Z$1,0)),
abertura!$A:$A,EDATE(D$4,-14)),AVERAGEIFS(INDEX(abertura!$A:$Z,,MATCH($A7,abertura!$A$1:$Z$1,0)),
abertura!$A:$A,EDATE(D$4,-15)),AVERAGEIFS(INDEX(abertura!$A:$Z,,MATCH($A7,abertura!$A$1:$Z$1,0)),
abertura!$A:$A,EDATE(D$4,-16)),AVERAGEIFS(INDEX(abertura!$A:$Z,,MATCH($A7,abertura!$A$1:$Z$1,0)),
abertura!$A:$A,EDATE(D$4,-17)),AVERAGEIFS(INDEX(abertura!$A:$Z,,MATCH($A7,abertura!$A$1:$Z$1,0)),
abertura!$A:$A,EDATE(D$4,-18)),AVERAGEIFS(INDEX(abertura!$A:$Z,,MATCH($A7,abertura!$A$1:$Z$1,0)),
abertura!$A:$A,EDATE(D$4,-19)),AVERAGEIFS(INDEX(abertura!$A:$Z,,MATCH($A7,abertura!$A$1:$Z$1,0)),
abertura!$A:$A,EDATE(D$4,-20)),AVERAGEIFS(INDEX(abertura!$A:$Z,,MATCH($A7,abertura!$A$1:$Z$1,0)),
abertura!$A:$A,EDATE(D$4,-21)),AVERAGEIFS(INDEX(abertura!$A:$Z,,MATCH($A7,abertura!$A$1:$Z$1,0)),
abertura!$A:$A,EDATE(D$4,-22)),AVERAGEIFS(INDEX(abertura!$A:$Z,,MATCH($A7,abertura!$A$1:$Z$1,0)),
abertura!$A:$A,EDATE(D$4,-23))))-1)*100,"")</f>
        <v>0.77092451044304955</v>
      </c>
    </row>
    <row r="8" spans="1:26" s="16" customFormat="1" x14ac:dyDescent="0.25">
      <c r="A8" s="9" t="s">
        <v>7</v>
      </c>
      <c r="B8" s="9" t="s">
        <v>8</v>
      </c>
      <c r="C8" s="21" t="s">
        <v>16</v>
      </c>
      <c r="D8" s="20">
        <f>IFERROR((AVERAGEIFS(INDEX(abertura!$A:$Z,,MATCH($B8,abertura!$A$1:$Z$1,0)),
abertura!$A:$A,D$4)/AVERAGEIFS(INDEX(abertura!$A:$Z,,MATCH($B8,abertura!$A$1:$Z$1,0)),
abertura!$A:$A,EDATE(D$4,-1))-1)*100,"")</f>
        <v>0.29262862443286686</v>
      </c>
      <c r="E8" s="20">
        <f>IFERROR((AVERAGEIFS(INDEX(abertura!$A:$Z,,MATCH($B8,abertura!$A$1:$Z$1,0)),
abertura!$A:$A,E$4)/AVERAGEIFS(INDEX(abertura!$A:$Z,,MATCH($B8,abertura!$A$1:$Z$1,0)),
abertura!$A:$A,EDATE(E$4,-1))-1)*100,"")</f>
        <v>0.87142906025801103</v>
      </c>
      <c r="F8" s="20">
        <f>IFERROR((AVERAGEIFS(INDEX(abertura!$A:$Z,,MATCH($B8,abertura!$A$1:$Z$1,0)),
abertura!$A:$A,F$4)/AVERAGEIFS(INDEX(abertura!$A:$Z,,MATCH($B8,abertura!$A$1:$Z$1,0)),
abertura!$A:$A,EDATE(F$4,-1))-1)*100,"")</f>
        <v>4.0813703472530882E-2</v>
      </c>
      <c r="G8" s="19"/>
      <c r="H8" s="18"/>
      <c r="I8" s="20">
        <f>IFERROR((AVERAGE(AVERAGEIFS(INDEX(abertura!$A:$Z,,MATCH($B8,abertura!$A$1:$Z$1,0)),
abertura!$A:$A,D$4),AVERAGEIFS(INDEX(abertura!$A:$Z,,MATCH($B8,abertura!$A$1:$Z$1,0)),
abertura!$A:$A,EDATE(D$4,-1)),AVERAGEIFS(INDEX(abertura!$A:$Z,,MATCH($B8,abertura!$A$1:$Z$1,0)),
abertura!$A:$A,EDATE(D$4,-2)))/(AVERAGE(AVERAGEIFS(INDEX(abertura!$A:$Z,,MATCH($B8,abertura!$A$1:$Z$1,0)),
abertura!$A:$A,EDATE(D$4,-1)),AVERAGEIFS(INDEX(abertura!$A:$Z,,MATCH($B8,abertura!$A$1:$Z$1,0)),
abertura!$A:$A,EDATE(D$4,-2)),AVERAGEIFS(INDEX(abertura!$A:$Z,,MATCH($B8,abertura!$A$1:$Z$1,0)),
abertura!$A:$A,EDATE(D$4,-3))))-1)*100,"")</f>
        <v>0.40135699619074927</v>
      </c>
      <c r="J8" s="20">
        <f>IFERROR((AVERAGE(AVERAGEIFS(INDEX(abertura!$A:$Z,,MATCH($B8,abertura!$A$1:$Z$1,0)),
abertura!$A:$A,E$4),AVERAGEIFS(INDEX(abertura!$A:$Z,,MATCH($B8,abertura!$A$1:$Z$1,0)),
abertura!$A:$A,EDATE(E$4,-1)),AVERAGEIFS(INDEX(abertura!$A:$Z,,MATCH($B8,abertura!$A$1:$Z$1,0)),
abertura!$A:$A,EDATE(E$4,-2)))/(AVERAGE(AVERAGEIFS(INDEX(abertura!$A:$Z,,MATCH($B8,abertura!$A$1:$Z$1,0)),
abertura!$A:$A,EDATE(E$4,-1)),AVERAGEIFS(INDEX(abertura!$A:$Z,,MATCH($B8,abertura!$A$1:$Z$1,0)),
abertura!$A:$A,EDATE(E$4,-2)),AVERAGEIFS(INDEX(abertura!$A:$Z,,MATCH($B8,abertura!$A$1:$Z$1,0)),
abertura!$A:$A,EDATE(E$4,-3))))-1)*100,"")</f>
        <v>0.47823186328936895</v>
      </c>
      <c r="K8" s="20">
        <f>IFERROR((AVERAGE(AVERAGEIFS(INDEX(abertura!$A:$Z,,MATCH($B8,abertura!$A$1:$Z$1,0)),
abertura!$A:$A,F$4),AVERAGEIFS(INDEX(abertura!$A:$Z,,MATCH($B8,abertura!$A$1:$Z$1,0)),
abertura!$A:$A,EDATE(F$4,-1)),AVERAGEIFS(INDEX(abertura!$A:$Z,,MATCH($B8,abertura!$A$1:$Z$1,0)),
abertura!$A:$A,EDATE(F$4,-2)))/(AVERAGE(AVERAGEIFS(INDEX(abertura!$A:$Z,,MATCH($B8,abertura!$A$1:$Z$1,0)),
abertura!$A:$A,EDATE(F$4,-1)),AVERAGEIFS(INDEX(abertura!$A:$Z,,MATCH($B8,abertura!$A$1:$Z$1,0)),
abertura!$A:$A,EDATE(F$4,-2)),AVERAGEIFS(INDEX(abertura!$A:$Z,,MATCH($B8,abertura!$A$1:$Z$1,0)),
abertura!$A:$A,EDATE(F$4,-3))))-1)*100,"")</f>
        <v>0.21436837745889559</v>
      </c>
      <c r="L8" s="19"/>
      <c r="M8" s="18"/>
      <c r="N8" s="18">
        <f>IFERROR((SUM(AVERAGEIFS(INDEX(abertura!$A:$Z,,MATCH($B8,abertura!$A$1:$Z$1,0)),
abertura!$A:$A,D$4),AVERAGEIFS(INDEX(abertura!$A:$Z,,MATCH($B8,abertura!$A$1:$Z$1,0)),
abertura!$A:$A,EDATE(D$4,-1)),AVERAGEIFS(INDEX(abertura!$A:$Z,,MATCH($B8,abertura!$A$1:$Z$1,0)),
abertura!$A:$A,EDATE(D$4,-2)))/(SUM(AVERAGEIFS(INDEX(abertura!$A:$Z,,MATCH($B8,abertura!$A$1:$Z$1,0)),
abertura!$A:$A,EDATE(D$4,-3)),AVERAGEIFS(INDEX(abertura!$A:$Z,,MATCH($B8,abertura!$A$1:$Z$1,0)),
abertura!$A:$A,EDATE(D$4,-4)),AVERAGEIFS(INDEX(abertura!$A:$Z,,MATCH($B8,abertura!$A$1:$Z$1,0)),
abertura!$A:$A,EDATE(D$4,-5))))-1)*100,"")</f>
        <v>1.0977663289698514</v>
      </c>
      <c r="O8" s="17">
        <f>IFERROR((SUM(AVERAGEIFS(INDEX(abertura!$A:$Z,,MATCH($A8,abertura!$A$1:$Z$1,0)),
abertura!$A:$A,D$4),AVERAGEIFS(INDEX(abertura!$A:$Z,,MATCH($A8,abertura!$A$1:$Z$1,0)),
abertura!$A:$A,EDATE(D$4,-1)),AVERAGEIFS(INDEX(abertura!$A:$Z,,MATCH($A8,abertura!$A$1:$Z$1,0)),
abertura!$A:$A,EDATE(D$4,-2)),AVERAGEIFS(INDEX(abertura!$A:$Z,,MATCH($A8,abertura!$A$1:$Z$1,0)),
abertura!$A:$A,EDATE(D$4,-3)),AVERAGEIFS(INDEX(abertura!$A:$Z,,MATCH($A8,abertura!$A$1:$Z$1,0)),
abertura!$A:$A,EDATE(D$4,-4)),AVERAGEIFS(INDEX(abertura!$A:$Z,,MATCH($A8,abertura!$A$1:$Z$1,0)),
abertura!$A:$A,EDATE(D$4,-5)),AVERAGEIFS(INDEX(abertura!$A:$Z,,MATCH($A8,abertura!$A$1:$Z$1,0)),
abertura!$A:$A,EDATE(D$4,-6)),AVERAGEIFS(INDEX(abertura!$A:$Z,,MATCH($A8,abertura!$A$1:$Z$1,0)),
abertura!$A:$A,EDATE(D$4,-7)),AVERAGEIFS(INDEX(abertura!$A:$Z,,MATCH($A8,abertura!$A$1:$Z$1,0)),
abertura!$A:$A,EDATE(D$4,-8)),AVERAGEIFS(INDEX(abertura!$A:$Z,,MATCH($A8,abertura!$A$1:$Z$1,0)),
abertura!$A:$A,EDATE(D$4,-9)),AVERAGEIFS(INDEX(abertura!$A:$Z,,MATCH($A8,abertura!$A$1:$Z$1,0)),
abertura!$A:$A,EDATE(D$4,-10)),AVERAGEIFS(INDEX(abertura!$A:$Z,,MATCH($A8,abertura!$A$1:$Z$1,0)),
abertura!$A:$A,EDATE(D$4,-11)))
/(SUM(AVERAGEIFS(INDEX(abertura!$A:$Z,,MATCH($A8,abertura!$A$1:$Z$1,0)),
abertura!$A:$A,EDATE(D$4,-12)),AVERAGEIFS(INDEX(abertura!$A:$Z,,MATCH($A8,abertura!$A$1:$Z$1,0)),
abertura!$A:$A,EDATE(D$4,-13)),AVERAGEIFS(INDEX(abertura!$A:$Z,,MATCH($A8,abertura!$A$1:$Z$1,0)),
abertura!$A:$A,EDATE(D$4,-14)),AVERAGEIFS(INDEX(abertura!$A:$Z,,MATCH($A8,abertura!$A$1:$Z$1,0)),
abertura!$A:$A,EDATE(D$4,-15)),AVERAGEIFS(INDEX(abertura!$A:$Z,,MATCH($A8,abertura!$A$1:$Z$1,0)),
abertura!$A:$A,EDATE(D$4,-16)),AVERAGEIFS(INDEX(abertura!$A:$Z,,MATCH($A8,abertura!$A$1:$Z$1,0)),
abertura!$A:$A,EDATE(D$4,-17)),AVERAGEIFS(INDEX(abertura!$A:$Z,,MATCH($A8,abertura!$A$1:$Z$1,0)),
abertura!$A:$A,EDATE(D$4,-18)),AVERAGEIFS(INDEX(abertura!$A:$Z,,MATCH($A8,abertura!$A$1:$Z$1,0)),
abertura!$A:$A,EDATE(D$4,-19)),AVERAGEIFS(INDEX(abertura!$A:$Z,,MATCH($A8,abertura!$A$1:$Z$1,0)),
abertura!$A:$A,EDATE(D$4,-20)),AVERAGEIFS(INDEX(abertura!$A:$Z,,MATCH($A8,abertura!$A$1:$Z$1,0)),
abertura!$A:$A,EDATE(D$4,-21)),AVERAGEIFS(INDEX(abertura!$A:$Z,,MATCH($A8,abertura!$A$1:$Z$1,0)),
abertura!$A:$A,EDATE(D$4,-22)),AVERAGEIFS(INDEX(abertura!$A:$Z,,MATCH($A8,abertura!$A$1:$Z$1,0)),
abertura!$A:$A,EDATE(D$4,-23))))-1)*100,"")</f>
        <v>1.9119933948564594</v>
      </c>
    </row>
    <row r="9" spans="1:26" s="16" customFormat="1" x14ac:dyDescent="0.25">
      <c r="A9" s="9" t="s">
        <v>11</v>
      </c>
      <c r="B9" s="9" t="s">
        <v>12</v>
      </c>
      <c r="C9" s="21" t="s">
        <v>15</v>
      </c>
      <c r="D9" s="20">
        <f>IFERROR((AVERAGEIFS(INDEX(abertura!$A:$Z,,MATCH($B9,abertura!$A$1:$Z$1,0)),
abertura!$A:$A,D$4)/AVERAGEIFS(INDEX(abertura!$A:$Z,,MATCH($B9,abertura!$A$1:$Z$1,0)),
abertura!$A:$A,EDATE(D$4,-1))-1)*100,"")</f>
        <v>0.7544476668864375</v>
      </c>
      <c r="E9" s="20">
        <f>IFERROR((AVERAGEIFS(INDEX(abertura!$A:$Z,,MATCH($B9,abertura!$A$1:$Z$1,0)),
abertura!$A:$A,E$4)/AVERAGEIFS(INDEX(abertura!$A:$Z,,MATCH($B9,abertura!$A$1:$Z$1,0)),
abertura!$A:$A,EDATE(E$4,-1))-1)*100,"")</f>
        <v>0.77623968837428059</v>
      </c>
      <c r="F9" s="20">
        <f>IFERROR((AVERAGEIFS(INDEX(abertura!$A:$Z,,MATCH($B9,abertura!$A$1:$Z$1,0)),
abertura!$A:$A,F$4)/AVERAGEIFS(INDEX(abertura!$A:$Z,,MATCH($B9,abertura!$A$1:$Z$1,0)),
abertura!$A:$A,EDATE(F$4,-1))-1)*100,"")</f>
        <v>-4.3151291352061527E-2</v>
      </c>
      <c r="G9" s="19"/>
      <c r="H9" s="18"/>
      <c r="I9" s="20">
        <f>IFERROR((AVERAGE(AVERAGEIFS(INDEX(abertura!$A:$Z,,MATCH($B9,abertura!$A$1:$Z$1,0)),
abertura!$A:$A,D$4),AVERAGEIFS(INDEX(abertura!$A:$Z,,MATCH($B9,abertura!$A$1:$Z$1,0)),
abertura!$A:$A,EDATE(D$4,-1)),AVERAGEIFS(INDEX(abertura!$A:$Z,,MATCH($B9,abertura!$A$1:$Z$1,0)),
abertura!$A:$A,EDATE(D$4,-2)))/(AVERAGE(AVERAGEIFS(INDEX(abertura!$A:$Z,,MATCH($B9,abertura!$A$1:$Z$1,0)),
abertura!$A:$A,EDATE(D$4,-1)),AVERAGEIFS(INDEX(abertura!$A:$Z,,MATCH($B9,abertura!$A$1:$Z$1,0)),
abertura!$A:$A,EDATE(D$4,-2)),AVERAGEIFS(INDEX(abertura!$A:$Z,,MATCH($B9,abertura!$A$1:$Z$1,0)),
abertura!$A:$A,EDATE(D$4,-3))))-1)*100,"")</f>
        <v>0.49643530638356914</v>
      </c>
      <c r="J9" s="20">
        <f>IFERROR((AVERAGE(AVERAGEIFS(INDEX(abertura!$A:$Z,,MATCH($B9,abertura!$A$1:$Z$1,0)),
abertura!$A:$A,E$4),AVERAGEIFS(INDEX(abertura!$A:$Z,,MATCH($B9,abertura!$A$1:$Z$1,0)),
abertura!$A:$A,EDATE(E$4,-1)),AVERAGEIFS(INDEX(abertura!$A:$Z,,MATCH($B9,abertura!$A$1:$Z$1,0)),
abertura!$A:$A,EDATE(E$4,-2)))/(AVERAGE(AVERAGEIFS(INDEX(abertura!$A:$Z,,MATCH($B9,abertura!$A$1:$Z$1,0)),
abertura!$A:$A,EDATE(E$4,-1)),AVERAGEIFS(INDEX(abertura!$A:$Z,,MATCH($B9,abertura!$A$1:$Z$1,0)),
abertura!$A:$A,EDATE(E$4,-2)),AVERAGEIFS(INDEX(abertura!$A:$Z,,MATCH($B9,abertura!$A$1:$Z$1,0)),
abertura!$A:$A,EDATE(E$4,-3))))-1)*100,"")</f>
        <v>0.54640869702509143</v>
      </c>
      <c r="K9" s="20">
        <f>IFERROR((AVERAGE(AVERAGEIFS(INDEX(abertura!$A:$Z,,MATCH($B9,abertura!$A$1:$Z$1,0)),
abertura!$A:$A,F$4),AVERAGEIFS(INDEX(abertura!$A:$Z,,MATCH($B9,abertura!$A$1:$Z$1,0)),
abertura!$A:$A,EDATE(F$4,-1)),AVERAGEIFS(INDEX(abertura!$A:$Z,,MATCH($B9,abertura!$A$1:$Z$1,0)),
abertura!$A:$A,EDATE(F$4,-2)))/(AVERAGE(AVERAGEIFS(INDEX(abertura!$A:$Z,,MATCH($B9,abertura!$A$1:$Z$1,0)),
abertura!$A:$A,EDATE(F$4,-1)),AVERAGEIFS(INDEX(abertura!$A:$Z,,MATCH($B9,abertura!$A$1:$Z$1,0)),
abertura!$A:$A,EDATE(F$4,-2)),AVERAGEIFS(INDEX(abertura!$A:$Z,,MATCH($B9,abertura!$A$1:$Z$1,0)),
abertura!$A:$A,EDATE(F$4,-3))))-1)*100,"")</f>
        <v>0.29872083375703795</v>
      </c>
      <c r="L9" s="19"/>
      <c r="M9" s="18"/>
      <c r="N9" s="18">
        <f>IFERROR((SUM(AVERAGEIFS(INDEX(abertura!$A:$Z,,MATCH($B9,abertura!$A$1:$Z$1,0)),
abertura!$A:$A,D$4),AVERAGEIFS(INDEX(abertura!$A:$Z,,MATCH($B9,abertura!$A$1:$Z$1,0)),
abertura!$A:$A,EDATE(D$4,-1)),AVERAGEIFS(INDEX(abertura!$A:$Z,,MATCH($B9,abertura!$A$1:$Z$1,0)),
abertura!$A:$A,EDATE(D$4,-2)))/(SUM(AVERAGEIFS(INDEX(abertura!$A:$Z,,MATCH($B9,abertura!$A$1:$Z$1,0)),
abertura!$A:$A,EDATE(D$4,-3)),AVERAGEIFS(INDEX(abertura!$A:$Z,,MATCH($B9,abertura!$A$1:$Z$1,0)),
abertura!$A:$A,EDATE(D$4,-4)),AVERAGEIFS(INDEX(abertura!$A:$Z,,MATCH($B9,abertura!$A$1:$Z$1,0)),
abertura!$A:$A,EDATE(D$4,-5))))-1)*100,"")</f>
        <v>1.3474006981555098</v>
      </c>
      <c r="O9" s="17">
        <f>IFERROR((SUM(AVERAGEIFS(INDEX(abertura!$A:$Z,,MATCH($A9,abertura!$A$1:$Z$1,0)),
abertura!$A:$A,D$4),AVERAGEIFS(INDEX(abertura!$A:$Z,,MATCH($A9,abertura!$A$1:$Z$1,0)),
abertura!$A:$A,EDATE(D$4,-1)),AVERAGEIFS(INDEX(abertura!$A:$Z,,MATCH($A9,abertura!$A$1:$Z$1,0)),
abertura!$A:$A,EDATE(D$4,-2)),AVERAGEIFS(INDEX(abertura!$A:$Z,,MATCH($A9,abertura!$A$1:$Z$1,0)),
abertura!$A:$A,EDATE(D$4,-3)),AVERAGEIFS(INDEX(abertura!$A:$Z,,MATCH($A9,abertura!$A$1:$Z$1,0)),
abertura!$A:$A,EDATE(D$4,-4)),AVERAGEIFS(INDEX(abertura!$A:$Z,,MATCH($A9,abertura!$A$1:$Z$1,0)),
abertura!$A:$A,EDATE(D$4,-5)),AVERAGEIFS(INDEX(abertura!$A:$Z,,MATCH($A9,abertura!$A$1:$Z$1,0)),
abertura!$A:$A,EDATE(D$4,-6)),AVERAGEIFS(INDEX(abertura!$A:$Z,,MATCH($A9,abertura!$A$1:$Z$1,0)),
abertura!$A:$A,EDATE(D$4,-7)),AVERAGEIFS(INDEX(abertura!$A:$Z,,MATCH($A9,abertura!$A$1:$Z$1,0)),
abertura!$A:$A,EDATE(D$4,-8)),AVERAGEIFS(INDEX(abertura!$A:$Z,,MATCH($A9,abertura!$A$1:$Z$1,0)),
abertura!$A:$A,EDATE(D$4,-9)),AVERAGEIFS(INDEX(abertura!$A:$Z,,MATCH($A9,abertura!$A$1:$Z$1,0)),
abertura!$A:$A,EDATE(D$4,-10)),AVERAGEIFS(INDEX(abertura!$A:$Z,,MATCH($A9,abertura!$A$1:$Z$1,0)),
abertura!$A:$A,EDATE(D$4,-11)))
/(SUM(AVERAGEIFS(INDEX(abertura!$A:$Z,,MATCH($A9,abertura!$A$1:$Z$1,0)),
abertura!$A:$A,EDATE(D$4,-12)),AVERAGEIFS(INDEX(abertura!$A:$Z,,MATCH($A9,abertura!$A$1:$Z$1,0)),
abertura!$A:$A,EDATE(D$4,-13)),AVERAGEIFS(INDEX(abertura!$A:$Z,,MATCH($A9,abertura!$A$1:$Z$1,0)),
abertura!$A:$A,EDATE(D$4,-14)),AVERAGEIFS(INDEX(abertura!$A:$Z,,MATCH($A9,abertura!$A$1:$Z$1,0)),
abertura!$A:$A,EDATE(D$4,-15)),AVERAGEIFS(INDEX(abertura!$A:$Z,,MATCH($A9,abertura!$A$1:$Z$1,0)),
abertura!$A:$A,EDATE(D$4,-16)),AVERAGEIFS(INDEX(abertura!$A:$Z,,MATCH($A9,abertura!$A$1:$Z$1,0)),
abertura!$A:$A,EDATE(D$4,-17)),AVERAGEIFS(INDEX(abertura!$A:$Z,,MATCH($A9,abertura!$A$1:$Z$1,0)),
abertura!$A:$A,EDATE(D$4,-18)),AVERAGEIFS(INDEX(abertura!$A:$Z,,MATCH($A9,abertura!$A$1:$Z$1,0)),
abertura!$A:$A,EDATE(D$4,-19)),AVERAGEIFS(INDEX(abertura!$A:$Z,,MATCH($A9,abertura!$A$1:$Z$1,0)),
abertura!$A:$A,EDATE(D$4,-20)),AVERAGEIFS(INDEX(abertura!$A:$Z,,MATCH($A9,abertura!$A$1:$Z$1,0)),
abertura!$A:$A,EDATE(D$4,-21)),AVERAGEIFS(INDEX(abertura!$A:$Z,,MATCH($A9,abertura!$A$1:$Z$1,0)),
abertura!$A:$A,EDATE(D$4,-22)),AVERAGEIFS(INDEX(abertura!$A:$Z,,MATCH($A9,abertura!$A$1:$Z$1,0)),
abertura!$A:$A,EDATE(D$4,-23))))-1)*100,"")</f>
        <v>0.13383038946683801</v>
      </c>
    </row>
    <row r="10" spans="1:26" s="9" customFormat="1" ht="15" x14ac:dyDescent="0.25">
      <c r="A10" s="9" t="s">
        <v>9</v>
      </c>
      <c r="B10" s="9" t="s">
        <v>10</v>
      </c>
      <c r="C10" s="15" t="s">
        <v>14</v>
      </c>
      <c r="D10" s="14">
        <f>IFERROR((AVERAGEIFS(INDEX(abertura!$A:$Z,,MATCH($B10,abertura!$A$1:$Z$1,0)),
abertura!$A:$A,D$4)/AVERAGEIFS(INDEX(abertura!$A:$Z,,MATCH($B10,abertura!$A$1:$Z$1,0)),
abertura!$A:$A,EDATE(D$4,-1))-1)*100,"")</f>
        <v>0.60754486675058672</v>
      </c>
      <c r="E10" s="14">
        <f>IFERROR((AVERAGEIFS(INDEX(abertura!$A:$Z,,MATCH($B10,abertura!$A$1:$Z$1,0)),
abertura!$A:$A,E$4)/AVERAGEIFS(INDEX(abertura!$A:$Z,,MATCH($B10,abertura!$A$1:$Z$1,0)),
abertura!$A:$A,EDATE(E$4,-1))-1)*100,"")</f>
        <v>0.96104290753904476</v>
      </c>
      <c r="F10" s="14">
        <f>IFERROR((AVERAGEIFS(INDEX(abertura!$A:$Z,,MATCH($B10,abertura!$A$1:$Z$1,0)),
abertura!$A:$A,F$4)/AVERAGEIFS(INDEX(abertura!$A:$Z,,MATCH($B10,abertura!$A$1:$Z$1,0)),
abertura!$A:$A,EDATE(F$4,-1))-1)*100,"")</f>
        <v>-0.1233326812486224</v>
      </c>
      <c r="G10" s="13"/>
      <c r="H10" s="12"/>
      <c r="I10" s="14">
        <f>IFERROR((AVERAGE(AVERAGEIFS(INDEX(abertura!$A:$Z,,MATCH($B10,abertura!$A$1:$Z$1,0)),
abertura!$A:$A,D$4),AVERAGEIFS(INDEX(abertura!$A:$Z,,MATCH($B10,abertura!$A$1:$Z$1,0)),
abertura!$A:$A,EDATE(D$4,-1)),AVERAGEIFS(INDEX(abertura!$A:$Z,,MATCH($B10,abertura!$A$1:$Z$1,0)),
abertura!$A:$A,EDATE(D$4,-2)))/(AVERAGE(AVERAGEIFS(INDEX(abertura!$A:$Z,,MATCH($B10,abertura!$A$1:$Z$1,0)),
abertura!$A:$A,EDATE(D$4,-1)),AVERAGEIFS(INDEX(abertura!$A:$Z,,MATCH($B10,abertura!$A$1:$Z$1,0)),
abertura!$A:$A,EDATE(D$4,-2)),AVERAGEIFS(INDEX(abertura!$A:$Z,,MATCH($B10,abertura!$A$1:$Z$1,0)),
abertura!$A:$A,EDATE(D$4,-3))))-1)*100,"")</f>
        <v>0.48190505594720712</v>
      </c>
      <c r="J10" s="14">
        <f>IFERROR((AVERAGE(AVERAGEIFS(INDEX(abertura!$A:$Z,,MATCH($B10,abertura!$A$1:$Z$1,0)),
abertura!$A:$A,E$4),AVERAGEIFS(INDEX(abertura!$A:$Z,,MATCH($B10,abertura!$A$1:$Z$1,0)),
abertura!$A:$A,EDATE(E$4,-1)),AVERAGEIFS(INDEX(abertura!$A:$Z,,MATCH($B10,abertura!$A$1:$Z$1,0)),
abertura!$A:$A,EDATE(E$4,-2)))/(AVERAGE(AVERAGEIFS(INDEX(abertura!$A:$Z,,MATCH($B10,abertura!$A$1:$Z$1,0)),
abertura!$A:$A,EDATE(E$4,-1)),AVERAGEIFS(INDEX(abertura!$A:$Z,,MATCH($B10,abertura!$A$1:$Z$1,0)),
abertura!$A:$A,EDATE(E$4,-2)),AVERAGEIFS(INDEX(abertura!$A:$Z,,MATCH($B10,abertura!$A$1:$Z$1,0)),
abertura!$A:$A,EDATE(E$4,-3))))-1)*100,"")</f>
        <v>0.44350416199518961</v>
      </c>
      <c r="K10" s="14">
        <f>IFERROR((AVERAGE(AVERAGEIFS(INDEX(abertura!$A:$Z,,MATCH($B10,abertura!$A$1:$Z$1,0)),
abertura!$A:$A,F$4),AVERAGEIFS(INDEX(abertura!$A:$Z,,MATCH($B10,abertura!$A$1:$Z$1,0)),
abertura!$A:$A,EDATE(F$4,-1)),AVERAGEIFS(INDEX(abertura!$A:$Z,,MATCH($B10,abertura!$A$1:$Z$1,0)),
abertura!$A:$A,EDATE(F$4,-2)))/(AVERAGE(AVERAGEIFS(INDEX(abertura!$A:$Z,,MATCH($B10,abertura!$A$1:$Z$1,0)),
abertura!$A:$A,EDATE(F$4,-1)),AVERAGEIFS(INDEX(abertura!$A:$Z,,MATCH($B10,abertura!$A$1:$Z$1,0)),
abertura!$A:$A,EDATE(F$4,-2)),AVERAGEIFS(INDEX(abertura!$A:$Z,,MATCH($B10,abertura!$A$1:$Z$1,0)),
abertura!$A:$A,EDATE(F$4,-3))))-1)*100,"")</f>
        <v>0.13128253971568249</v>
      </c>
      <c r="L10" s="13"/>
      <c r="M10" s="12"/>
      <c r="N10" s="12">
        <f>IFERROR((SUM(AVERAGEIFS(INDEX(abertura!$A:$Z,,MATCH($B10,abertura!$A$1:$Z$1,0)),
abertura!$A:$A,D$4),AVERAGEIFS(INDEX(abertura!$A:$Z,,MATCH($B10,abertura!$A$1:$Z$1,0)),
abertura!$A:$A,EDATE(D$4,-1)),AVERAGEIFS(INDEX(abertura!$A:$Z,,MATCH($B10,abertura!$A$1:$Z$1,0)),
abertura!$A:$A,EDATE(D$4,-2)))/(SUM(AVERAGEIFS(INDEX(abertura!$A:$Z,,MATCH($B10,abertura!$A$1:$Z$1,0)),
abertura!$A:$A,EDATE(D$4,-3)),AVERAGEIFS(INDEX(abertura!$A:$Z,,MATCH($B10,abertura!$A$1:$Z$1,0)),
abertura!$A:$A,EDATE(D$4,-4)),AVERAGEIFS(INDEX(abertura!$A:$Z,,MATCH($B10,abertura!$A$1:$Z$1,0)),
abertura!$A:$A,EDATE(D$4,-5))))-1)*100,"")</f>
        <v>1.0600467332231522</v>
      </c>
      <c r="O10" s="11">
        <f>IFERROR((SUM(AVERAGEIFS(INDEX(abertura!$A:$Z,,MATCH($A10,abertura!$A$1:$Z$1,0)),
abertura!$A:$A,D$4),AVERAGEIFS(INDEX(abertura!$A:$Z,,MATCH($A10,abertura!$A$1:$Z$1,0)),
abertura!$A:$A,EDATE(D$4,-1)),AVERAGEIFS(INDEX(abertura!$A:$Z,,MATCH($A10,abertura!$A$1:$Z$1,0)),
abertura!$A:$A,EDATE(D$4,-2)),AVERAGEIFS(INDEX(abertura!$A:$Z,,MATCH($A10,abertura!$A$1:$Z$1,0)),
abertura!$A:$A,EDATE(D$4,-3)),AVERAGEIFS(INDEX(abertura!$A:$Z,,MATCH($A10,abertura!$A$1:$Z$1,0)),
abertura!$A:$A,EDATE(D$4,-4)),AVERAGEIFS(INDEX(abertura!$A:$Z,,MATCH($A10,abertura!$A$1:$Z$1,0)),
abertura!$A:$A,EDATE(D$4,-5)),AVERAGEIFS(INDEX(abertura!$A:$Z,,MATCH($A10,abertura!$A$1:$Z$1,0)),
abertura!$A:$A,EDATE(D$4,-6)),AVERAGEIFS(INDEX(abertura!$A:$Z,,MATCH($A10,abertura!$A$1:$Z$1,0)),
abertura!$A:$A,EDATE(D$4,-7)),AVERAGEIFS(INDEX(abertura!$A:$Z,,MATCH($A10,abertura!$A$1:$Z$1,0)),
abertura!$A:$A,EDATE(D$4,-8)),AVERAGEIFS(INDEX(abertura!$A:$Z,,MATCH($A10,abertura!$A$1:$Z$1,0)),
abertura!$A:$A,EDATE(D$4,-9)),AVERAGEIFS(INDEX(abertura!$A:$Z,,MATCH($A10,abertura!$A$1:$Z$1,0)),
abertura!$A:$A,EDATE(D$4,-10)),AVERAGEIFS(INDEX(abertura!$A:$Z,,MATCH($A10,abertura!$A$1:$Z$1,0)),
abertura!$A:$A,EDATE(D$4,-11)))
/(SUM(AVERAGEIFS(INDEX(abertura!$A:$Z,,MATCH($A10,abertura!$A$1:$Z$1,0)),
abertura!$A:$A,EDATE(D$4,-12)),AVERAGEIFS(INDEX(abertura!$A:$Z,,MATCH($A10,abertura!$A$1:$Z$1,0)),
abertura!$A:$A,EDATE(D$4,-13)),AVERAGEIFS(INDEX(abertura!$A:$Z,,MATCH($A10,abertura!$A$1:$Z$1,0)),
abertura!$A:$A,EDATE(D$4,-14)),AVERAGEIFS(INDEX(abertura!$A:$Z,,MATCH($A10,abertura!$A$1:$Z$1,0)),
abertura!$A:$A,EDATE(D$4,-15)),AVERAGEIFS(INDEX(abertura!$A:$Z,,MATCH($A10,abertura!$A$1:$Z$1,0)),
abertura!$A:$A,EDATE(D$4,-16)),AVERAGEIFS(INDEX(abertura!$A:$Z,,MATCH($A10,abertura!$A$1:$Z$1,0)),
abertura!$A:$A,EDATE(D$4,-17)),AVERAGEIFS(INDEX(abertura!$A:$Z,,MATCH($A10,abertura!$A$1:$Z$1,0)),
abertura!$A:$A,EDATE(D$4,-18)),AVERAGEIFS(INDEX(abertura!$A:$Z,,MATCH($A10,abertura!$A$1:$Z$1,0)),
abertura!$A:$A,EDATE(D$4,-19)),AVERAGEIFS(INDEX(abertura!$A:$Z,,MATCH($A10,abertura!$A$1:$Z$1,0)),
abertura!$A:$A,EDATE(D$4,-20)),AVERAGEIFS(INDEX(abertura!$A:$Z,,MATCH($A10,abertura!$A$1:$Z$1,0)),
abertura!$A:$A,EDATE(D$4,-21)),AVERAGEIFS(INDEX(abertura!$A:$Z,,MATCH($A10,abertura!$A$1:$Z$1,0)),
abertura!$A:$A,EDATE(D$4,-22)),AVERAGEIFS(INDEX(abertura!$A:$Z,,MATCH($A10,abertura!$A$1:$Z$1,0)),
abertura!$A:$A,EDATE(D$4,-23))))-1)*100,"")</f>
        <v>1.3995984047820986</v>
      </c>
      <c r="R10"/>
      <c r="S10"/>
      <c r="T10"/>
      <c r="U10"/>
      <c r="V10"/>
      <c r="W10"/>
      <c r="X10"/>
      <c r="Y10"/>
      <c r="Z10"/>
    </row>
    <row r="11" spans="1:26" s="9" customFormat="1" ht="15" x14ac:dyDescent="0.25">
      <c r="C11" s="10" t="s">
        <v>13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/>
      <c r="S11"/>
      <c r="T11"/>
      <c r="U11"/>
      <c r="V11"/>
      <c r="W11"/>
      <c r="X11"/>
      <c r="Y11"/>
      <c r="Z11"/>
    </row>
    <row r="12" spans="1:26" ht="15" x14ac:dyDescent="0.25">
      <c r="C12" s="8"/>
      <c r="R12"/>
      <c r="S12"/>
      <c r="T12"/>
      <c r="U12"/>
      <c r="V12"/>
      <c r="W12"/>
      <c r="X12"/>
      <c r="Y12"/>
      <c r="Z12"/>
    </row>
    <row r="13" spans="1:26" ht="15" x14ac:dyDescent="0.25">
      <c r="R13"/>
      <c r="S13"/>
      <c r="T13"/>
      <c r="U13"/>
      <c r="V13"/>
      <c r="W13"/>
      <c r="X13"/>
      <c r="Y13"/>
      <c r="Z13"/>
    </row>
    <row r="14" spans="1:26" ht="15" x14ac:dyDescent="0.25">
      <c r="F14" s="7"/>
      <c r="R14"/>
      <c r="S14"/>
      <c r="T14"/>
      <c r="U14"/>
      <c r="V14"/>
      <c r="W14"/>
      <c r="X14"/>
      <c r="Y14"/>
      <c r="Z14"/>
    </row>
    <row r="15" spans="1:26" ht="15" x14ac:dyDescent="0.25">
      <c r="R15"/>
      <c r="S15"/>
      <c r="T15"/>
      <c r="U15"/>
      <c r="V15"/>
      <c r="W15"/>
      <c r="X15"/>
      <c r="Y15"/>
      <c r="Z15"/>
    </row>
    <row r="16" spans="1:26" ht="15" x14ac:dyDescent="0.25">
      <c r="R16"/>
      <c r="S16"/>
      <c r="T16"/>
      <c r="U16"/>
      <c r="V16"/>
      <c r="W16"/>
      <c r="X16"/>
      <c r="Y16"/>
      <c r="Z16"/>
    </row>
    <row r="17" spans="18:26" ht="15" x14ac:dyDescent="0.25">
      <c r="R17"/>
      <c r="S17"/>
      <c r="T17"/>
      <c r="U17"/>
      <c r="V17"/>
      <c r="W17"/>
      <c r="X17"/>
      <c r="Y17"/>
      <c r="Z17"/>
    </row>
    <row r="18" spans="18:26" ht="15" x14ac:dyDescent="0.25">
      <c r="R18"/>
      <c r="S18"/>
      <c r="T18"/>
      <c r="U18"/>
      <c r="V18"/>
      <c r="W18"/>
      <c r="X18"/>
      <c r="Y18"/>
      <c r="Z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F5C2A7E6871C4694729BA200C02DFD" ma:contentTypeVersion="11" ma:contentTypeDescription="Criar um novo documento." ma:contentTypeScope="" ma:versionID="c1068dc56e465c0a6da2460d73abc994">
  <xsd:schema xmlns:xsd="http://www.w3.org/2001/XMLSchema" xmlns:xs="http://www.w3.org/2001/XMLSchema" xmlns:p="http://schemas.microsoft.com/office/2006/metadata/properties" xmlns:ns2="4993344b-896c-4e3b-a71e-23b7273729f6" xmlns:ns3="b7286c00-3329-457b-9b43-48b3fe2b93d7" targetNamespace="http://schemas.microsoft.com/office/2006/metadata/properties" ma:root="true" ma:fieldsID="ea8d3b8411ad970e6429bbfcc5c913d8" ns2:_="" ns3:_="">
    <xsd:import namespace="4993344b-896c-4e3b-a71e-23b7273729f6"/>
    <xsd:import namespace="b7286c00-3329-457b-9b43-48b3fe2b9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3344b-896c-4e3b-a71e-23b7273729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86c00-3329-457b-9b43-48b3fe2b93d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C43024-1193-43AF-B968-B4F88D8F80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A6EDE5-54FF-4B23-B2EC-63C2F6970292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BE0E57A-545A-45C7-8754-7660AE413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3344b-896c-4e3b-a71e-23b7273729f6"/>
    <ds:schemaRef ds:uri="b7286c00-3329-457b-9b43-48b3fe2b9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abertura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Gazzano</dc:creator>
  <cp:lastModifiedBy>Matheus Ajzenberg</cp:lastModifiedBy>
  <dcterms:created xsi:type="dcterms:W3CDTF">2014-07-16T17:13:16Z</dcterms:created>
  <dcterms:modified xsi:type="dcterms:W3CDTF">2026-04-16T12:54:50Z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0x01010071F5C2A7E6871C4694729BA200C02DFD</vt:lpwstr>
  </property>
</Properties>
</file>